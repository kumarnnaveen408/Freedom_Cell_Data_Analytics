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9" documentId="13_ncr:1_{D075D0DF-920C-4CB4-B1D3-E6499D51762D}" xr6:coauthVersionLast="47" xr6:coauthVersionMax="47" xr10:uidLastSave="{82D11122-1EAA-4873-85F6-AE78D3609BA1}"/>
  <bookViews>
    <workbookView xWindow="-108" yWindow="-108" windowWidth="23256" windowHeight="12456" activeTab="1" xr2:uid="{00000000-000D-0000-FFFF-FFFF00000000}"/>
  </bookViews>
  <sheets>
    <sheet name="Sales_data" sheetId="1" r:id="rId1"/>
    <sheet name="Sales_Forecast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5" l="1"/>
  <c r="D130" i="5"/>
  <c r="E130" i="5"/>
  <c r="C130" i="5"/>
  <c r="C126" i="5" l="1"/>
  <c r="C127" i="5"/>
  <c r="C128" i="5"/>
  <c r="H2" i="5"/>
  <c r="H8" i="5"/>
  <c r="C125" i="5"/>
  <c r="H3" i="5"/>
  <c r="H4" i="5"/>
  <c r="H5" i="5"/>
  <c r="H6" i="5"/>
  <c r="H7" i="5"/>
  <c r="C123" i="5"/>
  <c r="C124" i="5"/>
  <c r="E124" i="5" l="1"/>
  <c r="D124" i="5"/>
  <c r="D123" i="5"/>
  <c r="E123" i="5"/>
  <c r="D125" i="5"/>
  <c r="E125" i="5"/>
  <c r="E128" i="5"/>
  <c r="D128" i="5"/>
  <c r="E127" i="5"/>
  <c r="D127" i="5"/>
  <c r="E126" i="5"/>
  <c r="D126" i="5"/>
</calcChain>
</file>

<file path=xl/sharedStrings.xml><?xml version="1.0" encoding="utf-8"?>
<sst xmlns="http://schemas.openxmlformats.org/spreadsheetml/2006/main" count="18" uniqueCount="16">
  <si>
    <t>date</t>
  </si>
  <si>
    <t>sales</t>
  </si>
  <si>
    <t>Forecast(sales)</t>
  </si>
  <si>
    <t>Lower Confidence Bound(sales)</t>
  </si>
  <si>
    <t>Upper Confidence Bound(sales)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</si>
  <si>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</si>
  <si>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</si>
  <si>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</si>
  <si>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</si>
  <si>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</si>
  <si>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</si>
  <si>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</si>
  <si>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</si>
  <si>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</si>
  <si>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Sum of Forecasted sales
(6 months):</t>
  </si>
  <si>
    <t>Mean: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</si>
</sst>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2" fontId="1" fillId="2" borderId="0" xfId="0" applyNumberFormat="1" applyFont="1" applyFill="1"/>
    <xf numFmtId="2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4">
    <dxf>
      <numFmt numFmtId="4" formatCode="#,##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Sales_Forecast!$B$1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Sales_Forecast!$B$2:$B$128</c:f>
              <c:numCache>
                <c:formatCode>General</c:formatCode>
                <c:ptCount val="127"/>
                <c:pt idx="0">
                  <c:v>119.2473</c:v>
                </c:pt>
                <c:pt idx="1">
                  <c:v>110.7525</c:v>
                </c:pt>
                <c:pt idx="2">
                  <c:v>98.343000000000004</c:v>
                </c:pt>
                <c:pt idx="3">
                  <c:v>86.261200000000002</c:v>
                </c:pt>
                <c:pt idx="4">
                  <c:v>90.8459</c:v>
                </c:pt>
                <c:pt idx="5">
                  <c:v>104.4774</c:v>
                </c:pt>
                <c:pt idx="6">
                  <c:v>113.1386</c:v>
                </c:pt>
                <c:pt idx="7">
                  <c:v>113.255</c:v>
                </c:pt>
                <c:pt idx="8">
                  <c:v>100.3372</c:v>
                </c:pt>
                <c:pt idx="9">
                  <c:v>89.065299999999993</c:v>
                </c:pt>
                <c:pt idx="10">
                  <c:v>92.834299999999999</c:v>
                </c:pt>
                <c:pt idx="11">
                  <c:v>114.5367</c:v>
                </c:pt>
                <c:pt idx="12">
                  <c:v>119.7475</c:v>
                </c:pt>
                <c:pt idx="13">
                  <c:v>107.4965</c:v>
                </c:pt>
                <c:pt idx="14">
                  <c:v>99.184799999999996</c:v>
                </c:pt>
                <c:pt idx="15">
                  <c:v>89.356800000000007</c:v>
                </c:pt>
                <c:pt idx="16">
                  <c:v>90.090299999999999</c:v>
                </c:pt>
                <c:pt idx="17">
                  <c:v>102.9273</c:v>
                </c:pt>
                <c:pt idx="18">
                  <c:v>114.93259999999999</c:v>
                </c:pt>
                <c:pt idx="19">
                  <c:v>113.765</c:v>
                </c:pt>
                <c:pt idx="20">
                  <c:v>99.582099999999997</c:v>
                </c:pt>
                <c:pt idx="21">
                  <c:v>90.324100000000001</c:v>
                </c:pt>
                <c:pt idx="22">
                  <c:v>93.748599999999996</c:v>
                </c:pt>
                <c:pt idx="23">
                  <c:v>107.3309</c:v>
                </c:pt>
                <c:pt idx="24">
                  <c:v>111.8351</c:v>
                </c:pt>
                <c:pt idx="25">
                  <c:v>103.3433</c:v>
                </c:pt>
                <c:pt idx="26">
                  <c:v>93.405100000000004</c:v>
                </c:pt>
                <c:pt idx="27">
                  <c:v>87.453900000000004</c:v>
                </c:pt>
                <c:pt idx="28">
                  <c:v>92.770399999999995</c:v>
                </c:pt>
                <c:pt idx="29">
                  <c:v>101.24460000000001</c:v>
                </c:pt>
                <c:pt idx="30">
                  <c:v>113.3866</c:v>
                </c:pt>
                <c:pt idx="31">
                  <c:v>110.1671</c:v>
                </c:pt>
                <c:pt idx="32">
                  <c:v>96.901399999999995</c:v>
                </c:pt>
                <c:pt idx="33">
                  <c:v>90.260900000000007</c:v>
                </c:pt>
                <c:pt idx="34">
                  <c:v>94.211100000000002</c:v>
                </c:pt>
                <c:pt idx="35">
                  <c:v>105.02030000000001</c:v>
                </c:pt>
                <c:pt idx="36">
                  <c:v>115.2323</c:v>
                </c:pt>
                <c:pt idx="37">
                  <c:v>106.4512</c:v>
                </c:pt>
                <c:pt idx="38">
                  <c:v>102.67010000000001</c:v>
                </c:pt>
                <c:pt idx="39">
                  <c:v>90.613600000000005</c:v>
                </c:pt>
                <c:pt idx="40">
                  <c:v>90.7</c:v>
                </c:pt>
                <c:pt idx="41">
                  <c:v>100.6631</c:v>
                </c:pt>
                <c:pt idx="42">
                  <c:v>110.3583</c:v>
                </c:pt>
                <c:pt idx="43">
                  <c:v>108.4228</c:v>
                </c:pt>
                <c:pt idx="44">
                  <c:v>99.342699999999994</c:v>
                </c:pt>
                <c:pt idx="45">
                  <c:v>91.667100000000005</c:v>
                </c:pt>
                <c:pt idx="46">
                  <c:v>96.984499999999997</c:v>
                </c:pt>
                <c:pt idx="47">
                  <c:v>113.34650000000001</c:v>
                </c:pt>
                <c:pt idx="48">
                  <c:v>124.02160000000001</c:v>
                </c:pt>
                <c:pt idx="49">
                  <c:v>112.67959999999999</c:v>
                </c:pt>
                <c:pt idx="50">
                  <c:v>104.4158</c:v>
                </c:pt>
                <c:pt idx="51">
                  <c:v>89.801699999999997</c:v>
                </c:pt>
                <c:pt idx="52">
                  <c:v>91.861000000000004</c:v>
                </c:pt>
                <c:pt idx="53">
                  <c:v>101.6422</c:v>
                </c:pt>
                <c:pt idx="54">
                  <c:v>108.633</c:v>
                </c:pt>
                <c:pt idx="55">
                  <c:v>108.3892</c:v>
                </c:pt>
                <c:pt idx="56">
                  <c:v>100.4238</c:v>
                </c:pt>
                <c:pt idx="57">
                  <c:v>92.136600000000001</c:v>
                </c:pt>
                <c:pt idx="58">
                  <c:v>99.111400000000003</c:v>
                </c:pt>
                <c:pt idx="59">
                  <c:v>108.9783</c:v>
                </c:pt>
                <c:pt idx="60">
                  <c:v>119.93170000000001</c:v>
                </c:pt>
                <c:pt idx="61">
                  <c:v>116.13930000000001</c:v>
                </c:pt>
                <c:pt idx="62">
                  <c:v>104.0218</c:v>
                </c:pt>
                <c:pt idx="63">
                  <c:v>89.154399999999995</c:v>
                </c:pt>
                <c:pt idx="64">
                  <c:v>90.694999999999993</c:v>
                </c:pt>
                <c:pt idx="65">
                  <c:v>102.88630000000001</c:v>
                </c:pt>
                <c:pt idx="66">
                  <c:v>111.98260000000001</c:v>
                </c:pt>
                <c:pt idx="67">
                  <c:v>110.76430000000001</c:v>
                </c:pt>
                <c:pt idx="68">
                  <c:v>101.7996</c:v>
                </c:pt>
                <c:pt idx="69">
                  <c:v>90.988799999999998</c:v>
                </c:pt>
                <c:pt idx="70">
                  <c:v>92.211299999999994</c:v>
                </c:pt>
                <c:pt idx="71">
                  <c:v>102.3222</c:v>
                </c:pt>
                <c:pt idx="72">
                  <c:v>116.8926</c:v>
                </c:pt>
                <c:pt idx="73">
                  <c:v>105.9614</c:v>
                </c:pt>
                <c:pt idx="74">
                  <c:v>94.233900000000006</c:v>
                </c:pt>
                <c:pt idx="75">
                  <c:v>88.161500000000004</c:v>
                </c:pt>
                <c:pt idx="76">
                  <c:v>89.471100000000007</c:v>
                </c:pt>
                <c:pt idx="77">
                  <c:v>103.4258</c:v>
                </c:pt>
                <c:pt idx="78">
                  <c:v>114.19459999999999</c:v>
                </c:pt>
                <c:pt idx="79">
                  <c:v>115.50149999999999</c:v>
                </c:pt>
                <c:pt idx="80">
                  <c:v>102.2398</c:v>
                </c:pt>
                <c:pt idx="81">
                  <c:v>90.849900000000005</c:v>
                </c:pt>
                <c:pt idx="82">
                  <c:v>92.603200000000001</c:v>
                </c:pt>
                <c:pt idx="83">
                  <c:v>114.0219</c:v>
                </c:pt>
                <c:pt idx="84">
                  <c:v>116.4746</c:v>
                </c:pt>
                <c:pt idx="85">
                  <c:v>99.539299999999997</c:v>
                </c:pt>
                <c:pt idx="86">
                  <c:v>101.0063</c:v>
                </c:pt>
                <c:pt idx="87">
                  <c:v>87.037400000000005</c:v>
                </c:pt>
                <c:pt idx="88">
                  <c:v>90.359099999999998</c:v>
                </c:pt>
                <c:pt idx="89">
                  <c:v>100.44119999999999</c:v>
                </c:pt>
                <c:pt idx="90">
                  <c:v>111.2371</c:v>
                </c:pt>
                <c:pt idx="91">
                  <c:v>107.75830000000001</c:v>
                </c:pt>
                <c:pt idx="92">
                  <c:v>97.081299999999999</c:v>
                </c:pt>
                <c:pt idx="93">
                  <c:v>92.302000000000007</c:v>
                </c:pt>
                <c:pt idx="94">
                  <c:v>97.721400000000003</c:v>
                </c:pt>
                <c:pt idx="95">
                  <c:v>117.2377</c:v>
                </c:pt>
                <c:pt idx="96">
                  <c:v>128.90710000000001</c:v>
                </c:pt>
                <c:pt idx="97">
                  <c:v>107.6711</c:v>
                </c:pt>
                <c:pt idx="98">
                  <c:v>104.5716</c:v>
                </c:pt>
                <c:pt idx="99">
                  <c:v>93.449100000000001</c:v>
                </c:pt>
                <c:pt idx="100">
                  <c:v>93.240499999999997</c:v>
                </c:pt>
                <c:pt idx="101">
                  <c:v>103.3083</c:v>
                </c:pt>
                <c:pt idx="102">
                  <c:v>113.31780000000001</c:v>
                </c:pt>
                <c:pt idx="103">
                  <c:v>113.2758</c:v>
                </c:pt>
                <c:pt idx="104">
                  <c:v>101.5656</c:v>
                </c:pt>
                <c:pt idx="105">
                  <c:v>95.320300000000003</c:v>
                </c:pt>
                <c:pt idx="106">
                  <c:v>103.575</c:v>
                </c:pt>
                <c:pt idx="107">
                  <c:v>112.9498</c:v>
                </c:pt>
                <c:pt idx="108">
                  <c:v>123.7687</c:v>
                </c:pt>
                <c:pt idx="109">
                  <c:v>112.9837</c:v>
                </c:pt>
                <c:pt idx="110">
                  <c:v>106.6593</c:v>
                </c:pt>
                <c:pt idx="111">
                  <c:v>88.6631</c:v>
                </c:pt>
                <c:pt idx="112">
                  <c:v>91.985200000000006</c:v>
                </c:pt>
                <c:pt idx="113">
                  <c:v>98.454800000000006</c:v>
                </c:pt>
                <c:pt idx="114">
                  <c:v>113.0791</c:v>
                </c:pt>
                <c:pt idx="115">
                  <c:v>111.2697</c:v>
                </c:pt>
                <c:pt idx="116">
                  <c:v>102.0039</c:v>
                </c:pt>
                <c:pt idx="117">
                  <c:v>94</c:v>
                </c:pt>
                <c:pt idx="118">
                  <c:v>101.0766</c:v>
                </c:pt>
                <c:pt idx="119">
                  <c:v>111.56440000000001</c:v>
                </c:pt>
                <c:pt idx="120">
                  <c:v>115.5035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4-45A9-92B3-F78225D2BAB8}"/>
            </c:ext>
          </c:extLst>
        </c:ser>
        <c:ser>
          <c:idx val="1"/>
          <c:order val="1"/>
          <c:tx>
            <c:strRef>
              <c:f>Sales_Forecast!$C$1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Sales_Forecast!$A$2:$A$128</c:f>
              <c:numCache>
                <c:formatCode>m/d/yyyy</c:formatCode>
                <c:ptCount val="12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</c:numCache>
            </c:numRef>
          </c:cat>
          <c:val>
            <c:numRef>
              <c:f>Sales_Forecast!$C$2:$C$128</c:f>
              <c:numCache>
                <c:formatCode>General</c:formatCode>
                <c:ptCount val="127"/>
                <c:pt idx="120">
                  <c:v>115.5035</c:v>
                </c:pt>
                <c:pt idx="121">
                  <c:v>114.33243267863257</c:v>
                </c:pt>
                <c:pt idx="122">
                  <c:v>101.85111341320813</c:v>
                </c:pt>
                <c:pt idx="123">
                  <c:v>90.972090578003019</c:v>
                </c:pt>
                <c:pt idx="124">
                  <c:v>94.206348567082188</c:v>
                </c:pt>
                <c:pt idx="125">
                  <c:v>110.35836434730849</c:v>
                </c:pt>
                <c:pt idx="126">
                  <c:v>118.96488018504678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4-45A9-92B3-F78225D2BAB8}"/>
            </c:ext>
          </c:extLst>
        </c:ser>
        <c:ser>
          <c:idx val="2"/>
          <c:order val="2"/>
          <c:tx>
            <c:strRef>
              <c:f>Sales_Forecast!$D$1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Sales_Forecast!$A$2:$A$128</c:f>
              <c:numCache>
                <c:formatCode>m/d/yyyy</c:formatCode>
                <c:ptCount val="12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</c:numCache>
            </c:numRef>
          </c:cat>
          <c:val>
            <c:numRef>
              <c:f>Sales_Forecast!$D$2:$D$128</c:f>
              <c:numCache>
                <c:formatCode>General</c:formatCode>
                <c:ptCount val="127"/>
                <c:pt idx="120" formatCode="0.00">
                  <c:v>115.5035</c:v>
                </c:pt>
                <c:pt idx="121" formatCode="0.00">
                  <c:v>105.57627848457922</c:v>
                </c:pt>
                <c:pt idx="122" formatCode="0.00">
                  <c:v>92.821212917957325</c:v>
                </c:pt>
                <c:pt idx="123" formatCode="0.00">
                  <c:v>81.674419465969663</c:v>
                </c:pt>
                <c:pt idx="124" formatCode="0.00">
                  <c:v>84.646372360483269</c:v>
                </c:pt>
                <c:pt idx="125" formatCode="0.00">
                  <c:v>100.54110265250802</c:v>
                </c:pt>
                <c:pt idx="126" formatCode="0.00">
                  <c:v>108.89496023559387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4-45A9-92B3-F78225D2BAB8}"/>
            </c:ext>
          </c:extLst>
        </c:ser>
        <c:ser>
          <c:idx val="3"/>
          <c:order val="3"/>
          <c:tx>
            <c:strRef>
              <c:f>Sales_Forecast!$E$1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Sales_Forecast!$A$2:$A$128</c:f>
              <c:numCache>
                <c:formatCode>m/d/yyyy</c:formatCode>
                <c:ptCount val="12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</c:numCache>
            </c:numRef>
          </c:cat>
          <c:val>
            <c:numRef>
              <c:f>Sales_Forecast!$E$2:$E$128</c:f>
              <c:numCache>
                <c:formatCode>General</c:formatCode>
                <c:ptCount val="127"/>
                <c:pt idx="120" formatCode="0.00">
                  <c:v>115.5035</c:v>
                </c:pt>
                <c:pt idx="121" formatCode="0.00">
                  <c:v>123.08858687268592</c:v>
                </c:pt>
                <c:pt idx="122" formatCode="0.00">
                  <c:v>110.88101390845893</c:v>
                </c:pt>
                <c:pt idx="123" formatCode="0.00">
                  <c:v>100.26976169003638</c:v>
                </c:pt>
                <c:pt idx="124" formatCode="0.00">
                  <c:v>103.76632477368111</c:v>
                </c:pt>
                <c:pt idx="125" formatCode="0.00">
                  <c:v>120.17562604210897</c:v>
                </c:pt>
                <c:pt idx="126" formatCode="0.00">
                  <c:v>129.0348001344997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E4-45A9-92B3-F78225D2B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092271"/>
        <c:axId val="1126101391"/>
      </c:lineChart>
      <c:catAx>
        <c:axId val="112609227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01391"/>
        <c:crosses val="autoZero"/>
        <c:auto val="1"/>
        <c:lblAlgn val="ctr"/>
        <c:lblOffset val="100"/>
        <c:noMultiLvlLbl val="0"/>
      </c:catAx>
      <c:valAx>
        <c:axId val="11261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9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9</xdr:row>
      <xdr:rowOff>30481</xdr:rowOff>
    </xdr:from>
    <xdr:to>
      <xdr:col>16</xdr:col>
      <xdr:colOff>609599</xdr:colOff>
      <xdr:row>24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C87A2-4575-D848-F37C-B6BCCCAD3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9DF1E-6AEE-4433-970B-1E75C95710AC}" name="Table2" displayName="Table2" ref="A1:E128" totalsRowShown="0">
  <autoFilter ref="A1:E128" xr:uid="{8609DF1E-6AEE-4433-970B-1E75C95710AC}"/>
  <tableColumns count="5">
    <tableColumn id="1" xr3:uid="{CC2DC69E-9804-4082-B260-3029A50E393D}" name="date" dataDxfId="3"/>
    <tableColumn id="2" xr3:uid="{9F3AC105-9938-4033-B816-CC4DB38DD0D3}" name="sales"/>
    <tableColumn id="3" xr3:uid="{2EF203B9-3856-4665-BA39-5414CE1F96D4}" name="Forecast(sales)">
      <calculatedColumnFormula>_xlfn.FORECAST.ETS(A2,$B$2:$B$122,$A$2:$A$122,1,1)</calculatedColumnFormula>
    </tableColumn>
    <tableColumn id="4" xr3:uid="{98D5A122-D7D6-4A73-A32A-99651C39116F}" name="Lower Confidence Bound(sales)" dataDxfId="2">
      <calculatedColumnFormula>C2-_xlfn.FORECAST.ETS.CONFINT(A2,$B$2:$B$122,$A$2:$A$122,0.95,1,1)</calculatedColumnFormula>
    </tableColumn>
    <tableColumn id="5" xr3:uid="{E49AE30F-107A-42E7-96DC-793049F6A757}" name="Upper Confidence Bound(sales)" dataDxfId="1">
      <calculatedColumnFormula>C2+_xlfn.FORECAST.ETS.CONFINT(A2,$B$2:$B$122,$A$2:$A$122,0.95,1,1)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EA8CC-0109-479F-BD59-A70874B7DCF6}" name="Table3" displayName="Table3" ref="G1:H8" totalsRowShown="0">
  <autoFilter ref="G1:H8" xr:uid="{939EA8CC-0109-479F-BD59-A70874B7DCF6}"/>
  <tableColumns count="2">
    <tableColumn id="1" xr3:uid="{61344994-E969-4819-A21E-97613C1A5C1C}" name="Statistic"/>
    <tableColumn id="2" xr3:uid="{C6BBF116-DD42-4C9C-85E8-711BDD5A0D97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122"/>
  <sheetViews>
    <sheetView workbookViewId="0"/>
  </sheetViews>
  <sheetFormatPr defaultRowHeight="14.4" x14ac:dyDescent="0.3"/>
  <cols>
    <col min="1" max="1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40179</v>
      </c>
      <c r="B2">
        <v>119.2473</v>
      </c>
    </row>
    <row r="3" spans="1:2" x14ac:dyDescent="0.3">
      <c r="A3" s="1">
        <v>40210</v>
      </c>
      <c r="B3">
        <v>110.7525</v>
      </c>
    </row>
    <row r="4" spans="1:2" x14ac:dyDescent="0.3">
      <c r="A4" s="1">
        <v>40238</v>
      </c>
      <c r="B4">
        <v>98.343000000000004</v>
      </c>
    </row>
    <row r="5" spans="1:2" x14ac:dyDescent="0.3">
      <c r="A5" s="1">
        <v>40269</v>
      </c>
      <c r="B5">
        <v>86.261200000000002</v>
      </c>
    </row>
    <row r="6" spans="1:2" x14ac:dyDescent="0.3">
      <c r="A6" s="1">
        <v>40299</v>
      </c>
      <c r="B6">
        <v>90.8459</v>
      </c>
    </row>
    <row r="7" spans="1:2" x14ac:dyDescent="0.3">
      <c r="A7" s="1">
        <v>40330</v>
      </c>
      <c r="B7">
        <v>104.4774</v>
      </c>
    </row>
    <row r="8" spans="1:2" x14ac:dyDescent="0.3">
      <c r="A8" s="1">
        <v>40360</v>
      </c>
      <c r="B8">
        <v>113.1386</v>
      </c>
    </row>
    <row r="9" spans="1:2" x14ac:dyDescent="0.3">
      <c r="A9" s="1">
        <v>40391</v>
      </c>
      <c r="B9">
        <v>113.255</v>
      </c>
    </row>
    <row r="10" spans="1:2" x14ac:dyDescent="0.3">
      <c r="A10" s="1">
        <v>40422</v>
      </c>
      <c r="B10">
        <v>100.3372</v>
      </c>
    </row>
    <row r="11" spans="1:2" x14ac:dyDescent="0.3">
      <c r="A11" s="1">
        <v>40452</v>
      </c>
      <c r="B11">
        <v>89.065299999999993</v>
      </c>
    </row>
    <row r="12" spans="1:2" x14ac:dyDescent="0.3">
      <c r="A12" s="1">
        <v>40483</v>
      </c>
      <c r="B12">
        <v>92.834299999999999</v>
      </c>
    </row>
    <row r="13" spans="1:2" x14ac:dyDescent="0.3">
      <c r="A13" s="1">
        <v>40513</v>
      </c>
      <c r="B13">
        <v>114.5367</v>
      </c>
    </row>
    <row r="14" spans="1:2" x14ac:dyDescent="0.3">
      <c r="A14" s="1">
        <v>40544</v>
      </c>
      <c r="B14">
        <v>119.7475</v>
      </c>
    </row>
    <row r="15" spans="1:2" x14ac:dyDescent="0.3">
      <c r="A15" s="1">
        <v>40575</v>
      </c>
      <c r="B15">
        <v>107.4965</v>
      </c>
    </row>
    <row r="16" spans="1:2" x14ac:dyDescent="0.3">
      <c r="A16" s="1">
        <v>40603</v>
      </c>
      <c r="B16">
        <v>99.184799999999996</v>
      </c>
    </row>
    <row r="17" spans="1:2" x14ac:dyDescent="0.3">
      <c r="A17" s="1">
        <v>40634</v>
      </c>
      <c r="B17">
        <v>89.356800000000007</v>
      </c>
    </row>
    <row r="18" spans="1:2" x14ac:dyDescent="0.3">
      <c r="A18" s="1">
        <v>40664</v>
      </c>
      <c r="B18">
        <v>90.090299999999999</v>
      </c>
    </row>
    <row r="19" spans="1:2" x14ac:dyDescent="0.3">
      <c r="A19" s="1">
        <v>40695</v>
      </c>
      <c r="B19">
        <v>102.9273</v>
      </c>
    </row>
    <row r="20" spans="1:2" x14ac:dyDescent="0.3">
      <c r="A20" s="1">
        <v>40725</v>
      </c>
      <c r="B20">
        <v>114.93259999999999</v>
      </c>
    </row>
    <row r="21" spans="1:2" x14ac:dyDescent="0.3">
      <c r="A21" s="1">
        <v>40756</v>
      </c>
      <c r="B21">
        <v>113.765</v>
      </c>
    </row>
    <row r="22" spans="1:2" x14ac:dyDescent="0.3">
      <c r="A22" s="1">
        <v>40787</v>
      </c>
      <c r="B22">
        <v>99.582099999999997</v>
      </c>
    </row>
    <row r="23" spans="1:2" x14ac:dyDescent="0.3">
      <c r="A23" s="1">
        <v>40817</v>
      </c>
      <c r="B23">
        <v>90.324100000000001</v>
      </c>
    </row>
    <row r="24" spans="1:2" x14ac:dyDescent="0.3">
      <c r="A24" s="1">
        <v>40848</v>
      </c>
      <c r="B24">
        <v>93.748599999999996</v>
      </c>
    </row>
    <row r="25" spans="1:2" x14ac:dyDescent="0.3">
      <c r="A25" s="1">
        <v>40878</v>
      </c>
      <c r="B25">
        <v>107.3309</v>
      </c>
    </row>
    <row r="26" spans="1:2" x14ac:dyDescent="0.3">
      <c r="A26" s="1">
        <v>40909</v>
      </c>
      <c r="B26">
        <v>111.8351</v>
      </c>
    </row>
    <row r="27" spans="1:2" x14ac:dyDescent="0.3">
      <c r="A27" s="1">
        <v>40940</v>
      </c>
      <c r="B27">
        <v>103.3433</v>
      </c>
    </row>
    <row r="28" spans="1:2" x14ac:dyDescent="0.3">
      <c r="A28" s="1">
        <v>40969</v>
      </c>
      <c r="B28">
        <v>93.405100000000004</v>
      </c>
    </row>
    <row r="29" spans="1:2" x14ac:dyDescent="0.3">
      <c r="A29" s="1">
        <v>41000</v>
      </c>
      <c r="B29">
        <v>87.453900000000004</v>
      </c>
    </row>
    <row r="30" spans="1:2" x14ac:dyDescent="0.3">
      <c r="A30" s="1">
        <v>41030</v>
      </c>
      <c r="B30">
        <v>92.770399999999995</v>
      </c>
    </row>
    <row r="31" spans="1:2" x14ac:dyDescent="0.3">
      <c r="A31" s="1">
        <v>41061</v>
      </c>
      <c r="B31">
        <v>101.24460000000001</v>
      </c>
    </row>
    <row r="32" spans="1:2" x14ac:dyDescent="0.3">
      <c r="A32" s="1">
        <v>41091</v>
      </c>
      <c r="B32">
        <v>113.3866</v>
      </c>
    </row>
    <row r="33" spans="1:2" x14ac:dyDescent="0.3">
      <c r="A33" s="1">
        <v>41122</v>
      </c>
      <c r="B33">
        <v>110.1671</v>
      </c>
    </row>
    <row r="34" spans="1:2" x14ac:dyDescent="0.3">
      <c r="A34" s="1">
        <v>41153</v>
      </c>
      <c r="B34">
        <v>96.901399999999995</v>
      </c>
    </row>
    <row r="35" spans="1:2" x14ac:dyDescent="0.3">
      <c r="A35" s="1">
        <v>41183</v>
      </c>
      <c r="B35">
        <v>90.260900000000007</v>
      </c>
    </row>
    <row r="36" spans="1:2" x14ac:dyDescent="0.3">
      <c r="A36" s="1">
        <v>41214</v>
      </c>
      <c r="B36">
        <v>94.211100000000002</v>
      </c>
    </row>
    <row r="37" spans="1:2" x14ac:dyDescent="0.3">
      <c r="A37" s="1">
        <v>41244</v>
      </c>
      <c r="B37">
        <v>105.02030000000001</v>
      </c>
    </row>
    <row r="38" spans="1:2" x14ac:dyDescent="0.3">
      <c r="A38" s="1">
        <v>41275</v>
      </c>
      <c r="B38">
        <v>115.2323</v>
      </c>
    </row>
    <row r="39" spans="1:2" x14ac:dyDescent="0.3">
      <c r="A39" s="1">
        <v>41306</v>
      </c>
      <c r="B39">
        <v>106.4512</v>
      </c>
    </row>
    <row r="40" spans="1:2" x14ac:dyDescent="0.3">
      <c r="A40" s="1">
        <v>41334</v>
      </c>
      <c r="B40">
        <v>102.67010000000001</v>
      </c>
    </row>
    <row r="41" spans="1:2" x14ac:dyDescent="0.3">
      <c r="A41" s="1">
        <v>41365</v>
      </c>
      <c r="B41">
        <v>90.613600000000005</v>
      </c>
    </row>
    <row r="42" spans="1:2" x14ac:dyDescent="0.3">
      <c r="A42" s="1">
        <v>41395</v>
      </c>
      <c r="B42">
        <v>90.7</v>
      </c>
    </row>
    <row r="43" spans="1:2" x14ac:dyDescent="0.3">
      <c r="A43" s="1">
        <v>41426</v>
      </c>
      <c r="B43">
        <v>100.6631</v>
      </c>
    </row>
    <row r="44" spans="1:2" x14ac:dyDescent="0.3">
      <c r="A44" s="1">
        <v>41456</v>
      </c>
      <c r="B44">
        <v>110.3583</v>
      </c>
    </row>
    <row r="45" spans="1:2" x14ac:dyDescent="0.3">
      <c r="A45" s="1">
        <v>41487</v>
      </c>
      <c r="B45">
        <v>108.4228</v>
      </c>
    </row>
    <row r="46" spans="1:2" x14ac:dyDescent="0.3">
      <c r="A46" s="1">
        <v>41518</v>
      </c>
      <c r="B46">
        <v>99.342699999999994</v>
      </c>
    </row>
    <row r="47" spans="1:2" x14ac:dyDescent="0.3">
      <c r="A47" s="1">
        <v>41548</v>
      </c>
      <c r="B47">
        <v>91.667100000000005</v>
      </c>
    </row>
    <row r="48" spans="1:2" x14ac:dyDescent="0.3">
      <c r="A48" s="1">
        <v>41579</v>
      </c>
      <c r="B48">
        <v>96.984499999999997</v>
      </c>
    </row>
    <row r="49" spans="1:2" x14ac:dyDescent="0.3">
      <c r="A49" s="1">
        <v>41609</v>
      </c>
      <c r="B49">
        <v>113.34650000000001</v>
      </c>
    </row>
    <row r="50" spans="1:2" x14ac:dyDescent="0.3">
      <c r="A50" s="1">
        <v>41640</v>
      </c>
      <c r="B50">
        <v>124.02160000000001</v>
      </c>
    </row>
    <row r="51" spans="1:2" x14ac:dyDescent="0.3">
      <c r="A51" s="1">
        <v>41671</v>
      </c>
      <c r="B51">
        <v>112.67959999999999</v>
      </c>
    </row>
    <row r="52" spans="1:2" x14ac:dyDescent="0.3">
      <c r="A52" s="1">
        <v>41699</v>
      </c>
      <c r="B52">
        <v>104.4158</v>
      </c>
    </row>
    <row r="53" spans="1:2" x14ac:dyDescent="0.3">
      <c r="A53" s="1">
        <v>41730</v>
      </c>
      <c r="B53">
        <v>89.801699999999997</v>
      </c>
    </row>
    <row r="54" spans="1:2" x14ac:dyDescent="0.3">
      <c r="A54" s="1">
        <v>41760</v>
      </c>
      <c r="B54">
        <v>91.861000000000004</v>
      </c>
    </row>
    <row r="55" spans="1:2" x14ac:dyDescent="0.3">
      <c r="A55" s="1">
        <v>41791</v>
      </c>
      <c r="B55">
        <v>101.6422</v>
      </c>
    </row>
    <row r="56" spans="1:2" x14ac:dyDescent="0.3">
      <c r="A56" s="1">
        <v>41821</v>
      </c>
      <c r="B56">
        <v>108.633</v>
      </c>
    </row>
    <row r="57" spans="1:2" x14ac:dyDescent="0.3">
      <c r="A57" s="1">
        <v>41852</v>
      </c>
      <c r="B57">
        <v>108.3892</v>
      </c>
    </row>
    <row r="58" spans="1:2" x14ac:dyDescent="0.3">
      <c r="A58" s="1">
        <v>41883</v>
      </c>
      <c r="B58">
        <v>100.4238</v>
      </c>
    </row>
    <row r="59" spans="1:2" x14ac:dyDescent="0.3">
      <c r="A59" s="1">
        <v>41913</v>
      </c>
      <c r="B59">
        <v>92.136600000000001</v>
      </c>
    </row>
    <row r="60" spans="1:2" x14ac:dyDescent="0.3">
      <c r="A60" s="1">
        <v>41944</v>
      </c>
      <c r="B60">
        <v>99.111400000000003</v>
      </c>
    </row>
    <row r="61" spans="1:2" x14ac:dyDescent="0.3">
      <c r="A61" s="1">
        <v>41974</v>
      </c>
      <c r="B61">
        <v>108.9783</v>
      </c>
    </row>
    <row r="62" spans="1:2" x14ac:dyDescent="0.3">
      <c r="A62" s="1">
        <v>42005</v>
      </c>
      <c r="B62">
        <v>119.93170000000001</v>
      </c>
    </row>
    <row r="63" spans="1:2" x14ac:dyDescent="0.3">
      <c r="A63" s="1">
        <v>42036</v>
      </c>
      <c r="B63">
        <v>116.13930000000001</v>
      </c>
    </row>
    <row r="64" spans="1:2" x14ac:dyDescent="0.3">
      <c r="A64" s="1">
        <v>42064</v>
      </c>
      <c r="B64">
        <v>104.0218</v>
      </c>
    </row>
    <row r="65" spans="1:2" x14ac:dyDescent="0.3">
      <c r="A65" s="1">
        <v>42095</v>
      </c>
      <c r="B65">
        <v>89.154399999999995</v>
      </c>
    </row>
    <row r="66" spans="1:2" x14ac:dyDescent="0.3">
      <c r="A66" s="1">
        <v>42125</v>
      </c>
      <c r="B66">
        <v>90.694999999999993</v>
      </c>
    </row>
    <row r="67" spans="1:2" x14ac:dyDescent="0.3">
      <c r="A67" s="1">
        <v>42156</v>
      </c>
      <c r="B67">
        <v>102.88630000000001</v>
      </c>
    </row>
    <row r="68" spans="1:2" x14ac:dyDescent="0.3">
      <c r="A68" s="1">
        <v>42186</v>
      </c>
      <c r="B68">
        <v>111.98260000000001</v>
      </c>
    </row>
    <row r="69" spans="1:2" x14ac:dyDescent="0.3">
      <c r="A69" s="1">
        <v>42217</v>
      </c>
      <c r="B69">
        <v>110.76430000000001</v>
      </c>
    </row>
    <row r="70" spans="1:2" x14ac:dyDescent="0.3">
      <c r="A70" s="1">
        <v>42248</v>
      </c>
      <c r="B70">
        <v>101.7996</v>
      </c>
    </row>
    <row r="71" spans="1:2" x14ac:dyDescent="0.3">
      <c r="A71" s="1">
        <v>42278</v>
      </c>
      <c r="B71">
        <v>90.988799999999998</v>
      </c>
    </row>
    <row r="72" spans="1:2" x14ac:dyDescent="0.3">
      <c r="A72" s="1">
        <v>42309</v>
      </c>
      <c r="B72">
        <v>92.211299999999994</v>
      </c>
    </row>
    <row r="73" spans="1:2" x14ac:dyDescent="0.3">
      <c r="A73" s="1">
        <v>42339</v>
      </c>
      <c r="B73">
        <v>102.3222</v>
      </c>
    </row>
    <row r="74" spans="1:2" x14ac:dyDescent="0.3">
      <c r="A74" s="1">
        <v>42370</v>
      </c>
      <c r="B74">
        <v>116.8926</v>
      </c>
    </row>
    <row r="75" spans="1:2" x14ac:dyDescent="0.3">
      <c r="A75" s="1">
        <v>42401</v>
      </c>
      <c r="B75">
        <v>105.9614</v>
      </c>
    </row>
    <row r="76" spans="1:2" x14ac:dyDescent="0.3">
      <c r="A76" s="1">
        <v>42430</v>
      </c>
      <c r="B76">
        <v>94.233900000000006</v>
      </c>
    </row>
    <row r="77" spans="1:2" x14ac:dyDescent="0.3">
      <c r="A77" s="1">
        <v>42461</v>
      </c>
      <c r="B77">
        <v>88.161500000000004</v>
      </c>
    </row>
    <row r="78" spans="1:2" x14ac:dyDescent="0.3">
      <c r="A78" s="1">
        <v>42491</v>
      </c>
      <c r="B78">
        <v>89.471100000000007</v>
      </c>
    </row>
    <row r="79" spans="1:2" x14ac:dyDescent="0.3">
      <c r="A79" s="1">
        <v>42522</v>
      </c>
      <c r="B79">
        <v>103.4258</v>
      </c>
    </row>
    <row r="80" spans="1:2" x14ac:dyDescent="0.3">
      <c r="A80" s="1">
        <v>42552</v>
      </c>
      <c r="B80">
        <v>114.19459999999999</v>
      </c>
    </row>
    <row r="81" spans="1:2" x14ac:dyDescent="0.3">
      <c r="A81" s="1">
        <v>42583</v>
      </c>
      <c r="B81">
        <v>115.50149999999999</v>
      </c>
    </row>
    <row r="82" spans="1:2" x14ac:dyDescent="0.3">
      <c r="A82" s="1">
        <v>42614</v>
      </c>
      <c r="B82">
        <v>102.2398</v>
      </c>
    </row>
    <row r="83" spans="1:2" x14ac:dyDescent="0.3">
      <c r="A83" s="1">
        <v>42644</v>
      </c>
      <c r="B83">
        <v>90.849900000000005</v>
      </c>
    </row>
    <row r="84" spans="1:2" x14ac:dyDescent="0.3">
      <c r="A84" s="1">
        <v>42675</v>
      </c>
      <c r="B84">
        <v>92.603200000000001</v>
      </c>
    </row>
    <row r="85" spans="1:2" x14ac:dyDescent="0.3">
      <c r="A85" s="1">
        <v>42705</v>
      </c>
      <c r="B85">
        <v>114.0219</v>
      </c>
    </row>
    <row r="86" spans="1:2" x14ac:dyDescent="0.3">
      <c r="A86" s="1">
        <v>42736</v>
      </c>
      <c r="B86">
        <v>116.4746</v>
      </c>
    </row>
    <row r="87" spans="1:2" x14ac:dyDescent="0.3">
      <c r="A87" s="1">
        <v>42767</v>
      </c>
      <c r="B87">
        <v>99.539299999999997</v>
      </c>
    </row>
    <row r="88" spans="1:2" x14ac:dyDescent="0.3">
      <c r="A88" s="1">
        <v>42795</v>
      </c>
      <c r="B88">
        <v>101.0063</v>
      </c>
    </row>
    <row r="89" spans="1:2" x14ac:dyDescent="0.3">
      <c r="A89" s="1">
        <v>42826</v>
      </c>
      <c r="B89">
        <v>87.037400000000005</v>
      </c>
    </row>
    <row r="90" spans="1:2" x14ac:dyDescent="0.3">
      <c r="A90" s="1">
        <v>42856</v>
      </c>
      <c r="B90">
        <v>90.359099999999998</v>
      </c>
    </row>
    <row r="91" spans="1:2" x14ac:dyDescent="0.3">
      <c r="A91" s="1">
        <v>42887</v>
      </c>
      <c r="B91">
        <v>100.44119999999999</v>
      </c>
    </row>
    <row r="92" spans="1:2" x14ac:dyDescent="0.3">
      <c r="A92" s="1">
        <v>42917</v>
      </c>
      <c r="B92">
        <v>111.2371</v>
      </c>
    </row>
    <row r="93" spans="1:2" x14ac:dyDescent="0.3">
      <c r="A93" s="1">
        <v>42948</v>
      </c>
      <c r="B93">
        <v>107.75830000000001</v>
      </c>
    </row>
    <row r="94" spans="1:2" x14ac:dyDescent="0.3">
      <c r="A94" s="1">
        <v>42979</v>
      </c>
      <c r="B94">
        <v>97.081299999999999</v>
      </c>
    </row>
    <row r="95" spans="1:2" x14ac:dyDescent="0.3">
      <c r="A95" s="1">
        <v>43009</v>
      </c>
      <c r="B95">
        <v>92.302000000000007</v>
      </c>
    </row>
    <row r="96" spans="1:2" x14ac:dyDescent="0.3">
      <c r="A96" s="1">
        <v>43040</v>
      </c>
      <c r="B96">
        <v>97.721400000000003</v>
      </c>
    </row>
    <row r="97" spans="1:2" x14ac:dyDescent="0.3">
      <c r="A97" s="1">
        <v>43070</v>
      </c>
      <c r="B97">
        <v>117.2377</v>
      </c>
    </row>
    <row r="98" spans="1:2" x14ac:dyDescent="0.3">
      <c r="A98" s="1">
        <v>43101</v>
      </c>
      <c r="B98">
        <v>128.90710000000001</v>
      </c>
    </row>
    <row r="99" spans="1:2" x14ac:dyDescent="0.3">
      <c r="A99" s="1">
        <v>43132</v>
      </c>
      <c r="B99">
        <v>107.6711</v>
      </c>
    </row>
    <row r="100" spans="1:2" x14ac:dyDescent="0.3">
      <c r="A100" s="1">
        <v>43160</v>
      </c>
      <c r="B100">
        <v>104.5716</v>
      </c>
    </row>
    <row r="101" spans="1:2" x14ac:dyDescent="0.3">
      <c r="A101" s="1">
        <v>43191</v>
      </c>
      <c r="B101">
        <v>93.449100000000001</v>
      </c>
    </row>
    <row r="102" spans="1:2" x14ac:dyDescent="0.3">
      <c r="A102" s="1">
        <v>43221</v>
      </c>
      <c r="B102">
        <v>93.240499999999997</v>
      </c>
    </row>
    <row r="103" spans="1:2" x14ac:dyDescent="0.3">
      <c r="A103" s="1">
        <v>43252</v>
      </c>
      <c r="B103">
        <v>103.3083</v>
      </c>
    </row>
    <row r="104" spans="1:2" x14ac:dyDescent="0.3">
      <c r="A104" s="1">
        <v>43282</v>
      </c>
      <c r="B104">
        <v>113.31780000000001</v>
      </c>
    </row>
    <row r="105" spans="1:2" x14ac:dyDescent="0.3">
      <c r="A105" s="1">
        <v>43313</v>
      </c>
      <c r="B105">
        <v>113.2758</v>
      </c>
    </row>
    <row r="106" spans="1:2" x14ac:dyDescent="0.3">
      <c r="A106" s="1">
        <v>43344</v>
      </c>
      <c r="B106">
        <v>101.5656</v>
      </c>
    </row>
    <row r="107" spans="1:2" x14ac:dyDescent="0.3">
      <c r="A107" s="1">
        <v>43374</v>
      </c>
      <c r="B107">
        <v>95.320300000000003</v>
      </c>
    </row>
    <row r="108" spans="1:2" x14ac:dyDescent="0.3">
      <c r="A108" s="1">
        <v>43405</v>
      </c>
      <c r="B108">
        <v>103.575</v>
      </c>
    </row>
    <row r="109" spans="1:2" x14ac:dyDescent="0.3">
      <c r="A109" s="1">
        <v>43435</v>
      </c>
      <c r="B109">
        <v>112.9498</v>
      </c>
    </row>
    <row r="110" spans="1:2" x14ac:dyDescent="0.3">
      <c r="A110" s="1">
        <v>43466</v>
      </c>
      <c r="B110">
        <v>123.7687</v>
      </c>
    </row>
    <row r="111" spans="1:2" x14ac:dyDescent="0.3">
      <c r="A111" s="1">
        <v>43497</v>
      </c>
      <c r="B111">
        <v>112.9837</v>
      </c>
    </row>
    <row r="112" spans="1:2" x14ac:dyDescent="0.3">
      <c r="A112" s="1">
        <v>43525</v>
      </c>
      <c r="B112">
        <v>106.6593</v>
      </c>
    </row>
    <row r="113" spans="1:2" x14ac:dyDescent="0.3">
      <c r="A113" s="1">
        <v>43556</v>
      </c>
      <c r="B113">
        <v>88.6631</v>
      </c>
    </row>
    <row r="114" spans="1:2" x14ac:dyDescent="0.3">
      <c r="A114" s="1">
        <v>43586</v>
      </c>
      <c r="B114">
        <v>91.985200000000006</v>
      </c>
    </row>
    <row r="115" spans="1:2" x14ac:dyDescent="0.3">
      <c r="A115" s="1">
        <v>43617</v>
      </c>
      <c r="B115">
        <v>98.454800000000006</v>
      </c>
    </row>
    <row r="116" spans="1:2" x14ac:dyDescent="0.3">
      <c r="A116" s="1">
        <v>43647</v>
      </c>
      <c r="B116">
        <v>113.0791</v>
      </c>
    </row>
    <row r="117" spans="1:2" x14ac:dyDescent="0.3">
      <c r="A117" s="1">
        <v>43678</v>
      </c>
      <c r="B117">
        <v>111.2697</v>
      </c>
    </row>
    <row r="118" spans="1:2" x14ac:dyDescent="0.3">
      <c r="A118" s="1">
        <v>43709</v>
      </c>
      <c r="B118">
        <v>102.0039</v>
      </c>
    </row>
    <row r="119" spans="1:2" x14ac:dyDescent="0.3">
      <c r="A119" s="1">
        <v>43739</v>
      </c>
      <c r="B119">
        <v>94</v>
      </c>
    </row>
    <row r="120" spans="1:2" x14ac:dyDescent="0.3">
      <c r="A120" s="1">
        <v>43770</v>
      </c>
      <c r="B120">
        <v>101.0766</v>
      </c>
    </row>
    <row r="121" spans="1:2" x14ac:dyDescent="0.3">
      <c r="A121" s="1">
        <v>43800</v>
      </c>
      <c r="B121">
        <v>111.56440000000001</v>
      </c>
    </row>
    <row r="122" spans="1:2" x14ac:dyDescent="0.3">
      <c r="A122" s="1">
        <v>43831</v>
      </c>
      <c r="B122">
        <v>115.5035</v>
      </c>
    </row>
  </sheetData>
  <sortState xmlns:xlrd2="http://schemas.microsoft.com/office/spreadsheetml/2017/richdata2" ref="A2:B122">
    <sortCondition ref="A2:A1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3C94-4A7C-4779-98A2-571677E2C958}">
  <dimension ref="A1:H132"/>
  <sheetViews>
    <sheetView tabSelected="1" workbookViewId="0"/>
  </sheetViews>
  <sheetFormatPr defaultRowHeight="14.4" x14ac:dyDescent="0.3"/>
  <cols>
    <col min="1" max="1" width="10.33203125" bestFit="1" customWidth="1"/>
    <col min="2" max="2" width="16.109375" customWidth="1"/>
    <col min="3" max="3" width="15.21875" customWidth="1"/>
    <col min="4" max="4" width="29.33203125" customWidth="1"/>
    <col min="5" max="5" width="29.44140625" customWidth="1"/>
    <col min="7" max="7" width="9.44140625" customWidth="1"/>
    <col min="8" max="8" width="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3">
      <c r="A2" s="1">
        <v>40179</v>
      </c>
      <c r="B2">
        <v>119.2473</v>
      </c>
      <c r="G2" t="s">
        <v>7</v>
      </c>
      <c r="H2" s="3">
        <f>_xlfn.FORECAST.ETS.STAT($B$2:$B$122,$A$2:$A$122,1,1,1)</f>
        <v>0.251</v>
      </c>
    </row>
    <row r="3" spans="1:8" x14ac:dyDescent="0.3">
      <c r="A3" s="1">
        <v>40210</v>
      </c>
      <c r="B3">
        <v>110.7525</v>
      </c>
      <c r="G3" t="s">
        <v>8</v>
      </c>
      <c r="H3" s="3">
        <f>_xlfn.FORECAST.ETS.STAT($B$2:$B$122,$A$2:$A$122,2,1,1)</f>
        <v>1E-3</v>
      </c>
    </row>
    <row r="4" spans="1:8" x14ac:dyDescent="0.3">
      <c r="A4" s="1">
        <v>40238</v>
      </c>
      <c r="B4">
        <v>98.343000000000004</v>
      </c>
      <c r="G4" t="s">
        <v>9</v>
      </c>
      <c r="H4" s="3">
        <f>_xlfn.FORECAST.ETS.STAT($B$2:$B$122,$A$2:$A$122,3,1,1)</f>
        <v>1E-3</v>
      </c>
    </row>
    <row r="5" spans="1:8" x14ac:dyDescent="0.3">
      <c r="A5" s="1">
        <v>40269</v>
      </c>
      <c r="B5">
        <v>86.261200000000002</v>
      </c>
      <c r="G5" t="s">
        <v>10</v>
      </c>
      <c r="H5" s="3">
        <f>_xlfn.FORECAST.ETS.STAT($B$2:$B$122,$A$2:$A$122,4,1,1)</f>
        <v>0.52196390002717008</v>
      </c>
    </row>
    <row r="6" spans="1:8" x14ac:dyDescent="0.3">
      <c r="A6" s="1">
        <v>40299</v>
      </c>
      <c r="B6">
        <v>90.8459</v>
      </c>
      <c r="G6" t="s">
        <v>11</v>
      </c>
      <c r="H6" s="3">
        <f>_xlfn.FORECAST.ETS.STAT($B$2:$B$122,$A$2:$A$122,5,1,1)</f>
        <v>4.2853990578568188E-2</v>
      </c>
    </row>
    <row r="7" spans="1:8" x14ac:dyDescent="0.3">
      <c r="A7" s="1">
        <v>40330</v>
      </c>
      <c r="B7">
        <v>104.4774</v>
      </c>
      <c r="G7" t="s">
        <v>12</v>
      </c>
      <c r="H7" s="3">
        <f>_xlfn.FORECAST.ETS.STAT($B$2:$B$122,$A$2:$A$122,6,1,1)</f>
        <v>4.4800590099165696</v>
      </c>
    </row>
    <row r="8" spans="1:8" x14ac:dyDescent="0.3">
      <c r="A8" s="1">
        <v>40360</v>
      </c>
      <c r="B8">
        <v>113.1386</v>
      </c>
      <c r="G8" t="s">
        <v>13</v>
      </c>
      <c r="H8" s="3">
        <f>_xlfn.FORECAST.ETS.STAT($B$2:$B$122,$A$2:$A$122,7,1,1)</f>
        <v>5.549583932905616</v>
      </c>
    </row>
    <row r="9" spans="1:8" x14ac:dyDescent="0.3">
      <c r="A9" s="1">
        <v>40391</v>
      </c>
      <c r="B9">
        <v>113.255</v>
      </c>
    </row>
    <row r="10" spans="1:8" x14ac:dyDescent="0.3">
      <c r="A10" s="1">
        <v>40422</v>
      </c>
      <c r="B10">
        <v>100.3372</v>
      </c>
    </row>
    <row r="11" spans="1:8" x14ac:dyDescent="0.3">
      <c r="A11" s="1">
        <v>40452</v>
      </c>
      <c r="B11">
        <v>89.065299999999993</v>
      </c>
    </row>
    <row r="12" spans="1:8" x14ac:dyDescent="0.3">
      <c r="A12" s="1">
        <v>40483</v>
      </c>
      <c r="B12">
        <v>92.834299999999999</v>
      </c>
    </row>
    <row r="13" spans="1:8" x14ac:dyDescent="0.3">
      <c r="A13" s="1">
        <v>40513</v>
      </c>
      <c r="B13">
        <v>114.5367</v>
      </c>
    </row>
    <row r="14" spans="1:8" x14ac:dyDescent="0.3">
      <c r="A14" s="1">
        <v>40544</v>
      </c>
      <c r="B14">
        <v>119.7475</v>
      </c>
    </row>
    <row r="15" spans="1:8" x14ac:dyDescent="0.3">
      <c r="A15" s="1">
        <v>40575</v>
      </c>
      <c r="B15">
        <v>107.4965</v>
      </c>
    </row>
    <row r="16" spans="1:8" x14ac:dyDescent="0.3">
      <c r="A16" s="1">
        <v>40603</v>
      </c>
      <c r="B16">
        <v>99.184799999999996</v>
      </c>
    </row>
    <row r="17" spans="1:2" x14ac:dyDescent="0.3">
      <c r="A17" s="1">
        <v>40634</v>
      </c>
      <c r="B17">
        <v>89.356800000000007</v>
      </c>
    </row>
    <row r="18" spans="1:2" x14ac:dyDescent="0.3">
      <c r="A18" s="1">
        <v>40664</v>
      </c>
      <c r="B18">
        <v>90.090299999999999</v>
      </c>
    </row>
    <row r="19" spans="1:2" x14ac:dyDescent="0.3">
      <c r="A19" s="1">
        <v>40695</v>
      </c>
      <c r="B19">
        <v>102.9273</v>
      </c>
    </row>
    <row r="20" spans="1:2" x14ac:dyDescent="0.3">
      <c r="A20" s="1">
        <v>40725</v>
      </c>
      <c r="B20">
        <v>114.93259999999999</v>
      </c>
    </row>
    <row r="21" spans="1:2" x14ac:dyDescent="0.3">
      <c r="A21" s="1">
        <v>40756</v>
      </c>
      <c r="B21">
        <v>113.765</v>
      </c>
    </row>
    <row r="22" spans="1:2" x14ac:dyDescent="0.3">
      <c r="A22" s="1">
        <v>40787</v>
      </c>
      <c r="B22">
        <v>99.582099999999997</v>
      </c>
    </row>
    <row r="23" spans="1:2" x14ac:dyDescent="0.3">
      <c r="A23" s="1">
        <v>40817</v>
      </c>
      <c r="B23">
        <v>90.324100000000001</v>
      </c>
    </row>
    <row r="24" spans="1:2" x14ac:dyDescent="0.3">
      <c r="A24" s="1">
        <v>40848</v>
      </c>
      <c r="B24">
        <v>93.748599999999996</v>
      </c>
    </row>
    <row r="25" spans="1:2" x14ac:dyDescent="0.3">
      <c r="A25" s="1">
        <v>40878</v>
      </c>
      <c r="B25">
        <v>107.3309</v>
      </c>
    </row>
    <row r="26" spans="1:2" x14ac:dyDescent="0.3">
      <c r="A26" s="1">
        <v>40909</v>
      </c>
      <c r="B26">
        <v>111.8351</v>
      </c>
    </row>
    <row r="27" spans="1:2" x14ac:dyDescent="0.3">
      <c r="A27" s="1">
        <v>40940</v>
      </c>
      <c r="B27">
        <v>103.3433</v>
      </c>
    </row>
    <row r="28" spans="1:2" x14ac:dyDescent="0.3">
      <c r="A28" s="1">
        <v>40969</v>
      </c>
      <c r="B28">
        <v>93.405100000000004</v>
      </c>
    </row>
    <row r="29" spans="1:2" x14ac:dyDescent="0.3">
      <c r="A29" s="1">
        <v>41000</v>
      </c>
      <c r="B29">
        <v>87.453900000000004</v>
      </c>
    </row>
    <row r="30" spans="1:2" x14ac:dyDescent="0.3">
      <c r="A30" s="1">
        <v>41030</v>
      </c>
      <c r="B30">
        <v>92.770399999999995</v>
      </c>
    </row>
    <row r="31" spans="1:2" x14ac:dyDescent="0.3">
      <c r="A31" s="1">
        <v>41061</v>
      </c>
      <c r="B31">
        <v>101.24460000000001</v>
      </c>
    </row>
    <row r="32" spans="1:2" x14ac:dyDescent="0.3">
      <c r="A32" s="1">
        <v>41091</v>
      </c>
      <c r="B32">
        <v>113.3866</v>
      </c>
    </row>
    <row r="33" spans="1:2" x14ac:dyDescent="0.3">
      <c r="A33" s="1">
        <v>41122</v>
      </c>
      <c r="B33">
        <v>110.1671</v>
      </c>
    </row>
    <row r="34" spans="1:2" x14ac:dyDescent="0.3">
      <c r="A34" s="1">
        <v>41153</v>
      </c>
      <c r="B34">
        <v>96.901399999999995</v>
      </c>
    </row>
    <row r="35" spans="1:2" x14ac:dyDescent="0.3">
      <c r="A35" s="1">
        <v>41183</v>
      </c>
      <c r="B35">
        <v>90.260900000000007</v>
      </c>
    </row>
    <row r="36" spans="1:2" x14ac:dyDescent="0.3">
      <c r="A36" s="1">
        <v>41214</v>
      </c>
      <c r="B36">
        <v>94.211100000000002</v>
      </c>
    </row>
    <row r="37" spans="1:2" x14ac:dyDescent="0.3">
      <c r="A37" s="1">
        <v>41244</v>
      </c>
      <c r="B37">
        <v>105.02030000000001</v>
      </c>
    </row>
    <row r="38" spans="1:2" x14ac:dyDescent="0.3">
      <c r="A38" s="1">
        <v>41275</v>
      </c>
      <c r="B38">
        <v>115.2323</v>
      </c>
    </row>
    <row r="39" spans="1:2" x14ac:dyDescent="0.3">
      <c r="A39" s="1">
        <v>41306</v>
      </c>
      <c r="B39">
        <v>106.4512</v>
      </c>
    </row>
    <row r="40" spans="1:2" x14ac:dyDescent="0.3">
      <c r="A40" s="1">
        <v>41334</v>
      </c>
      <c r="B40">
        <v>102.67010000000001</v>
      </c>
    </row>
    <row r="41" spans="1:2" x14ac:dyDescent="0.3">
      <c r="A41" s="1">
        <v>41365</v>
      </c>
      <c r="B41">
        <v>90.613600000000005</v>
      </c>
    </row>
    <row r="42" spans="1:2" x14ac:dyDescent="0.3">
      <c r="A42" s="1">
        <v>41395</v>
      </c>
      <c r="B42">
        <v>90.7</v>
      </c>
    </row>
    <row r="43" spans="1:2" x14ac:dyDescent="0.3">
      <c r="A43" s="1">
        <v>41426</v>
      </c>
      <c r="B43">
        <v>100.6631</v>
      </c>
    </row>
    <row r="44" spans="1:2" x14ac:dyDescent="0.3">
      <c r="A44" s="1">
        <v>41456</v>
      </c>
      <c r="B44">
        <v>110.3583</v>
      </c>
    </row>
    <row r="45" spans="1:2" x14ac:dyDescent="0.3">
      <c r="A45" s="1">
        <v>41487</v>
      </c>
      <c r="B45">
        <v>108.4228</v>
      </c>
    </row>
    <row r="46" spans="1:2" x14ac:dyDescent="0.3">
      <c r="A46" s="1">
        <v>41518</v>
      </c>
      <c r="B46">
        <v>99.342699999999994</v>
      </c>
    </row>
    <row r="47" spans="1:2" x14ac:dyDescent="0.3">
      <c r="A47" s="1">
        <v>41548</v>
      </c>
      <c r="B47">
        <v>91.667100000000005</v>
      </c>
    </row>
    <row r="48" spans="1:2" x14ac:dyDescent="0.3">
      <c r="A48" s="1">
        <v>41579</v>
      </c>
      <c r="B48">
        <v>96.984499999999997</v>
      </c>
    </row>
    <row r="49" spans="1:2" x14ac:dyDescent="0.3">
      <c r="A49" s="1">
        <v>41609</v>
      </c>
      <c r="B49">
        <v>113.34650000000001</v>
      </c>
    </row>
    <row r="50" spans="1:2" x14ac:dyDescent="0.3">
      <c r="A50" s="1">
        <v>41640</v>
      </c>
      <c r="B50">
        <v>124.02160000000001</v>
      </c>
    </row>
    <row r="51" spans="1:2" x14ac:dyDescent="0.3">
      <c r="A51" s="1">
        <v>41671</v>
      </c>
      <c r="B51">
        <v>112.67959999999999</v>
      </c>
    </row>
    <row r="52" spans="1:2" x14ac:dyDescent="0.3">
      <c r="A52" s="1">
        <v>41699</v>
      </c>
      <c r="B52">
        <v>104.4158</v>
      </c>
    </row>
    <row r="53" spans="1:2" x14ac:dyDescent="0.3">
      <c r="A53" s="1">
        <v>41730</v>
      </c>
      <c r="B53">
        <v>89.801699999999997</v>
      </c>
    </row>
    <row r="54" spans="1:2" x14ac:dyDescent="0.3">
      <c r="A54" s="1">
        <v>41760</v>
      </c>
      <c r="B54">
        <v>91.861000000000004</v>
      </c>
    </row>
    <row r="55" spans="1:2" x14ac:dyDescent="0.3">
      <c r="A55" s="1">
        <v>41791</v>
      </c>
      <c r="B55">
        <v>101.6422</v>
      </c>
    </row>
    <row r="56" spans="1:2" x14ac:dyDescent="0.3">
      <c r="A56" s="1">
        <v>41821</v>
      </c>
      <c r="B56">
        <v>108.633</v>
      </c>
    </row>
    <row r="57" spans="1:2" x14ac:dyDescent="0.3">
      <c r="A57" s="1">
        <v>41852</v>
      </c>
      <c r="B57">
        <v>108.3892</v>
      </c>
    </row>
    <row r="58" spans="1:2" x14ac:dyDescent="0.3">
      <c r="A58" s="1">
        <v>41883</v>
      </c>
      <c r="B58">
        <v>100.4238</v>
      </c>
    </row>
    <row r="59" spans="1:2" x14ac:dyDescent="0.3">
      <c r="A59" s="1">
        <v>41913</v>
      </c>
      <c r="B59">
        <v>92.136600000000001</v>
      </c>
    </row>
    <row r="60" spans="1:2" x14ac:dyDescent="0.3">
      <c r="A60" s="1">
        <v>41944</v>
      </c>
      <c r="B60">
        <v>99.111400000000003</v>
      </c>
    </row>
    <row r="61" spans="1:2" x14ac:dyDescent="0.3">
      <c r="A61" s="1">
        <v>41974</v>
      </c>
      <c r="B61">
        <v>108.9783</v>
      </c>
    </row>
    <row r="62" spans="1:2" x14ac:dyDescent="0.3">
      <c r="A62" s="1">
        <v>42005</v>
      </c>
      <c r="B62">
        <v>119.93170000000001</v>
      </c>
    </row>
    <row r="63" spans="1:2" x14ac:dyDescent="0.3">
      <c r="A63" s="1">
        <v>42036</v>
      </c>
      <c r="B63">
        <v>116.13930000000001</v>
      </c>
    </row>
    <row r="64" spans="1:2" x14ac:dyDescent="0.3">
      <c r="A64" s="1">
        <v>42064</v>
      </c>
      <c r="B64">
        <v>104.0218</v>
      </c>
    </row>
    <row r="65" spans="1:2" x14ac:dyDescent="0.3">
      <c r="A65" s="1">
        <v>42095</v>
      </c>
      <c r="B65">
        <v>89.154399999999995</v>
      </c>
    </row>
    <row r="66" spans="1:2" x14ac:dyDescent="0.3">
      <c r="A66" s="1">
        <v>42125</v>
      </c>
      <c r="B66">
        <v>90.694999999999993</v>
      </c>
    </row>
    <row r="67" spans="1:2" x14ac:dyDescent="0.3">
      <c r="A67" s="1">
        <v>42156</v>
      </c>
      <c r="B67">
        <v>102.88630000000001</v>
      </c>
    </row>
    <row r="68" spans="1:2" x14ac:dyDescent="0.3">
      <c r="A68" s="1">
        <v>42186</v>
      </c>
      <c r="B68">
        <v>111.98260000000001</v>
      </c>
    </row>
    <row r="69" spans="1:2" x14ac:dyDescent="0.3">
      <c r="A69" s="1">
        <v>42217</v>
      </c>
      <c r="B69">
        <v>110.76430000000001</v>
      </c>
    </row>
    <row r="70" spans="1:2" x14ac:dyDescent="0.3">
      <c r="A70" s="1">
        <v>42248</v>
      </c>
      <c r="B70">
        <v>101.7996</v>
      </c>
    </row>
    <row r="71" spans="1:2" x14ac:dyDescent="0.3">
      <c r="A71" s="1">
        <v>42278</v>
      </c>
      <c r="B71">
        <v>90.988799999999998</v>
      </c>
    </row>
    <row r="72" spans="1:2" x14ac:dyDescent="0.3">
      <c r="A72" s="1">
        <v>42309</v>
      </c>
      <c r="B72">
        <v>92.211299999999994</v>
      </c>
    </row>
    <row r="73" spans="1:2" x14ac:dyDescent="0.3">
      <c r="A73" s="1">
        <v>42339</v>
      </c>
      <c r="B73">
        <v>102.3222</v>
      </c>
    </row>
    <row r="74" spans="1:2" x14ac:dyDescent="0.3">
      <c r="A74" s="1">
        <v>42370</v>
      </c>
      <c r="B74">
        <v>116.8926</v>
      </c>
    </row>
    <row r="75" spans="1:2" x14ac:dyDescent="0.3">
      <c r="A75" s="1">
        <v>42401</v>
      </c>
      <c r="B75">
        <v>105.9614</v>
      </c>
    </row>
    <row r="76" spans="1:2" x14ac:dyDescent="0.3">
      <c r="A76" s="1">
        <v>42430</v>
      </c>
      <c r="B76">
        <v>94.233900000000006</v>
      </c>
    </row>
    <row r="77" spans="1:2" x14ac:dyDescent="0.3">
      <c r="A77" s="1">
        <v>42461</v>
      </c>
      <c r="B77">
        <v>88.161500000000004</v>
      </c>
    </row>
    <row r="78" spans="1:2" x14ac:dyDescent="0.3">
      <c r="A78" s="1">
        <v>42491</v>
      </c>
      <c r="B78">
        <v>89.471100000000007</v>
      </c>
    </row>
    <row r="79" spans="1:2" x14ac:dyDescent="0.3">
      <c r="A79" s="1">
        <v>42522</v>
      </c>
      <c r="B79">
        <v>103.4258</v>
      </c>
    </row>
    <row r="80" spans="1:2" x14ac:dyDescent="0.3">
      <c r="A80" s="1">
        <v>42552</v>
      </c>
      <c r="B80">
        <v>114.19459999999999</v>
      </c>
    </row>
    <row r="81" spans="1:2" x14ac:dyDescent="0.3">
      <c r="A81" s="1">
        <v>42583</v>
      </c>
      <c r="B81">
        <v>115.50149999999999</v>
      </c>
    </row>
    <row r="82" spans="1:2" x14ac:dyDescent="0.3">
      <c r="A82" s="1">
        <v>42614</v>
      </c>
      <c r="B82">
        <v>102.2398</v>
      </c>
    </row>
    <row r="83" spans="1:2" x14ac:dyDescent="0.3">
      <c r="A83" s="1">
        <v>42644</v>
      </c>
      <c r="B83">
        <v>90.849900000000005</v>
      </c>
    </row>
    <row r="84" spans="1:2" x14ac:dyDescent="0.3">
      <c r="A84" s="1">
        <v>42675</v>
      </c>
      <c r="B84">
        <v>92.603200000000001</v>
      </c>
    </row>
    <row r="85" spans="1:2" x14ac:dyDescent="0.3">
      <c r="A85" s="1">
        <v>42705</v>
      </c>
      <c r="B85">
        <v>114.0219</v>
      </c>
    </row>
    <row r="86" spans="1:2" x14ac:dyDescent="0.3">
      <c r="A86" s="1">
        <v>42736</v>
      </c>
      <c r="B86">
        <v>116.4746</v>
      </c>
    </row>
    <row r="87" spans="1:2" x14ac:dyDescent="0.3">
      <c r="A87" s="1">
        <v>42767</v>
      </c>
      <c r="B87">
        <v>99.539299999999997</v>
      </c>
    </row>
    <row r="88" spans="1:2" x14ac:dyDescent="0.3">
      <c r="A88" s="1">
        <v>42795</v>
      </c>
      <c r="B88">
        <v>101.0063</v>
      </c>
    </row>
    <row r="89" spans="1:2" x14ac:dyDescent="0.3">
      <c r="A89" s="1">
        <v>42826</v>
      </c>
      <c r="B89">
        <v>87.037400000000005</v>
      </c>
    </row>
    <row r="90" spans="1:2" x14ac:dyDescent="0.3">
      <c r="A90" s="1">
        <v>42856</v>
      </c>
      <c r="B90">
        <v>90.359099999999998</v>
      </c>
    </row>
    <row r="91" spans="1:2" x14ac:dyDescent="0.3">
      <c r="A91" s="1">
        <v>42887</v>
      </c>
      <c r="B91">
        <v>100.44119999999999</v>
      </c>
    </row>
    <row r="92" spans="1:2" x14ac:dyDescent="0.3">
      <c r="A92" s="1">
        <v>42917</v>
      </c>
      <c r="B92">
        <v>111.2371</v>
      </c>
    </row>
    <row r="93" spans="1:2" x14ac:dyDescent="0.3">
      <c r="A93" s="1">
        <v>42948</v>
      </c>
      <c r="B93">
        <v>107.75830000000001</v>
      </c>
    </row>
    <row r="94" spans="1:2" x14ac:dyDescent="0.3">
      <c r="A94" s="1">
        <v>42979</v>
      </c>
      <c r="B94">
        <v>97.081299999999999</v>
      </c>
    </row>
    <row r="95" spans="1:2" x14ac:dyDescent="0.3">
      <c r="A95" s="1">
        <v>43009</v>
      </c>
      <c r="B95">
        <v>92.302000000000007</v>
      </c>
    </row>
    <row r="96" spans="1:2" x14ac:dyDescent="0.3">
      <c r="A96" s="1">
        <v>43040</v>
      </c>
      <c r="B96">
        <v>97.721400000000003</v>
      </c>
    </row>
    <row r="97" spans="1:2" x14ac:dyDescent="0.3">
      <c r="A97" s="1">
        <v>43070</v>
      </c>
      <c r="B97">
        <v>117.2377</v>
      </c>
    </row>
    <row r="98" spans="1:2" x14ac:dyDescent="0.3">
      <c r="A98" s="1">
        <v>43101</v>
      </c>
      <c r="B98">
        <v>128.90710000000001</v>
      </c>
    </row>
    <row r="99" spans="1:2" x14ac:dyDescent="0.3">
      <c r="A99" s="1">
        <v>43132</v>
      </c>
      <c r="B99">
        <v>107.6711</v>
      </c>
    </row>
    <row r="100" spans="1:2" x14ac:dyDescent="0.3">
      <c r="A100" s="1">
        <v>43160</v>
      </c>
      <c r="B100">
        <v>104.5716</v>
      </c>
    </row>
    <row r="101" spans="1:2" x14ac:dyDescent="0.3">
      <c r="A101" s="1">
        <v>43191</v>
      </c>
      <c r="B101">
        <v>93.449100000000001</v>
      </c>
    </row>
    <row r="102" spans="1:2" x14ac:dyDescent="0.3">
      <c r="A102" s="1">
        <v>43221</v>
      </c>
      <c r="B102">
        <v>93.240499999999997</v>
      </c>
    </row>
    <row r="103" spans="1:2" x14ac:dyDescent="0.3">
      <c r="A103" s="1">
        <v>43252</v>
      </c>
      <c r="B103">
        <v>103.3083</v>
      </c>
    </row>
    <row r="104" spans="1:2" x14ac:dyDescent="0.3">
      <c r="A104" s="1">
        <v>43282</v>
      </c>
      <c r="B104">
        <v>113.31780000000001</v>
      </c>
    </row>
    <row r="105" spans="1:2" x14ac:dyDescent="0.3">
      <c r="A105" s="1">
        <v>43313</v>
      </c>
      <c r="B105">
        <v>113.2758</v>
      </c>
    </row>
    <row r="106" spans="1:2" x14ac:dyDescent="0.3">
      <c r="A106" s="1">
        <v>43344</v>
      </c>
      <c r="B106">
        <v>101.5656</v>
      </c>
    </row>
    <row r="107" spans="1:2" x14ac:dyDescent="0.3">
      <c r="A107" s="1">
        <v>43374</v>
      </c>
      <c r="B107">
        <v>95.320300000000003</v>
      </c>
    </row>
    <row r="108" spans="1:2" x14ac:dyDescent="0.3">
      <c r="A108" s="1">
        <v>43405</v>
      </c>
      <c r="B108">
        <v>103.575</v>
      </c>
    </row>
    <row r="109" spans="1:2" x14ac:dyDescent="0.3">
      <c r="A109" s="1">
        <v>43435</v>
      </c>
      <c r="B109">
        <v>112.9498</v>
      </c>
    </row>
    <row r="110" spans="1:2" x14ac:dyDescent="0.3">
      <c r="A110" s="1">
        <v>43466</v>
      </c>
      <c r="B110">
        <v>123.7687</v>
      </c>
    </row>
    <row r="111" spans="1:2" x14ac:dyDescent="0.3">
      <c r="A111" s="1">
        <v>43497</v>
      </c>
      <c r="B111">
        <v>112.9837</v>
      </c>
    </row>
    <row r="112" spans="1:2" x14ac:dyDescent="0.3">
      <c r="A112" s="1">
        <v>43525</v>
      </c>
      <c r="B112">
        <v>106.6593</v>
      </c>
    </row>
    <row r="113" spans="1:5" x14ac:dyDescent="0.3">
      <c r="A113" s="1">
        <v>43556</v>
      </c>
      <c r="B113">
        <v>88.6631</v>
      </c>
    </row>
    <row r="114" spans="1:5" x14ac:dyDescent="0.3">
      <c r="A114" s="1">
        <v>43586</v>
      </c>
      <c r="B114">
        <v>91.985200000000006</v>
      </c>
    </row>
    <row r="115" spans="1:5" x14ac:dyDescent="0.3">
      <c r="A115" s="1">
        <v>43617</v>
      </c>
      <c r="B115">
        <v>98.454800000000006</v>
      </c>
    </row>
    <row r="116" spans="1:5" x14ac:dyDescent="0.3">
      <c r="A116" s="1">
        <v>43647</v>
      </c>
      <c r="B116">
        <v>113.0791</v>
      </c>
    </row>
    <row r="117" spans="1:5" x14ac:dyDescent="0.3">
      <c r="A117" s="1">
        <v>43678</v>
      </c>
      <c r="B117">
        <v>111.2697</v>
      </c>
    </row>
    <row r="118" spans="1:5" x14ac:dyDescent="0.3">
      <c r="A118" s="1">
        <v>43709</v>
      </c>
      <c r="B118">
        <v>102.0039</v>
      </c>
    </row>
    <row r="119" spans="1:5" x14ac:dyDescent="0.3">
      <c r="A119" s="1">
        <v>43739</v>
      </c>
      <c r="B119">
        <v>94</v>
      </c>
    </row>
    <row r="120" spans="1:5" x14ac:dyDescent="0.3">
      <c r="A120" s="1">
        <v>43770</v>
      </c>
      <c r="B120">
        <v>101.0766</v>
      </c>
    </row>
    <row r="121" spans="1:5" x14ac:dyDescent="0.3">
      <c r="A121" s="1">
        <v>43800</v>
      </c>
      <c r="B121">
        <v>111.56440000000001</v>
      </c>
    </row>
    <row r="122" spans="1:5" x14ac:dyDescent="0.3">
      <c r="A122" s="1">
        <v>43831</v>
      </c>
      <c r="B122">
        <v>115.5035</v>
      </c>
      <c r="C122">
        <v>115.5035</v>
      </c>
      <c r="D122" s="2">
        <v>115.5035</v>
      </c>
      <c r="E122" s="2">
        <v>115.5035</v>
      </c>
    </row>
    <row r="123" spans="1:5" x14ac:dyDescent="0.3">
      <c r="A123" s="1">
        <v>43862</v>
      </c>
      <c r="C123">
        <f>_xlfn.FORECAST.ETS(A123,$B$2:$B$122,$A$2:$A$122,1,1)</f>
        <v>114.33243267863257</v>
      </c>
      <c r="D123" s="2">
        <f>C123-_xlfn.FORECAST.ETS.CONFINT(A123,$B$2:$B$122,$A$2:$A$122,0.95,1,1)</f>
        <v>105.57627848457922</v>
      </c>
      <c r="E123" s="2">
        <f>C123+_xlfn.FORECAST.ETS.CONFINT(A123,$B$2:$B$122,$A$2:$A$122,0.95,1,1)</f>
        <v>123.08858687268592</v>
      </c>
    </row>
    <row r="124" spans="1:5" x14ac:dyDescent="0.3">
      <c r="A124" s="1">
        <v>43891</v>
      </c>
      <c r="C124">
        <f>_xlfn.FORECAST.ETS(A124,$B$2:$B$122,$A$2:$A$122,1,1)</f>
        <v>101.85111341320813</v>
      </c>
      <c r="D124" s="2">
        <f>C124-_xlfn.FORECAST.ETS.CONFINT(A124,$B$2:$B$122,$A$2:$A$122,0.95,1,1)</f>
        <v>92.821212917957325</v>
      </c>
      <c r="E124" s="2">
        <f>C124+_xlfn.FORECAST.ETS.CONFINT(A124,$B$2:$B$122,$A$2:$A$122,0.95,1,1)</f>
        <v>110.88101390845893</v>
      </c>
    </row>
    <row r="125" spans="1:5" x14ac:dyDescent="0.3">
      <c r="A125" s="1">
        <v>43922</v>
      </c>
      <c r="C125">
        <f>_xlfn.FORECAST.ETS(A125,$B$2:$B$122,$A$2:$A$122,1,1)</f>
        <v>90.972090578003019</v>
      </c>
      <c r="D125" s="2">
        <f>C125-_xlfn.FORECAST.ETS.CONFINT(A125,$B$2:$B$122,$A$2:$A$122,0.95,1,1)</f>
        <v>81.674419465969663</v>
      </c>
      <c r="E125" s="2">
        <f>C125+_xlfn.FORECAST.ETS.CONFINT(A125,$B$2:$B$122,$A$2:$A$122,0.95,1,1)</f>
        <v>100.26976169003638</v>
      </c>
    </row>
    <row r="126" spans="1:5" x14ac:dyDescent="0.3">
      <c r="A126" s="1">
        <v>43952</v>
      </c>
      <c r="C126">
        <f>_xlfn.FORECAST.ETS(A126,$B$2:$B$122,$A$2:$A$122,1,1)</f>
        <v>94.206348567082188</v>
      </c>
      <c r="D126" s="2">
        <f>C126-_xlfn.FORECAST.ETS.CONFINT(A126,$B$2:$B$122,$A$2:$A$122,0.95,1,1)</f>
        <v>84.646372360483269</v>
      </c>
      <c r="E126" s="2">
        <f>C126+_xlfn.FORECAST.ETS.CONFINT(A126,$B$2:$B$122,$A$2:$A$122,0.95,1,1)</f>
        <v>103.76632477368111</v>
      </c>
    </row>
    <row r="127" spans="1:5" x14ac:dyDescent="0.3">
      <c r="A127" s="1">
        <v>43983</v>
      </c>
      <c r="C127">
        <f>_xlfn.FORECAST.ETS(A127,$B$2:$B$122,$A$2:$A$122,1,1)</f>
        <v>110.35836434730849</v>
      </c>
      <c r="D127" s="2">
        <f>C127-_xlfn.FORECAST.ETS.CONFINT(A127,$B$2:$B$122,$A$2:$A$122,0.95,1,1)</f>
        <v>100.54110265250802</v>
      </c>
      <c r="E127" s="2">
        <f>C127+_xlfn.FORECAST.ETS.CONFINT(A127,$B$2:$B$122,$A$2:$A$122,0.95,1,1)</f>
        <v>120.17562604210897</v>
      </c>
    </row>
    <row r="128" spans="1:5" x14ac:dyDescent="0.3">
      <c r="A128" s="1">
        <v>44013</v>
      </c>
      <c r="C128">
        <f>_xlfn.FORECAST.ETS(A128,$B$2:$B$122,$A$2:$A$122,1,1)</f>
        <v>118.96488018504678</v>
      </c>
      <c r="D128" s="2">
        <f>C128-_xlfn.FORECAST.ETS.CONFINT(A128,$B$2:$B$122,$A$2:$A$122,0.95,1,1)</f>
        <v>108.89496023559387</v>
      </c>
      <c r="E128" s="2">
        <f>C128+_xlfn.FORECAST.ETS.CONFINT(A128,$B$2:$B$122,$A$2:$A$122,0.95,1,1)</f>
        <v>129.0348001344997</v>
      </c>
    </row>
    <row r="130" spans="2:5" x14ac:dyDescent="0.3">
      <c r="B130" s="4" t="s">
        <v>15</v>
      </c>
      <c r="C130" s="6">
        <f>AVERAGE(C123:C128)</f>
        <v>105.11420496154686</v>
      </c>
      <c r="D130" s="6">
        <f t="shared" ref="D130:E130" si="0">AVERAGE(D123:D128)</f>
        <v>95.692391019515227</v>
      </c>
      <c r="E130" s="6">
        <f t="shared" si="0"/>
        <v>114.53601890357851</v>
      </c>
    </row>
    <row r="132" spans="2:5" ht="44.4" customHeight="1" x14ac:dyDescent="0.3">
      <c r="B132" s="5" t="s">
        <v>14</v>
      </c>
      <c r="C132" s="7">
        <f>SUM(C123:C128)</f>
        <v>630.68522976928114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Sales_Forecast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2025-11-02T10:31:37Z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a7b46738-d860-49a3-a7a1-f88c762b52cf</vt:lpwstr>
  </property>
</Properties>
</file>