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467aa9ea412bf74/Desktop/"/>
    </mc:Choice>
  </mc:AlternateContent>
  <xr:revisionPtr revIDLastSave="10" documentId="11_F25DC773A252ABDACC104872A95860AC5ADE58EF" xr6:coauthVersionLast="47" xr6:coauthVersionMax="47" xr10:uidLastSave="{7F329574-7D48-4BBF-978F-1E965A641A46}"/>
  <bookViews>
    <workbookView xWindow="-108" yWindow="-108" windowWidth="23256" windowHeight="12456" xr2:uid="{00000000-000D-0000-FFFF-FFFF00000000}"/>
  </bookViews>
  <sheets>
    <sheet name="Raw_data" sheetId="1" r:id="rId1"/>
    <sheet name="Data_with_dummies" sheetId="11" r:id="rId2"/>
    <sheet name="Correlation_matrix" sheetId="13" r:id="rId3"/>
    <sheet name="SR_significant" sheetId="14" r:id="rId4"/>
    <sheet name="Regression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" i="14" l="1"/>
  <c r="O13" i="14"/>
  <c r="O15" i="14"/>
  <c r="P15" i="14"/>
  <c r="Q15" i="14"/>
  <c r="R15" i="14"/>
  <c r="O19" i="14"/>
  <c r="O20" i="14"/>
  <c r="P20" i="14"/>
  <c r="O21" i="14"/>
  <c r="P21" i="14"/>
  <c r="O25" i="14"/>
  <c r="Q25" i="14"/>
  <c r="R25" i="14"/>
  <c r="O28" i="14"/>
  <c r="P28" i="14"/>
  <c r="Q28" i="14"/>
  <c r="R28" i="14"/>
  <c r="O32" i="14"/>
  <c r="O33" i="14"/>
  <c r="P33" i="14"/>
  <c r="Q34" i="14"/>
  <c r="R34" i="14"/>
  <c r="O38" i="14"/>
  <c r="P38" i="14"/>
  <c r="O39" i="14"/>
  <c r="P39" i="14"/>
  <c r="Q40" i="14"/>
  <c r="R40" i="14"/>
  <c r="O42" i="14"/>
  <c r="P42" i="14"/>
  <c r="O46" i="14"/>
  <c r="Q46" i="14"/>
  <c r="R46" i="14"/>
  <c r="O47" i="14"/>
  <c r="P47" i="14"/>
  <c r="O51" i="14"/>
  <c r="P51" i="14"/>
  <c r="Q51" i="14"/>
  <c r="R51" i="14"/>
  <c r="O54" i="14"/>
  <c r="O58" i="14"/>
  <c r="P58" i="14"/>
  <c r="Q58" i="14"/>
  <c r="R58" i="14"/>
  <c r="O60" i="14"/>
  <c r="P60" i="14"/>
  <c r="Q60" i="14"/>
  <c r="R60" i="14"/>
  <c r="O64" i="14"/>
  <c r="O67" i="14"/>
  <c r="P67" i="14"/>
  <c r="Q67" i="14"/>
  <c r="R67" i="14"/>
  <c r="O71" i="14"/>
  <c r="P71" i="14"/>
  <c r="O72" i="14"/>
  <c r="P72" i="14"/>
  <c r="Q72" i="14"/>
  <c r="O73" i="14"/>
  <c r="R76" i="14"/>
  <c r="O78" i="14"/>
  <c r="P78" i="14"/>
  <c r="Q79" i="14"/>
  <c r="R79" i="14"/>
  <c r="O80" i="14"/>
  <c r="P80" i="14"/>
  <c r="O84" i="14"/>
  <c r="P84" i="14"/>
  <c r="O85" i="14"/>
  <c r="Q85" i="14"/>
  <c r="R85" i="14"/>
  <c r="O86" i="14"/>
  <c r="P86" i="14"/>
  <c r="O90" i="14"/>
  <c r="P90" i="14"/>
  <c r="Q90" i="14"/>
  <c r="R90" i="14"/>
  <c r="O93" i="14"/>
  <c r="P93" i="14"/>
  <c r="O97" i="14"/>
  <c r="Q97" i="14"/>
  <c r="R97" i="14"/>
  <c r="O98" i="14"/>
  <c r="P98" i="14"/>
  <c r="Q99" i="14"/>
  <c r="R99" i="14"/>
  <c r="O103" i="14"/>
  <c r="P103" i="14"/>
  <c r="Q105" i="14"/>
  <c r="R105" i="14"/>
  <c r="Q106" i="14"/>
  <c r="R106" i="14"/>
  <c r="O110" i="14"/>
  <c r="P110" i="14"/>
  <c r="O111" i="14"/>
  <c r="P111" i="14"/>
  <c r="Q111" i="14"/>
  <c r="R111" i="14"/>
  <c r="O112" i="14"/>
  <c r="O116" i="14"/>
  <c r="P116" i="14"/>
  <c r="Q118" i="14"/>
  <c r="R118" i="14"/>
  <c r="O119" i="14"/>
  <c r="P119" i="14"/>
  <c r="O123" i="14"/>
  <c r="P123" i="14"/>
  <c r="Q123" i="14"/>
  <c r="O125" i="14"/>
  <c r="P125" i="14"/>
  <c r="O129" i="14"/>
  <c r="P129" i="14"/>
  <c r="Q129" i="14"/>
  <c r="R129" i="14"/>
  <c r="O132" i="14"/>
  <c r="P132" i="14"/>
  <c r="Q132" i="14"/>
  <c r="O136" i="14"/>
  <c r="Q136" i="14"/>
  <c r="R136" i="14"/>
  <c r="O137" i="14"/>
  <c r="P137" i="14"/>
  <c r="O138" i="14"/>
  <c r="P138" i="14"/>
  <c r="R141" i="14"/>
  <c r="Q142" i="14"/>
  <c r="R142" i="14"/>
  <c r="O145" i="14"/>
  <c r="R148" i="14"/>
  <c r="O150" i="14"/>
  <c r="P150" i="14"/>
  <c r="Q150" i="14"/>
  <c r="R150" i="14"/>
  <c r="O151" i="14"/>
  <c r="P151" i="14"/>
  <c r="R154" i="14"/>
  <c r="O155" i="14"/>
  <c r="Q157" i="14"/>
  <c r="R157" i="14"/>
  <c r="O158" i="14"/>
  <c r="P158" i="14"/>
  <c r="O162" i="14"/>
  <c r="P162" i="14"/>
  <c r="Q162" i="14"/>
  <c r="R162" i="14"/>
  <c r="O163" i="14"/>
  <c r="P163" i="14"/>
  <c r="O164" i="14"/>
  <c r="O168" i="14"/>
  <c r="Q168" i="14"/>
  <c r="R168" i="14"/>
  <c r="O170" i="14"/>
  <c r="P170" i="14"/>
  <c r="Q171" i="14"/>
  <c r="R171" i="14"/>
  <c r="O175" i="14"/>
  <c r="P175" i="14"/>
  <c r="O176" i="14"/>
  <c r="O177" i="14"/>
  <c r="P177" i="14"/>
  <c r="R180" i="14"/>
  <c r="O181" i="14"/>
  <c r="P181" i="14"/>
  <c r="Q183" i="14"/>
  <c r="R183" i="14"/>
  <c r="O184" i="14"/>
  <c r="O188" i="14"/>
  <c r="Q189" i="14"/>
  <c r="R189" i="14"/>
  <c r="O190" i="14"/>
  <c r="P190" i="14"/>
  <c r="R193" i="14"/>
  <c r="O194" i="14"/>
  <c r="P194" i="14"/>
  <c r="Q196" i="14"/>
  <c r="O197" i="14"/>
  <c r="O201" i="14"/>
  <c r="P201" i="14"/>
  <c r="Q201" i="14"/>
  <c r="R201" i="14"/>
  <c r="O202" i="14"/>
  <c r="P202" i="14"/>
  <c r="Q202" i="14"/>
  <c r="R202" i="14"/>
  <c r="O206" i="14"/>
  <c r="O209" i="14"/>
  <c r="P209" i="14"/>
  <c r="O210" i="14"/>
  <c r="P210" i="14"/>
  <c r="R213" i="14"/>
  <c r="Q214" i="14"/>
  <c r="R214" i="14"/>
  <c r="O215" i="14"/>
  <c r="P215" i="14"/>
  <c r="O216" i="14"/>
  <c r="O220" i="14"/>
  <c r="P220" i="14"/>
  <c r="Q222" i="14"/>
  <c r="R222" i="14"/>
  <c r="O223" i="14"/>
  <c r="P223" i="14"/>
  <c r="R226" i="14"/>
  <c r="O227" i="14"/>
  <c r="P227" i="14"/>
  <c r="O228" i="14"/>
  <c r="O229" i="14"/>
  <c r="R232" i="14"/>
  <c r="O233" i="14"/>
  <c r="P233" i="14"/>
  <c r="O235" i="14"/>
  <c r="P235" i="14"/>
  <c r="O236" i="14"/>
  <c r="P236" i="14"/>
  <c r="O240" i="14"/>
  <c r="O241" i="14"/>
  <c r="P241" i="14"/>
  <c r="Q241" i="14"/>
  <c r="R241" i="14"/>
  <c r="O245" i="14"/>
  <c r="P245" i="14"/>
  <c r="O246" i="14"/>
  <c r="P246" i="14"/>
  <c r="O248" i="14"/>
  <c r="O249" i="14"/>
  <c r="R252" i="14"/>
  <c r="O253" i="14"/>
  <c r="P253" i="14"/>
  <c r="O254" i="14"/>
  <c r="P254" i="14"/>
  <c r="O255" i="14"/>
  <c r="P255" i="14"/>
  <c r="R258" i="14"/>
  <c r="O259" i="14"/>
  <c r="O262" i="14"/>
  <c r="P262" i="14"/>
  <c r="O265" i="14"/>
  <c r="P265" i="14"/>
  <c r="Q265" i="14"/>
  <c r="R265" i="14"/>
  <c r="O266" i="14"/>
  <c r="P266" i="14"/>
  <c r="Q266" i="14"/>
  <c r="Q270" i="14"/>
  <c r="R270" i="14"/>
  <c r="O272" i="14"/>
  <c r="P272" i="14"/>
  <c r="Q272" i="14"/>
  <c r="R272" i="14"/>
  <c r="R275" i="14"/>
  <c r="Q276" i="14"/>
  <c r="R276" i="14"/>
  <c r="O277" i="14"/>
  <c r="R280" i="14"/>
  <c r="O281" i="14"/>
  <c r="P281" i="14"/>
  <c r="O283" i="14"/>
  <c r="P283" i="14"/>
  <c r="Q283" i="14"/>
  <c r="R283" i="14"/>
  <c r="R286" i="14"/>
  <c r="O287" i="14"/>
  <c r="Q288" i="14"/>
  <c r="R288" i="14"/>
  <c r="R291" i="14"/>
  <c r="O292" i="14"/>
  <c r="P292" i="14"/>
  <c r="Q293" i="14"/>
  <c r="R293" i="14"/>
  <c r="Q294" i="14"/>
  <c r="R294" i="14"/>
  <c r="O298" i="14"/>
  <c r="Q298" i="14"/>
  <c r="R298" i="14"/>
  <c r="O299" i="14"/>
  <c r="P299" i="14"/>
  <c r="O302" i="14"/>
  <c r="P302" i="14"/>
  <c r="Q302" i="14"/>
  <c r="R302" i="14"/>
  <c r="Q304" i="14"/>
  <c r="O305" i="14"/>
  <c r="O308" i="14"/>
  <c r="P308" i="14"/>
  <c r="Q308" i="14"/>
  <c r="R308" i="14"/>
  <c r="Q309" i="14"/>
  <c r="R309" i="14"/>
  <c r="O310" i="14"/>
  <c r="P310" i="14"/>
  <c r="O313" i="14"/>
  <c r="R314" i="14"/>
  <c r="Q315" i="14"/>
  <c r="R315" i="14"/>
  <c r="O316" i="14"/>
  <c r="R318" i="14"/>
  <c r="O319" i="14"/>
  <c r="P319" i="14"/>
  <c r="Q319" i="14"/>
  <c r="R319" i="14"/>
  <c r="O320" i="14"/>
  <c r="O323" i="14"/>
  <c r="Q323" i="14"/>
  <c r="R323" i="14"/>
  <c r="Q324" i="14"/>
  <c r="R324" i="14"/>
  <c r="R325" i="14"/>
  <c r="R327" i="14"/>
  <c r="O328" i="14"/>
  <c r="P328" i="14"/>
  <c r="Q330" i="14"/>
  <c r="R332" i="14"/>
  <c r="Q333" i="14"/>
  <c r="R333" i="14"/>
  <c r="O334" i="14"/>
  <c r="P334" i="14"/>
  <c r="Q334" i="14"/>
  <c r="R334" i="14"/>
  <c r="Q337" i="14"/>
  <c r="O338" i="14"/>
  <c r="Q338" i="14"/>
  <c r="R338" i="14"/>
  <c r="P340" i="14"/>
  <c r="R341" i="14"/>
  <c r="Q342" i="14"/>
  <c r="R342" i="14"/>
  <c r="R343" i="14"/>
  <c r="O344" i="14"/>
  <c r="P344" i="14"/>
  <c r="Q347" i="14"/>
  <c r="R347" i="14"/>
  <c r="Q348" i="14"/>
  <c r="R348" i="14"/>
  <c r="O349" i="14"/>
  <c r="P349" i="14"/>
  <c r="O352" i="14"/>
  <c r="P352" i="14"/>
  <c r="Q352" i="14"/>
  <c r="R352" i="14"/>
  <c r="O353" i="14"/>
  <c r="O356" i="14"/>
  <c r="P356" i="14"/>
  <c r="Q356" i="14"/>
  <c r="R356" i="14"/>
  <c r="P358" i="14"/>
  <c r="Q358" i="14"/>
  <c r="R358" i="14"/>
  <c r="O359" i="14"/>
  <c r="R361" i="14"/>
  <c r="O362" i="14"/>
  <c r="Q362" i="14"/>
  <c r="R362" i="14"/>
  <c r="Q363" i="14"/>
  <c r="R363" i="14"/>
  <c r="Q366" i="14"/>
  <c r="R366" i="14"/>
  <c r="O367" i="14"/>
  <c r="P367" i="14"/>
  <c r="Q367" i="14"/>
  <c r="R367" i="14"/>
  <c r="O371" i="14"/>
  <c r="R372" i="14"/>
  <c r="O373" i="14"/>
  <c r="P373" i="14"/>
  <c r="Q373" i="14"/>
  <c r="P376" i="14"/>
  <c r="Q376" i="14"/>
  <c r="R376" i="14"/>
  <c r="O377" i="14"/>
  <c r="Q380" i="14"/>
  <c r="R380" i="14"/>
  <c r="Q381" i="14"/>
  <c r="R381" i="14"/>
  <c r="O382" i="14"/>
  <c r="P382" i="14"/>
  <c r="P383" i="14"/>
  <c r="O385" i="14"/>
  <c r="P385" i="14"/>
  <c r="Q387" i="14"/>
  <c r="R387" i="14"/>
  <c r="O388" i="14"/>
  <c r="R390" i="14"/>
  <c r="O391" i="14"/>
  <c r="P391" i="14"/>
  <c r="Q391" i="14"/>
  <c r="R391" i="14"/>
  <c r="O392" i="14"/>
  <c r="O395" i="14"/>
  <c r="Q395" i="14"/>
  <c r="R395" i="14"/>
  <c r="Q396" i="14"/>
  <c r="R396" i="14"/>
  <c r="R397" i="14"/>
  <c r="R399" i="14"/>
  <c r="O400" i="14"/>
  <c r="P400" i="14"/>
  <c r="P401" i="14"/>
  <c r="Q402" i="14"/>
  <c r="R404" i="14"/>
  <c r="Q405" i="14"/>
  <c r="R405" i="14"/>
  <c r="O406" i="14"/>
  <c r="P406" i="14"/>
  <c r="Q406" i="14"/>
  <c r="R406" i="14"/>
  <c r="Q409" i="14"/>
  <c r="R409" i="14"/>
  <c r="O410" i="14"/>
  <c r="Q410" i="14"/>
  <c r="R410" i="14"/>
  <c r="P412" i="14"/>
  <c r="R413" i="14"/>
  <c r="Q414" i="14"/>
  <c r="R414" i="14"/>
  <c r="R415" i="14"/>
  <c r="O416" i="14"/>
  <c r="P416" i="14"/>
  <c r="Q416" i="14"/>
  <c r="Q420" i="14"/>
  <c r="R420" i="14"/>
  <c r="O421" i="14"/>
  <c r="P421" i="14"/>
  <c r="O424" i="14"/>
  <c r="P424" i="14"/>
  <c r="Q424" i="14"/>
  <c r="R424" i="14"/>
  <c r="O425" i="14"/>
  <c r="O428" i="14"/>
  <c r="Q428" i="14"/>
  <c r="R428" i="14"/>
  <c r="P430" i="14"/>
  <c r="Q430" i="14"/>
  <c r="R430" i="14"/>
  <c r="O431" i="14"/>
  <c r="R433" i="14"/>
  <c r="O434" i="14"/>
  <c r="Q435" i="14"/>
  <c r="R435" i="14"/>
  <c r="Q438" i="14"/>
  <c r="R438" i="14"/>
  <c r="O439" i="14"/>
  <c r="P439" i="14"/>
  <c r="Q439" i="14"/>
  <c r="R439" i="14"/>
  <c r="R440" i="14"/>
  <c r="O443" i="14"/>
  <c r="R444" i="14"/>
  <c r="O445" i="14"/>
  <c r="P445" i="14"/>
  <c r="Q445" i="14"/>
  <c r="P448" i="14"/>
  <c r="Q448" i="14"/>
  <c r="R448" i="14"/>
  <c r="O449" i="14"/>
  <c r="P449" i="14"/>
  <c r="Q452" i="14"/>
  <c r="R452" i="14"/>
  <c r="Q453" i="14"/>
  <c r="R453" i="14"/>
  <c r="O454" i="14"/>
  <c r="P454" i="14"/>
  <c r="P455" i="14"/>
  <c r="O457" i="14"/>
  <c r="P457" i="14"/>
  <c r="Q457" i="14"/>
  <c r="Q459" i="14"/>
  <c r="R459" i="14"/>
  <c r="O460" i="14"/>
  <c r="R462" i="14"/>
  <c r="O463" i="14"/>
  <c r="P463" i="14"/>
  <c r="Q463" i="14"/>
  <c r="R463" i="14"/>
  <c r="O464" i="14"/>
  <c r="P464" i="14"/>
  <c r="O467" i="14"/>
  <c r="Q467" i="14"/>
  <c r="R467" i="14"/>
  <c r="Q468" i="14"/>
  <c r="R468" i="14"/>
  <c r="R469" i="14"/>
  <c r="R471" i="14"/>
  <c r="O472" i="14"/>
  <c r="P472" i="14"/>
  <c r="P473" i="14"/>
  <c r="Q473" i="14"/>
  <c r="Q477" i="14"/>
  <c r="R477" i="14"/>
  <c r="O478" i="14"/>
  <c r="P478" i="14"/>
  <c r="Q478" i="14"/>
  <c r="R478" i="14"/>
  <c r="Q481" i="14"/>
  <c r="R481" i="14"/>
  <c r="O482" i="14"/>
  <c r="R485" i="14"/>
  <c r="Q486" i="14"/>
  <c r="R486" i="14"/>
  <c r="R487" i="14"/>
  <c r="O488" i="14"/>
  <c r="P488" i="14"/>
  <c r="Q488" i="14"/>
  <c r="P491" i="14"/>
  <c r="Q492" i="14"/>
  <c r="R492" i="14"/>
  <c r="O493" i="14"/>
  <c r="P493" i="14"/>
  <c r="O496" i="14"/>
  <c r="P496" i="14"/>
  <c r="Q496" i="14"/>
  <c r="R496" i="14"/>
  <c r="O497" i="14"/>
  <c r="P497" i="14"/>
  <c r="O500" i="14"/>
  <c r="Q500" i="14"/>
  <c r="R500" i="14"/>
  <c r="P502" i="14"/>
  <c r="Q502" i="14"/>
  <c r="R502" i="14"/>
  <c r="O503" i="14"/>
  <c r="R505" i="14"/>
  <c r="O506" i="14"/>
  <c r="P506" i="14"/>
  <c r="Q507" i="14"/>
  <c r="R507" i="14"/>
  <c r="Q510" i="14"/>
  <c r="R510" i="14"/>
  <c r="O511" i="14"/>
  <c r="P511" i="14"/>
  <c r="Q511" i="14"/>
  <c r="R511" i="14"/>
  <c r="R512" i="14"/>
  <c r="R514" i="14"/>
  <c r="O515" i="14"/>
  <c r="O517" i="14"/>
  <c r="P517" i="14"/>
  <c r="Q517" i="14"/>
  <c r="P520" i="14"/>
  <c r="Q520" i="14"/>
  <c r="R520" i="14"/>
  <c r="O521" i="14"/>
  <c r="P521" i="14"/>
  <c r="Q521" i="14"/>
  <c r="Q525" i="14"/>
  <c r="R525" i="14"/>
  <c r="O526" i="14"/>
  <c r="P526" i="14"/>
  <c r="P527" i="14"/>
  <c r="O529" i="14"/>
  <c r="P529" i="14"/>
  <c r="Q529" i="14"/>
  <c r="R529" i="14"/>
  <c r="O532" i="14"/>
  <c r="R534" i="14"/>
  <c r="O535" i="14"/>
  <c r="P535" i="14"/>
  <c r="Q535" i="14"/>
  <c r="R535" i="14"/>
  <c r="O536" i="14"/>
  <c r="P536" i="14"/>
  <c r="O539" i="14"/>
  <c r="Q540" i="14"/>
  <c r="R540" i="14"/>
  <c r="R541" i="14"/>
  <c r="R543" i="14"/>
  <c r="O544" i="14"/>
  <c r="P544" i="14"/>
  <c r="P545" i="14"/>
  <c r="Q545" i="14"/>
  <c r="R545" i="14"/>
  <c r="Q549" i="14"/>
  <c r="R549" i="14"/>
  <c r="O550" i="14"/>
  <c r="P550" i="14"/>
  <c r="Q550" i="14"/>
  <c r="R550" i="14"/>
  <c r="Q553" i="14"/>
  <c r="R553" i="14"/>
  <c r="O554" i="14"/>
  <c r="P554" i="14"/>
  <c r="R557" i="14"/>
  <c r="Q558" i="14"/>
  <c r="R558" i="14"/>
  <c r="R559" i="14"/>
  <c r="O560" i="14"/>
  <c r="P560" i="14"/>
  <c r="Q560" i="14"/>
  <c r="R562" i="14"/>
  <c r="O563" i="14"/>
  <c r="O564" i="14"/>
  <c r="P564" i="14"/>
  <c r="Q566" i="14"/>
  <c r="R566" i="14"/>
  <c r="O567" i="14"/>
  <c r="P567" i="14"/>
  <c r="Q567" i="14"/>
  <c r="R567" i="14"/>
  <c r="R568" i="14"/>
  <c r="O570" i="14"/>
  <c r="Q570" i="14"/>
  <c r="R570" i="14"/>
  <c r="R571" i="14"/>
  <c r="O572" i="14"/>
  <c r="P572" i="14"/>
  <c r="Q572" i="14"/>
  <c r="R574" i="14"/>
  <c r="O575" i="14"/>
  <c r="P575" i="14"/>
  <c r="Q575" i="14"/>
  <c r="O576" i="14"/>
  <c r="Q578" i="14"/>
  <c r="R578" i="14"/>
  <c r="O579" i="14"/>
  <c r="P579" i="14"/>
  <c r="Q579" i="14"/>
  <c r="R579" i="14"/>
  <c r="R580" i="14"/>
  <c r="O582" i="14"/>
  <c r="P582" i="14"/>
  <c r="O584" i="14"/>
  <c r="P584" i="14"/>
  <c r="Q584" i="14"/>
  <c r="R586" i="14"/>
  <c r="O587" i="14"/>
  <c r="P587" i="14"/>
  <c r="Q587" i="14"/>
  <c r="R587" i="14"/>
  <c r="O588" i="14"/>
  <c r="O591" i="14"/>
  <c r="P591" i="14"/>
  <c r="Q591" i="14"/>
  <c r="R591" i="14"/>
  <c r="R592" i="14"/>
  <c r="O594" i="14"/>
  <c r="P594" i="14"/>
  <c r="Q594" i="14"/>
  <c r="R594" i="14"/>
  <c r="O596" i="14"/>
  <c r="Q596" i="14"/>
  <c r="R598" i="14"/>
  <c r="O599" i="14"/>
  <c r="P599" i="14"/>
  <c r="Q599" i="14"/>
  <c r="R599" i="14"/>
  <c r="O600" i="14"/>
  <c r="P600" i="14"/>
  <c r="Q602" i="14"/>
  <c r="O603" i="14"/>
  <c r="Q603" i="14"/>
  <c r="R603" i="14"/>
  <c r="R604" i="14"/>
  <c r="O606" i="14"/>
  <c r="P606" i="14"/>
  <c r="Q606" i="14"/>
  <c r="R606" i="14"/>
  <c r="R607" i="14"/>
  <c r="O608" i="14"/>
  <c r="O611" i="14"/>
  <c r="P611" i="14"/>
  <c r="Q611" i="14"/>
  <c r="R611" i="14"/>
  <c r="O612" i="14"/>
  <c r="P612" i="14"/>
  <c r="Q614" i="14"/>
  <c r="R614" i="14"/>
  <c r="O615" i="14"/>
  <c r="R616" i="14"/>
  <c r="O618" i="14"/>
  <c r="P618" i="14"/>
  <c r="Q618" i="14"/>
  <c r="R618" i="14"/>
  <c r="R619" i="14"/>
  <c r="O620" i="14"/>
  <c r="P620" i="14"/>
  <c r="Q620" i="14"/>
  <c r="O623" i="14"/>
  <c r="Q623" i="14"/>
  <c r="R623" i="14"/>
  <c r="O624" i="14"/>
  <c r="P624" i="14"/>
  <c r="Q626" i="14"/>
  <c r="R626" i="14"/>
  <c r="O627" i="14"/>
  <c r="P627" i="14"/>
  <c r="Q627" i="14"/>
  <c r="O630" i="14"/>
  <c r="Q630" i="14"/>
  <c r="R630" i="14"/>
  <c r="R631" i="14"/>
  <c r="O632" i="14"/>
  <c r="P632" i="14"/>
  <c r="Q632" i="14"/>
  <c r="R634" i="14"/>
  <c r="O635" i="14"/>
  <c r="O636" i="14"/>
  <c r="P636" i="14"/>
  <c r="Q638" i="14"/>
  <c r="R638" i="14"/>
  <c r="O639" i="14"/>
  <c r="P639" i="14"/>
  <c r="Q639" i="14"/>
  <c r="R639" i="14"/>
  <c r="R640" i="14"/>
  <c r="O642" i="14"/>
  <c r="Q642" i="14"/>
  <c r="R642" i="14"/>
  <c r="R643" i="14"/>
  <c r="O644" i="14"/>
  <c r="P644" i="14"/>
  <c r="Q644" i="14"/>
  <c r="R646" i="14"/>
  <c r="O647" i="14"/>
  <c r="P647" i="14"/>
  <c r="Q647" i="14"/>
  <c r="O648" i="14"/>
  <c r="Q650" i="14"/>
  <c r="R650" i="14"/>
  <c r="O651" i="14"/>
  <c r="P651" i="14"/>
  <c r="Q651" i="14"/>
  <c r="R651" i="14"/>
  <c r="R652" i="14"/>
  <c r="O654" i="14"/>
  <c r="P654" i="14"/>
  <c r="O656" i="14"/>
  <c r="P656" i="14"/>
  <c r="Q656" i="14"/>
  <c r="R658" i="14"/>
  <c r="O659" i="14"/>
  <c r="P659" i="14"/>
  <c r="Q659" i="14"/>
  <c r="R659" i="14"/>
  <c r="O660" i="14"/>
  <c r="O663" i="14"/>
  <c r="P663" i="14"/>
  <c r="Q663" i="14"/>
  <c r="R663" i="14"/>
  <c r="R664" i="14"/>
  <c r="O666" i="14"/>
  <c r="P666" i="14"/>
  <c r="Q666" i="14"/>
  <c r="R666" i="14"/>
  <c r="O668" i="14"/>
  <c r="Q668" i="14"/>
  <c r="R670" i="14"/>
  <c r="O671" i="14"/>
  <c r="P671" i="14"/>
  <c r="Q671" i="14"/>
  <c r="R671" i="14"/>
  <c r="O672" i="14"/>
  <c r="P672" i="14"/>
  <c r="Q674" i="14"/>
  <c r="O675" i="14"/>
  <c r="Q675" i="14"/>
  <c r="R675" i="14"/>
  <c r="R676" i="14"/>
  <c r="O678" i="14"/>
  <c r="P678" i="14"/>
  <c r="Q678" i="14"/>
  <c r="R678" i="14"/>
  <c r="R679" i="14"/>
  <c r="O680" i="14"/>
  <c r="O683" i="14"/>
  <c r="P683" i="14"/>
  <c r="Q683" i="14"/>
  <c r="R683" i="14"/>
  <c r="O684" i="14"/>
  <c r="P684" i="14"/>
  <c r="Q686" i="14"/>
  <c r="R686" i="14"/>
  <c r="O687" i="14"/>
  <c r="R688" i="14"/>
  <c r="O690" i="14"/>
  <c r="P690" i="14"/>
  <c r="Q690" i="14"/>
  <c r="R690" i="14"/>
  <c r="R691" i="14"/>
  <c r="O692" i="14"/>
  <c r="P692" i="14"/>
  <c r="Q692" i="14"/>
  <c r="O695" i="14"/>
  <c r="Q695" i="14"/>
  <c r="R695" i="14"/>
  <c r="O696" i="14"/>
  <c r="P696" i="14"/>
  <c r="Q698" i="14"/>
  <c r="R698" i="14"/>
  <c r="O699" i="14"/>
  <c r="P699" i="14"/>
  <c r="Q699" i="14"/>
  <c r="O702" i="14"/>
  <c r="Q702" i="14"/>
  <c r="R702" i="14"/>
  <c r="R703" i="14"/>
  <c r="O704" i="14"/>
  <c r="P704" i="14"/>
  <c r="Q704" i="14"/>
  <c r="R706" i="14"/>
  <c r="O707" i="14"/>
  <c r="O708" i="14"/>
  <c r="P708" i="14"/>
  <c r="Q710" i="14"/>
  <c r="R710" i="14"/>
  <c r="O711" i="14"/>
  <c r="P711" i="14"/>
  <c r="Q711" i="14"/>
  <c r="R711" i="14"/>
  <c r="R712" i="14"/>
  <c r="O714" i="14"/>
  <c r="Q714" i="14"/>
  <c r="R714" i="14"/>
  <c r="R715" i="14"/>
  <c r="O716" i="14"/>
  <c r="P716" i="14"/>
  <c r="Q716" i="14"/>
  <c r="R718" i="14"/>
  <c r="O719" i="14"/>
  <c r="P719" i="14"/>
  <c r="Q719" i="14"/>
  <c r="O720" i="14"/>
  <c r="Q722" i="14"/>
  <c r="R722" i="14"/>
  <c r="O723" i="14"/>
  <c r="P723" i="14"/>
  <c r="Q723" i="14"/>
  <c r="R723" i="14"/>
  <c r="R724" i="14"/>
  <c r="O726" i="14"/>
  <c r="P726" i="14"/>
  <c r="O728" i="14"/>
  <c r="P728" i="14"/>
  <c r="Q728" i="14"/>
  <c r="R730" i="14"/>
  <c r="O731" i="14"/>
  <c r="P731" i="14"/>
  <c r="Q731" i="14"/>
  <c r="R731" i="14"/>
  <c r="O732" i="14"/>
  <c r="O735" i="14"/>
  <c r="P735" i="14"/>
  <c r="Q735" i="14"/>
  <c r="R735" i="14"/>
  <c r="R736" i="14"/>
  <c r="O738" i="14"/>
  <c r="P738" i="14"/>
  <c r="Q738" i="14"/>
  <c r="R738" i="14"/>
  <c r="L3" i="14"/>
  <c r="M3" i="14"/>
  <c r="N3" i="14"/>
  <c r="L2" i="14"/>
  <c r="P85" i="14" s="1"/>
  <c r="M2" i="14"/>
  <c r="Q316" i="14" s="1"/>
  <c r="N2" i="14"/>
  <c r="K3" i="14"/>
  <c r="K2" i="14"/>
  <c r="O331" i="14" s="1"/>
  <c r="AA738" i="14"/>
  <c r="Z738" i="14"/>
  <c r="Y738" i="14"/>
  <c r="X738" i="14"/>
  <c r="W738" i="14"/>
  <c r="V738" i="14"/>
  <c r="U738" i="14"/>
  <c r="T738" i="14"/>
  <c r="S738" i="14"/>
  <c r="AA737" i="14"/>
  <c r="Z737" i="14"/>
  <c r="Y737" i="14"/>
  <c r="X737" i="14"/>
  <c r="W737" i="14"/>
  <c r="V737" i="14"/>
  <c r="U737" i="14"/>
  <c r="T737" i="14"/>
  <c r="S737" i="14"/>
  <c r="AA736" i="14"/>
  <c r="Z736" i="14"/>
  <c r="Y736" i="14"/>
  <c r="X736" i="14"/>
  <c r="W736" i="14"/>
  <c r="V736" i="14"/>
  <c r="U736" i="14"/>
  <c r="T736" i="14"/>
  <c r="S736" i="14"/>
  <c r="AA735" i="14"/>
  <c r="Z735" i="14"/>
  <c r="Y735" i="14"/>
  <c r="X735" i="14"/>
  <c r="W735" i="14"/>
  <c r="V735" i="14"/>
  <c r="U735" i="14"/>
  <c r="T735" i="14"/>
  <c r="S735" i="14"/>
  <c r="AA734" i="14"/>
  <c r="Z734" i="14"/>
  <c r="Y734" i="14"/>
  <c r="X734" i="14"/>
  <c r="W734" i="14"/>
  <c r="V734" i="14"/>
  <c r="U734" i="14"/>
  <c r="T734" i="14"/>
  <c r="S734" i="14"/>
  <c r="AA733" i="14"/>
  <c r="Z733" i="14"/>
  <c r="Y733" i="14"/>
  <c r="X733" i="14"/>
  <c r="W733" i="14"/>
  <c r="V733" i="14"/>
  <c r="U733" i="14"/>
  <c r="T733" i="14"/>
  <c r="S733" i="14"/>
  <c r="AA732" i="14"/>
  <c r="Z732" i="14"/>
  <c r="Y732" i="14"/>
  <c r="X732" i="14"/>
  <c r="W732" i="14"/>
  <c r="V732" i="14"/>
  <c r="U732" i="14"/>
  <c r="T732" i="14"/>
  <c r="S732" i="14"/>
  <c r="AA731" i="14"/>
  <c r="Z731" i="14"/>
  <c r="Y731" i="14"/>
  <c r="X731" i="14"/>
  <c r="W731" i="14"/>
  <c r="V731" i="14"/>
  <c r="U731" i="14"/>
  <c r="T731" i="14"/>
  <c r="S731" i="14"/>
  <c r="AA730" i="14"/>
  <c r="Z730" i="14"/>
  <c r="Y730" i="14"/>
  <c r="X730" i="14"/>
  <c r="W730" i="14"/>
  <c r="V730" i="14"/>
  <c r="U730" i="14"/>
  <c r="T730" i="14"/>
  <c r="S730" i="14"/>
  <c r="AA729" i="14"/>
  <c r="Z729" i="14"/>
  <c r="Y729" i="14"/>
  <c r="X729" i="14"/>
  <c r="W729" i="14"/>
  <c r="V729" i="14"/>
  <c r="U729" i="14"/>
  <c r="T729" i="14"/>
  <c r="S729" i="14"/>
  <c r="AA728" i="14"/>
  <c r="Z728" i="14"/>
  <c r="Y728" i="14"/>
  <c r="X728" i="14"/>
  <c r="W728" i="14"/>
  <c r="V728" i="14"/>
  <c r="U728" i="14"/>
  <c r="T728" i="14"/>
  <c r="S728" i="14"/>
  <c r="AA727" i="14"/>
  <c r="Z727" i="14"/>
  <c r="Y727" i="14"/>
  <c r="X727" i="14"/>
  <c r="W727" i="14"/>
  <c r="V727" i="14"/>
  <c r="U727" i="14"/>
  <c r="T727" i="14"/>
  <c r="S727" i="14"/>
  <c r="AA726" i="14"/>
  <c r="Z726" i="14"/>
  <c r="Y726" i="14"/>
  <c r="X726" i="14"/>
  <c r="W726" i="14"/>
  <c r="V726" i="14"/>
  <c r="U726" i="14"/>
  <c r="T726" i="14"/>
  <c r="S726" i="14"/>
  <c r="AA725" i="14"/>
  <c r="Z725" i="14"/>
  <c r="Y725" i="14"/>
  <c r="X725" i="14"/>
  <c r="W725" i="14"/>
  <c r="V725" i="14"/>
  <c r="U725" i="14"/>
  <c r="T725" i="14"/>
  <c r="S725" i="14"/>
  <c r="AA724" i="14"/>
  <c r="Z724" i="14"/>
  <c r="Y724" i="14"/>
  <c r="X724" i="14"/>
  <c r="W724" i="14"/>
  <c r="V724" i="14"/>
  <c r="U724" i="14"/>
  <c r="T724" i="14"/>
  <c r="S724" i="14"/>
  <c r="AA723" i="14"/>
  <c r="Z723" i="14"/>
  <c r="Y723" i="14"/>
  <c r="X723" i="14"/>
  <c r="W723" i="14"/>
  <c r="V723" i="14"/>
  <c r="U723" i="14"/>
  <c r="T723" i="14"/>
  <c r="S723" i="14"/>
  <c r="AA722" i="14"/>
  <c r="Z722" i="14"/>
  <c r="Y722" i="14"/>
  <c r="X722" i="14"/>
  <c r="W722" i="14"/>
  <c r="V722" i="14"/>
  <c r="U722" i="14"/>
  <c r="T722" i="14"/>
  <c r="S722" i="14"/>
  <c r="AA721" i="14"/>
  <c r="Z721" i="14"/>
  <c r="Y721" i="14"/>
  <c r="X721" i="14"/>
  <c r="W721" i="14"/>
  <c r="V721" i="14"/>
  <c r="U721" i="14"/>
  <c r="T721" i="14"/>
  <c r="S721" i="14"/>
  <c r="AA720" i="14"/>
  <c r="Z720" i="14"/>
  <c r="Y720" i="14"/>
  <c r="X720" i="14"/>
  <c r="W720" i="14"/>
  <c r="V720" i="14"/>
  <c r="U720" i="14"/>
  <c r="T720" i="14"/>
  <c r="S720" i="14"/>
  <c r="AA719" i="14"/>
  <c r="Z719" i="14"/>
  <c r="Y719" i="14"/>
  <c r="X719" i="14"/>
  <c r="W719" i="14"/>
  <c r="V719" i="14"/>
  <c r="U719" i="14"/>
  <c r="T719" i="14"/>
  <c r="S719" i="14"/>
  <c r="AA718" i="14"/>
  <c r="Z718" i="14"/>
  <c r="Y718" i="14"/>
  <c r="X718" i="14"/>
  <c r="W718" i="14"/>
  <c r="V718" i="14"/>
  <c r="U718" i="14"/>
  <c r="T718" i="14"/>
  <c r="S718" i="14"/>
  <c r="AA717" i="14"/>
  <c r="Z717" i="14"/>
  <c r="Y717" i="14"/>
  <c r="X717" i="14"/>
  <c r="W717" i="14"/>
  <c r="V717" i="14"/>
  <c r="U717" i="14"/>
  <c r="T717" i="14"/>
  <c r="S717" i="14"/>
  <c r="AA716" i="14"/>
  <c r="Z716" i="14"/>
  <c r="Y716" i="14"/>
  <c r="X716" i="14"/>
  <c r="W716" i="14"/>
  <c r="V716" i="14"/>
  <c r="U716" i="14"/>
  <c r="T716" i="14"/>
  <c r="S716" i="14"/>
  <c r="AA715" i="14"/>
  <c r="Z715" i="14"/>
  <c r="Y715" i="14"/>
  <c r="X715" i="14"/>
  <c r="W715" i="14"/>
  <c r="V715" i="14"/>
  <c r="U715" i="14"/>
  <c r="T715" i="14"/>
  <c r="S715" i="14"/>
  <c r="AA714" i="14"/>
  <c r="Z714" i="14"/>
  <c r="Y714" i="14"/>
  <c r="X714" i="14"/>
  <c r="W714" i="14"/>
  <c r="V714" i="14"/>
  <c r="U714" i="14"/>
  <c r="T714" i="14"/>
  <c r="S714" i="14"/>
  <c r="AA713" i="14"/>
  <c r="Z713" i="14"/>
  <c r="Y713" i="14"/>
  <c r="X713" i="14"/>
  <c r="W713" i="14"/>
  <c r="V713" i="14"/>
  <c r="U713" i="14"/>
  <c r="T713" i="14"/>
  <c r="S713" i="14"/>
  <c r="AA712" i="14"/>
  <c r="Z712" i="14"/>
  <c r="Y712" i="14"/>
  <c r="X712" i="14"/>
  <c r="W712" i="14"/>
  <c r="V712" i="14"/>
  <c r="U712" i="14"/>
  <c r="T712" i="14"/>
  <c r="S712" i="14"/>
  <c r="AA711" i="14"/>
  <c r="Z711" i="14"/>
  <c r="Y711" i="14"/>
  <c r="X711" i="14"/>
  <c r="W711" i="14"/>
  <c r="V711" i="14"/>
  <c r="U711" i="14"/>
  <c r="T711" i="14"/>
  <c r="S711" i="14"/>
  <c r="AA710" i="14"/>
  <c r="Z710" i="14"/>
  <c r="Y710" i="14"/>
  <c r="X710" i="14"/>
  <c r="W710" i="14"/>
  <c r="V710" i="14"/>
  <c r="U710" i="14"/>
  <c r="T710" i="14"/>
  <c r="S710" i="14"/>
  <c r="AA709" i="14"/>
  <c r="Z709" i="14"/>
  <c r="Y709" i="14"/>
  <c r="X709" i="14"/>
  <c r="W709" i="14"/>
  <c r="V709" i="14"/>
  <c r="U709" i="14"/>
  <c r="T709" i="14"/>
  <c r="S709" i="14"/>
  <c r="AA708" i="14"/>
  <c r="Z708" i="14"/>
  <c r="Y708" i="14"/>
  <c r="X708" i="14"/>
  <c r="W708" i="14"/>
  <c r="V708" i="14"/>
  <c r="U708" i="14"/>
  <c r="T708" i="14"/>
  <c r="S708" i="14"/>
  <c r="AA707" i="14"/>
  <c r="Z707" i="14"/>
  <c r="Y707" i="14"/>
  <c r="X707" i="14"/>
  <c r="W707" i="14"/>
  <c r="V707" i="14"/>
  <c r="U707" i="14"/>
  <c r="T707" i="14"/>
  <c r="S707" i="14"/>
  <c r="AA706" i="14"/>
  <c r="Z706" i="14"/>
  <c r="Y706" i="14"/>
  <c r="X706" i="14"/>
  <c r="W706" i="14"/>
  <c r="V706" i="14"/>
  <c r="U706" i="14"/>
  <c r="T706" i="14"/>
  <c r="S706" i="14"/>
  <c r="AA705" i="14"/>
  <c r="Z705" i="14"/>
  <c r="Y705" i="14"/>
  <c r="X705" i="14"/>
  <c r="W705" i="14"/>
  <c r="V705" i="14"/>
  <c r="U705" i="14"/>
  <c r="T705" i="14"/>
  <c r="S705" i="14"/>
  <c r="AA704" i="14"/>
  <c r="Z704" i="14"/>
  <c r="Y704" i="14"/>
  <c r="X704" i="14"/>
  <c r="W704" i="14"/>
  <c r="V704" i="14"/>
  <c r="U704" i="14"/>
  <c r="T704" i="14"/>
  <c r="S704" i="14"/>
  <c r="AA703" i="14"/>
  <c r="Z703" i="14"/>
  <c r="Y703" i="14"/>
  <c r="X703" i="14"/>
  <c r="W703" i="14"/>
  <c r="V703" i="14"/>
  <c r="U703" i="14"/>
  <c r="T703" i="14"/>
  <c r="S703" i="14"/>
  <c r="AA702" i="14"/>
  <c r="Z702" i="14"/>
  <c r="Y702" i="14"/>
  <c r="X702" i="14"/>
  <c r="W702" i="14"/>
  <c r="V702" i="14"/>
  <c r="U702" i="14"/>
  <c r="T702" i="14"/>
  <c r="S702" i="14"/>
  <c r="AA701" i="14"/>
  <c r="Z701" i="14"/>
  <c r="Y701" i="14"/>
  <c r="X701" i="14"/>
  <c r="W701" i="14"/>
  <c r="V701" i="14"/>
  <c r="U701" i="14"/>
  <c r="T701" i="14"/>
  <c r="S701" i="14"/>
  <c r="AA700" i="14"/>
  <c r="Z700" i="14"/>
  <c r="Y700" i="14"/>
  <c r="X700" i="14"/>
  <c r="W700" i="14"/>
  <c r="V700" i="14"/>
  <c r="U700" i="14"/>
  <c r="T700" i="14"/>
  <c r="S700" i="14"/>
  <c r="AA699" i="14"/>
  <c r="Z699" i="14"/>
  <c r="Y699" i="14"/>
  <c r="X699" i="14"/>
  <c r="W699" i="14"/>
  <c r="V699" i="14"/>
  <c r="U699" i="14"/>
  <c r="T699" i="14"/>
  <c r="S699" i="14"/>
  <c r="AA698" i="14"/>
  <c r="Z698" i="14"/>
  <c r="Y698" i="14"/>
  <c r="X698" i="14"/>
  <c r="W698" i="14"/>
  <c r="V698" i="14"/>
  <c r="U698" i="14"/>
  <c r="T698" i="14"/>
  <c r="S698" i="14"/>
  <c r="AA697" i="14"/>
  <c r="Z697" i="14"/>
  <c r="Y697" i="14"/>
  <c r="X697" i="14"/>
  <c r="W697" i="14"/>
  <c r="V697" i="14"/>
  <c r="U697" i="14"/>
  <c r="T697" i="14"/>
  <c r="S697" i="14"/>
  <c r="AA696" i="14"/>
  <c r="Z696" i="14"/>
  <c r="Y696" i="14"/>
  <c r="X696" i="14"/>
  <c r="W696" i="14"/>
  <c r="V696" i="14"/>
  <c r="U696" i="14"/>
  <c r="T696" i="14"/>
  <c r="S696" i="14"/>
  <c r="AA695" i="14"/>
  <c r="Z695" i="14"/>
  <c r="Y695" i="14"/>
  <c r="X695" i="14"/>
  <c r="W695" i="14"/>
  <c r="V695" i="14"/>
  <c r="U695" i="14"/>
  <c r="T695" i="14"/>
  <c r="S695" i="14"/>
  <c r="AA694" i="14"/>
  <c r="Z694" i="14"/>
  <c r="Y694" i="14"/>
  <c r="X694" i="14"/>
  <c r="W694" i="14"/>
  <c r="V694" i="14"/>
  <c r="U694" i="14"/>
  <c r="T694" i="14"/>
  <c r="S694" i="14"/>
  <c r="AA693" i="14"/>
  <c r="Z693" i="14"/>
  <c r="Y693" i="14"/>
  <c r="X693" i="14"/>
  <c r="W693" i="14"/>
  <c r="V693" i="14"/>
  <c r="U693" i="14"/>
  <c r="T693" i="14"/>
  <c r="S693" i="14"/>
  <c r="AA692" i="14"/>
  <c r="Z692" i="14"/>
  <c r="Y692" i="14"/>
  <c r="X692" i="14"/>
  <c r="W692" i="14"/>
  <c r="V692" i="14"/>
  <c r="U692" i="14"/>
  <c r="T692" i="14"/>
  <c r="S692" i="14"/>
  <c r="AA691" i="14"/>
  <c r="Z691" i="14"/>
  <c r="Y691" i="14"/>
  <c r="X691" i="14"/>
  <c r="W691" i="14"/>
  <c r="V691" i="14"/>
  <c r="U691" i="14"/>
  <c r="T691" i="14"/>
  <c r="S691" i="14"/>
  <c r="AA690" i="14"/>
  <c r="Z690" i="14"/>
  <c r="Y690" i="14"/>
  <c r="X690" i="14"/>
  <c r="W690" i="14"/>
  <c r="V690" i="14"/>
  <c r="U690" i="14"/>
  <c r="T690" i="14"/>
  <c r="S690" i="14"/>
  <c r="AA689" i="14"/>
  <c r="Z689" i="14"/>
  <c r="Y689" i="14"/>
  <c r="X689" i="14"/>
  <c r="W689" i="14"/>
  <c r="V689" i="14"/>
  <c r="U689" i="14"/>
  <c r="T689" i="14"/>
  <c r="S689" i="14"/>
  <c r="AA688" i="14"/>
  <c r="Z688" i="14"/>
  <c r="Y688" i="14"/>
  <c r="X688" i="14"/>
  <c r="W688" i="14"/>
  <c r="V688" i="14"/>
  <c r="U688" i="14"/>
  <c r="T688" i="14"/>
  <c r="S688" i="14"/>
  <c r="AA687" i="14"/>
  <c r="Z687" i="14"/>
  <c r="Y687" i="14"/>
  <c r="X687" i="14"/>
  <c r="W687" i="14"/>
  <c r="V687" i="14"/>
  <c r="U687" i="14"/>
  <c r="T687" i="14"/>
  <c r="S687" i="14"/>
  <c r="AA686" i="14"/>
  <c r="Z686" i="14"/>
  <c r="Y686" i="14"/>
  <c r="X686" i="14"/>
  <c r="W686" i="14"/>
  <c r="V686" i="14"/>
  <c r="U686" i="14"/>
  <c r="T686" i="14"/>
  <c r="S686" i="14"/>
  <c r="AA685" i="14"/>
  <c r="Z685" i="14"/>
  <c r="Y685" i="14"/>
  <c r="X685" i="14"/>
  <c r="W685" i="14"/>
  <c r="V685" i="14"/>
  <c r="U685" i="14"/>
  <c r="T685" i="14"/>
  <c r="S685" i="14"/>
  <c r="AA684" i="14"/>
  <c r="Z684" i="14"/>
  <c r="Y684" i="14"/>
  <c r="X684" i="14"/>
  <c r="W684" i="14"/>
  <c r="V684" i="14"/>
  <c r="U684" i="14"/>
  <c r="T684" i="14"/>
  <c r="S684" i="14"/>
  <c r="AA683" i="14"/>
  <c r="Z683" i="14"/>
  <c r="Y683" i="14"/>
  <c r="X683" i="14"/>
  <c r="W683" i="14"/>
  <c r="V683" i="14"/>
  <c r="U683" i="14"/>
  <c r="T683" i="14"/>
  <c r="S683" i="14"/>
  <c r="AA682" i="14"/>
  <c r="Z682" i="14"/>
  <c r="Y682" i="14"/>
  <c r="X682" i="14"/>
  <c r="W682" i="14"/>
  <c r="V682" i="14"/>
  <c r="U682" i="14"/>
  <c r="T682" i="14"/>
  <c r="S682" i="14"/>
  <c r="AA681" i="14"/>
  <c r="Z681" i="14"/>
  <c r="Y681" i="14"/>
  <c r="X681" i="14"/>
  <c r="W681" i="14"/>
  <c r="V681" i="14"/>
  <c r="U681" i="14"/>
  <c r="T681" i="14"/>
  <c r="S681" i="14"/>
  <c r="AA680" i="14"/>
  <c r="Z680" i="14"/>
  <c r="Y680" i="14"/>
  <c r="X680" i="14"/>
  <c r="W680" i="14"/>
  <c r="V680" i="14"/>
  <c r="U680" i="14"/>
  <c r="T680" i="14"/>
  <c r="S680" i="14"/>
  <c r="AA679" i="14"/>
  <c r="Z679" i="14"/>
  <c r="Y679" i="14"/>
  <c r="X679" i="14"/>
  <c r="W679" i="14"/>
  <c r="V679" i="14"/>
  <c r="U679" i="14"/>
  <c r="T679" i="14"/>
  <c r="S679" i="14"/>
  <c r="AA678" i="14"/>
  <c r="Z678" i="14"/>
  <c r="Y678" i="14"/>
  <c r="X678" i="14"/>
  <c r="W678" i="14"/>
  <c r="V678" i="14"/>
  <c r="U678" i="14"/>
  <c r="T678" i="14"/>
  <c r="S678" i="14"/>
  <c r="AA677" i="14"/>
  <c r="Z677" i="14"/>
  <c r="Y677" i="14"/>
  <c r="X677" i="14"/>
  <c r="W677" i="14"/>
  <c r="V677" i="14"/>
  <c r="U677" i="14"/>
  <c r="T677" i="14"/>
  <c r="S677" i="14"/>
  <c r="AA676" i="14"/>
  <c r="Z676" i="14"/>
  <c r="Y676" i="14"/>
  <c r="X676" i="14"/>
  <c r="W676" i="14"/>
  <c r="V676" i="14"/>
  <c r="U676" i="14"/>
  <c r="T676" i="14"/>
  <c r="S676" i="14"/>
  <c r="AA675" i="14"/>
  <c r="Z675" i="14"/>
  <c r="Y675" i="14"/>
  <c r="X675" i="14"/>
  <c r="W675" i="14"/>
  <c r="V675" i="14"/>
  <c r="U675" i="14"/>
  <c r="T675" i="14"/>
  <c r="S675" i="14"/>
  <c r="AA674" i="14"/>
  <c r="Z674" i="14"/>
  <c r="Y674" i="14"/>
  <c r="X674" i="14"/>
  <c r="W674" i="14"/>
  <c r="V674" i="14"/>
  <c r="U674" i="14"/>
  <c r="T674" i="14"/>
  <c r="S674" i="14"/>
  <c r="AA673" i="14"/>
  <c r="Z673" i="14"/>
  <c r="Y673" i="14"/>
  <c r="X673" i="14"/>
  <c r="W673" i="14"/>
  <c r="V673" i="14"/>
  <c r="U673" i="14"/>
  <c r="T673" i="14"/>
  <c r="S673" i="14"/>
  <c r="AA672" i="14"/>
  <c r="Z672" i="14"/>
  <c r="Y672" i="14"/>
  <c r="X672" i="14"/>
  <c r="W672" i="14"/>
  <c r="V672" i="14"/>
  <c r="U672" i="14"/>
  <c r="T672" i="14"/>
  <c r="S672" i="14"/>
  <c r="AA671" i="14"/>
  <c r="Z671" i="14"/>
  <c r="Y671" i="14"/>
  <c r="X671" i="14"/>
  <c r="W671" i="14"/>
  <c r="V671" i="14"/>
  <c r="U671" i="14"/>
  <c r="T671" i="14"/>
  <c r="S671" i="14"/>
  <c r="AA670" i="14"/>
  <c r="Z670" i="14"/>
  <c r="Y670" i="14"/>
  <c r="X670" i="14"/>
  <c r="W670" i="14"/>
  <c r="V670" i="14"/>
  <c r="U670" i="14"/>
  <c r="T670" i="14"/>
  <c r="S670" i="14"/>
  <c r="AA669" i="14"/>
  <c r="Z669" i="14"/>
  <c r="Y669" i="14"/>
  <c r="X669" i="14"/>
  <c r="W669" i="14"/>
  <c r="V669" i="14"/>
  <c r="U669" i="14"/>
  <c r="T669" i="14"/>
  <c r="S669" i="14"/>
  <c r="AA668" i="14"/>
  <c r="Z668" i="14"/>
  <c r="Y668" i="14"/>
  <c r="X668" i="14"/>
  <c r="W668" i="14"/>
  <c r="V668" i="14"/>
  <c r="U668" i="14"/>
  <c r="T668" i="14"/>
  <c r="S668" i="14"/>
  <c r="AA667" i="14"/>
  <c r="Z667" i="14"/>
  <c r="Y667" i="14"/>
  <c r="X667" i="14"/>
  <c r="W667" i="14"/>
  <c r="V667" i="14"/>
  <c r="U667" i="14"/>
  <c r="T667" i="14"/>
  <c r="S667" i="14"/>
  <c r="AA666" i="14"/>
  <c r="Z666" i="14"/>
  <c r="Y666" i="14"/>
  <c r="X666" i="14"/>
  <c r="W666" i="14"/>
  <c r="V666" i="14"/>
  <c r="U666" i="14"/>
  <c r="T666" i="14"/>
  <c r="S666" i="14"/>
  <c r="AA665" i="14"/>
  <c r="Z665" i="14"/>
  <c r="Y665" i="14"/>
  <c r="X665" i="14"/>
  <c r="W665" i="14"/>
  <c r="V665" i="14"/>
  <c r="U665" i="14"/>
  <c r="T665" i="14"/>
  <c r="S665" i="14"/>
  <c r="AA664" i="14"/>
  <c r="Z664" i="14"/>
  <c r="Y664" i="14"/>
  <c r="X664" i="14"/>
  <c r="W664" i="14"/>
  <c r="V664" i="14"/>
  <c r="U664" i="14"/>
  <c r="T664" i="14"/>
  <c r="S664" i="14"/>
  <c r="AA663" i="14"/>
  <c r="Z663" i="14"/>
  <c r="Y663" i="14"/>
  <c r="X663" i="14"/>
  <c r="W663" i="14"/>
  <c r="V663" i="14"/>
  <c r="U663" i="14"/>
  <c r="T663" i="14"/>
  <c r="S663" i="14"/>
  <c r="AA662" i="14"/>
  <c r="Z662" i="14"/>
  <c r="Y662" i="14"/>
  <c r="X662" i="14"/>
  <c r="W662" i="14"/>
  <c r="V662" i="14"/>
  <c r="U662" i="14"/>
  <c r="T662" i="14"/>
  <c r="S662" i="14"/>
  <c r="AA661" i="14"/>
  <c r="Z661" i="14"/>
  <c r="Y661" i="14"/>
  <c r="X661" i="14"/>
  <c r="W661" i="14"/>
  <c r="V661" i="14"/>
  <c r="U661" i="14"/>
  <c r="T661" i="14"/>
  <c r="S661" i="14"/>
  <c r="AA660" i="14"/>
  <c r="Z660" i="14"/>
  <c r="Y660" i="14"/>
  <c r="X660" i="14"/>
  <c r="W660" i="14"/>
  <c r="V660" i="14"/>
  <c r="U660" i="14"/>
  <c r="T660" i="14"/>
  <c r="S660" i="14"/>
  <c r="AA659" i="14"/>
  <c r="Z659" i="14"/>
  <c r="Y659" i="14"/>
  <c r="X659" i="14"/>
  <c r="W659" i="14"/>
  <c r="V659" i="14"/>
  <c r="U659" i="14"/>
  <c r="T659" i="14"/>
  <c r="S659" i="14"/>
  <c r="AA658" i="14"/>
  <c r="Z658" i="14"/>
  <c r="Y658" i="14"/>
  <c r="X658" i="14"/>
  <c r="W658" i="14"/>
  <c r="V658" i="14"/>
  <c r="U658" i="14"/>
  <c r="T658" i="14"/>
  <c r="S658" i="14"/>
  <c r="AA657" i="14"/>
  <c r="Z657" i="14"/>
  <c r="Y657" i="14"/>
  <c r="X657" i="14"/>
  <c r="W657" i="14"/>
  <c r="V657" i="14"/>
  <c r="U657" i="14"/>
  <c r="T657" i="14"/>
  <c r="S657" i="14"/>
  <c r="AA656" i="14"/>
  <c r="Z656" i="14"/>
  <c r="Y656" i="14"/>
  <c r="X656" i="14"/>
  <c r="W656" i="14"/>
  <c r="V656" i="14"/>
  <c r="U656" i="14"/>
  <c r="T656" i="14"/>
  <c r="S656" i="14"/>
  <c r="AA655" i="14"/>
  <c r="Z655" i="14"/>
  <c r="Y655" i="14"/>
  <c r="X655" i="14"/>
  <c r="W655" i="14"/>
  <c r="V655" i="14"/>
  <c r="U655" i="14"/>
  <c r="T655" i="14"/>
  <c r="S655" i="14"/>
  <c r="AA654" i="14"/>
  <c r="Z654" i="14"/>
  <c r="Y654" i="14"/>
  <c r="X654" i="14"/>
  <c r="W654" i="14"/>
  <c r="V654" i="14"/>
  <c r="U654" i="14"/>
  <c r="T654" i="14"/>
  <c r="S654" i="14"/>
  <c r="AA653" i="14"/>
  <c r="Z653" i="14"/>
  <c r="Y653" i="14"/>
  <c r="X653" i="14"/>
  <c r="W653" i="14"/>
  <c r="V653" i="14"/>
  <c r="U653" i="14"/>
  <c r="T653" i="14"/>
  <c r="S653" i="14"/>
  <c r="AA652" i="14"/>
  <c r="Z652" i="14"/>
  <c r="Y652" i="14"/>
  <c r="X652" i="14"/>
  <c r="W652" i="14"/>
  <c r="V652" i="14"/>
  <c r="U652" i="14"/>
  <c r="T652" i="14"/>
  <c r="S652" i="14"/>
  <c r="AA651" i="14"/>
  <c r="Z651" i="14"/>
  <c r="Y651" i="14"/>
  <c r="X651" i="14"/>
  <c r="W651" i="14"/>
  <c r="V651" i="14"/>
  <c r="U651" i="14"/>
  <c r="T651" i="14"/>
  <c r="S651" i="14"/>
  <c r="AA650" i="14"/>
  <c r="Z650" i="14"/>
  <c r="Y650" i="14"/>
  <c r="X650" i="14"/>
  <c r="W650" i="14"/>
  <c r="V650" i="14"/>
  <c r="U650" i="14"/>
  <c r="T650" i="14"/>
  <c r="S650" i="14"/>
  <c r="AA649" i="14"/>
  <c r="Z649" i="14"/>
  <c r="Y649" i="14"/>
  <c r="X649" i="14"/>
  <c r="W649" i="14"/>
  <c r="V649" i="14"/>
  <c r="U649" i="14"/>
  <c r="T649" i="14"/>
  <c r="S649" i="14"/>
  <c r="AA648" i="14"/>
  <c r="Z648" i="14"/>
  <c r="Y648" i="14"/>
  <c r="X648" i="14"/>
  <c r="W648" i="14"/>
  <c r="V648" i="14"/>
  <c r="U648" i="14"/>
  <c r="T648" i="14"/>
  <c r="S648" i="14"/>
  <c r="AA647" i="14"/>
  <c r="Z647" i="14"/>
  <c r="Y647" i="14"/>
  <c r="X647" i="14"/>
  <c r="W647" i="14"/>
  <c r="V647" i="14"/>
  <c r="U647" i="14"/>
  <c r="T647" i="14"/>
  <c r="S647" i="14"/>
  <c r="AA646" i="14"/>
  <c r="Z646" i="14"/>
  <c r="Y646" i="14"/>
  <c r="X646" i="14"/>
  <c r="W646" i="14"/>
  <c r="V646" i="14"/>
  <c r="U646" i="14"/>
  <c r="T646" i="14"/>
  <c r="S646" i="14"/>
  <c r="AA645" i="14"/>
  <c r="Z645" i="14"/>
  <c r="Y645" i="14"/>
  <c r="X645" i="14"/>
  <c r="W645" i="14"/>
  <c r="V645" i="14"/>
  <c r="U645" i="14"/>
  <c r="T645" i="14"/>
  <c r="S645" i="14"/>
  <c r="AA644" i="14"/>
  <c r="Z644" i="14"/>
  <c r="Y644" i="14"/>
  <c r="X644" i="14"/>
  <c r="W644" i="14"/>
  <c r="V644" i="14"/>
  <c r="U644" i="14"/>
  <c r="T644" i="14"/>
  <c r="S644" i="14"/>
  <c r="AA643" i="14"/>
  <c r="Z643" i="14"/>
  <c r="Y643" i="14"/>
  <c r="X643" i="14"/>
  <c r="W643" i="14"/>
  <c r="V643" i="14"/>
  <c r="U643" i="14"/>
  <c r="T643" i="14"/>
  <c r="S643" i="14"/>
  <c r="AA642" i="14"/>
  <c r="Z642" i="14"/>
  <c r="Y642" i="14"/>
  <c r="X642" i="14"/>
  <c r="W642" i="14"/>
  <c r="V642" i="14"/>
  <c r="U642" i="14"/>
  <c r="T642" i="14"/>
  <c r="S642" i="14"/>
  <c r="AA641" i="14"/>
  <c r="Z641" i="14"/>
  <c r="Y641" i="14"/>
  <c r="X641" i="14"/>
  <c r="W641" i="14"/>
  <c r="V641" i="14"/>
  <c r="U641" i="14"/>
  <c r="T641" i="14"/>
  <c r="S641" i="14"/>
  <c r="AA640" i="14"/>
  <c r="Z640" i="14"/>
  <c r="Y640" i="14"/>
  <c r="X640" i="14"/>
  <c r="W640" i="14"/>
  <c r="V640" i="14"/>
  <c r="U640" i="14"/>
  <c r="T640" i="14"/>
  <c r="S640" i="14"/>
  <c r="AA639" i="14"/>
  <c r="Z639" i="14"/>
  <c r="Y639" i="14"/>
  <c r="X639" i="14"/>
  <c r="W639" i="14"/>
  <c r="V639" i="14"/>
  <c r="U639" i="14"/>
  <c r="T639" i="14"/>
  <c r="S639" i="14"/>
  <c r="AA638" i="14"/>
  <c r="Z638" i="14"/>
  <c r="Y638" i="14"/>
  <c r="X638" i="14"/>
  <c r="W638" i="14"/>
  <c r="V638" i="14"/>
  <c r="U638" i="14"/>
  <c r="T638" i="14"/>
  <c r="S638" i="14"/>
  <c r="AA637" i="14"/>
  <c r="Z637" i="14"/>
  <c r="Y637" i="14"/>
  <c r="X637" i="14"/>
  <c r="W637" i="14"/>
  <c r="V637" i="14"/>
  <c r="U637" i="14"/>
  <c r="T637" i="14"/>
  <c r="S637" i="14"/>
  <c r="AA636" i="14"/>
  <c r="Z636" i="14"/>
  <c r="Y636" i="14"/>
  <c r="X636" i="14"/>
  <c r="W636" i="14"/>
  <c r="V636" i="14"/>
  <c r="U636" i="14"/>
  <c r="T636" i="14"/>
  <c r="S636" i="14"/>
  <c r="AA635" i="14"/>
  <c r="Z635" i="14"/>
  <c r="Y635" i="14"/>
  <c r="X635" i="14"/>
  <c r="W635" i="14"/>
  <c r="V635" i="14"/>
  <c r="U635" i="14"/>
  <c r="T635" i="14"/>
  <c r="S635" i="14"/>
  <c r="AA634" i="14"/>
  <c r="Z634" i="14"/>
  <c r="Y634" i="14"/>
  <c r="X634" i="14"/>
  <c r="W634" i="14"/>
  <c r="V634" i="14"/>
  <c r="U634" i="14"/>
  <c r="T634" i="14"/>
  <c r="S634" i="14"/>
  <c r="AA633" i="14"/>
  <c r="Z633" i="14"/>
  <c r="Y633" i="14"/>
  <c r="X633" i="14"/>
  <c r="W633" i="14"/>
  <c r="V633" i="14"/>
  <c r="U633" i="14"/>
  <c r="T633" i="14"/>
  <c r="S633" i="14"/>
  <c r="AA632" i="14"/>
  <c r="Z632" i="14"/>
  <c r="Y632" i="14"/>
  <c r="X632" i="14"/>
  <c r="W632" i="14"/>
  <c r="V632" i="14"/>
  <c r="U632" i="14"/>
  <c r="T632" i="14"/>
  <c r="S632" i="14"/>
  <c r="AA631" i="14"/>
  <c r="Z631" i="14"/>
  <c r="Y631" i="14"/>
  <c r="X631" i="14"/>
  <c r="W631" i="14"/>
  <c r="V631" i="14"/>
  <c r="U631" i="14"/>
  <c r="T631" i="14"/>
  <c r="S631" i="14"/>
  <c r="AA630" i="14"/>
  <c r="Z630" i="14"/>
  <c r="Y630" i="14"/>
  <c r="X630" i="14"/>
  <c r="W630" i="14"/>
  <c r="V630" i="14"/>
  <c r="U630" i="14"/>
  <c r="T630" i="14"/>
  <c r="S630" i="14"/>
  <c r="AA629" i="14"/>
  <c r="Z629" i="14"/>
  <c r="Y629" i="14"/>
  <c r="X629" i="14"/>
  <c r="W629" i="14"/>
  <c r="V629" i="14"/>
  <c r="U629" i="14"/>
  <c r="T629" i="14"/>
  <c r="S629" i="14"/>
  <c r="AA628" i="14"/>
  <c r="Z628" i="14"/>
  <c r="Y628" i="14"/>
  <c r="X628" i="14"/>
  <c r="W628" i="14"/>
  <c r="V628" i="14"/>
  <c r="U628" i="14"/>
  <c r="T628" i="14"/>
  <c r="S628" i="14"/>
  <c r="AA627" i="14"/>
  <c r="Z627" i="14"/>
  <c r="Y627" i="14"/>
  <c r="X627" i="14"/>
  <c r="W627" i="14"/>
  <c r="V627" i="14"/>
  <c r="U627" i="14"/>
  <c r="T627" i="14"/>
  <c r="S627" i="14"/>
  <c r="AA626" i="14"/>
  <c r="Z626" i="14"/>
  <c r="Y626" i="14"/>
  <c r="X626" i="14"/>
  <c r="W626" i="14"/>
  <c r="V626" i="14"/>
  <c r="U626" i="14"/>
  <c r="T626" i="14"/>
  <c r="S626" i="14"/>
  <c r="AA625" i="14"/>
  <c r="Z625" i="14"/>
  <c r="Y625" i="14"/>
  <c r="X625" i="14"/>
  <c r="W625" i="14"/>
  <c r="V625" i="14"/>
  <c r="U625" i="14"/>
  <c r="T625" i="14"/>
  <c r="S625" i="14"/>
  <c r="AA624" i="14"/>
  <c r="Z624" i="14"/>
  <c r="Y624" i="14"/>
  <c r="X624" i="14"/>
  <c r="W624" i="14"/>
  <c r="V624" i="14"/>
  <c r="U624" i="14"/>
  <c r="T624" i="14"/>
  <c r="S624" i="14"/>
  <c r="AA623" i="14"/>
  <c r="Z623" i="14"/>
  <c r="Y623" i="14"/>
  <c r="X623" i="14"/>
  <c r="W623" i="14"/>
  <c r="V623" i="14"/>
  <c r="U623" i="14"/>
  <c r="T623" i="14"/>
  <c r="S623" i="14"/>
  <c r="AA622" i="14"/>
  <c r="Z622" i="14"/>
  <c r="Y622" i="14"/>
  <c r="X622" i="14"/>
  <c r="W622" i="14"/>
  <c r="V622" i="14"/>
  <c r="U622" i="14"/>
  <c r="T622" i="14"/>
  <c r="S622" i="14"/>
  <c r="AA621" i="14"/>
  <c r="Z621" i="14"/>
  <c r="Y621" i="14"/>
  <c r="X621" i="14"/>
  <c r="W621" i="14"/>
  <c r="V621" i="14"/>
  <c r="U621" i="14"/>
  <c r="T621" i="14"/>
  <c r="S621" i="14"/>
  <c r="AA620" i="14"/>
  <c r="Z620" i="14"/>
  <c r="Y620" i="14"/>
  <c r="X620" i="14"/>
  <c r="W620" i="14"/>
  <c r="V620" i="14"/>
  <c r="U620" i="14"/>
  <c r="T620" i="14"/>
  <c r="S620" i="14"/>
  <c r="AA619" i="14"/>
  <c r="Z619" i="14"/>
  <c r="Y619" i="14"/>
  <c r="X619" i="14"/>
  <c r="W619" i="14"/>
  <c r="V619" i="14"/>
  <c r="U619" i="14"/>
  <c r="T619" i="14"/>
  <c r="S619" i="14"/>
  <c r="AA618" i="14"/>
  <c r="Z618" i="14"/>
  <c r="Y618" i="14"/>
  <c r="X618" i="14"/>
  <c r="W618" i="14"/>
  <c r="V618" i="14"/>
  <c r="U618" i="14"/>
  <c r="T618" i="14"/>
  <c r="S618" i="14"/>
  <c r="AA617" i="14"/>
  <c r="Z617" i="14"/>
  <c r="Y617" i="14"/>
  <c r="X617" i="14"/>
  <c r="W617" i="14"/>
  <c r="V617" i="14"/>
  <c r="U617" i="14"/>
  <c r="T617" i="14"/>
  <c r="S617" i="14"/>
  <c r="AA616" i="14"/>
  <c r="Z616" i="14"/>
  <c r="Y616" i="14"/>
  <c r="X616" i="14"/>
  <c r="W616" i="14"/>
  <c r="V616" i="14"/>
  <c r="U616" i="14"/>
  <c r="T616" i="14"/>
  <c r="S616" i="14"/>
  <c r="AA615" i="14"/>
  <c r="Z615" i="14"/>
  <c r="Y615" i="14"/>
  <c r="X615" i="14"/>
  <c r="W615" i="14"/>
  <c r="V615" i="14"/>
  <c r="U615" i="14"/>
  <c r="T615" i="14"/>
  <c r="S615" i="14"/>
  <c r="AA614" i="14"/>
  <c r="Z614" i="14"/>
  <c r="Y614" i="14"/>
  <c r="X614" i="14"/>
  <c r="W614" i="14"/>
  <c r="V614" i="14"/>
  <c r="U614" i="14"/>
  <c r="T614" i="14"/>
  <c r="S614" i="14"/>
  <c r="AA613" i="14"/>
  <c r="Z613" i="14"/>
  <c r="Y613" i="14"/>
  <c r="X613" i="14"/>
  <c r="W613" i="14"/>
  <c r="V613" i="14"/>
  <c r="U613" i="14"/>
  <c r="T613" i="14"/>
  <c r="S613" i="14"/>
  <c r="AA612" i="14"/>
  <c r="Z612" i="14"/>
  <c r="Y612" i="14"/>
  <c r="X612" i="14"/>
  <c r="W612" i="14"/>
  <c r="V612" i="14"/>
  <c r="U612" i="14"/>
  <c r="T612" i="14"/>
  <c r="S612" i="14"/>
  <c r="AA611" i="14"/>
  <c r="Z611" i="14"/>
  <c r="Y611" i="14"/>
  <c r="X611" i="14"/>
  <c r="W611" i="14"/>
  <c r="V611" i="14"/>
  <c r="U611" i="14"/>
  <c r="T611" i="14"/>
  <c r="S611" i="14"/>
  <c r="AA610" i="14"/>
  <c r="Z610" i="14"/>
  <c r="Y610" i="14"/>
  <c r="X610" i="14"/>
  <c r="W610" i="14"/>
  <c r="V610" i="14"/>
  <c r="U610" i="14"/>
  <c r="T610" i="14"/>
  <c r="S610" i="14"/>
  <c r="AA609" i="14"/>
  <c r="Z609" i="14"/>
  <c r="Y609" i="14"/>
  <c r="X609" i="14"/>
  <c r="W609" i="14"/>
  <c r="V609" i="14"/>
  <c r="U609" i="14"/>
  <c r="T609" i="14"/>
  <c r="S609" i="14"/>
  <c r="AA608" i="14"/>
  <c r="Z608" i="14"/>
  <c r="Y608" i="14"/>
  <c r="X608" i="14"/>
  <c r="W608" i="14"/>
  <c r="V608" i="14"/>
  <c r="U608" i="14"/>
  <c r="T608" i="14"/>
  <c r="S608" i="14"/>
  <c r="AA607" i="14"/>
  <c r="Z607" i="14"/>
  <c r="Y607" i="14"/>
  <c r="X607" i="14"/>
  <c r="W607" i="14"/>
  <c r="V607" i="14"/>
  <c r="U607" i="14"/>
  <c r="T607" i="14"/>
  <c r="S607" i="14"/>
  <c r="AA606" i="14"/>
  <c r="Z606" i="14"/>
  <c r="Y606" i="14"/>
  <c r="X606" i="14"/>
  <c r="W606" i="14"/>
  <c r="V606" i="14"/>
  <c r="U606" i="14"/>
  <c r="T606" i="14"/>
  <c r="S606" i="14"/>
  <c r="AA605" i="14"/>
  <c r="Z605" i="14"/>
  <c r="Y605" i="14"/>
  <c r="X605" i="14"/>
  <c r="W605" i="14"/>
  <c r="V605" i="14"/>
  <c r="U605" i="14"/>
  <c r="T605" i="14"/>
  <c r="S605" i="14"/>
  <c r="AA604" i="14"/>
  <c r="Z604" i="14"/>
  <c r="Y604" i="14"/>
  <c r="X604" i="14"/>
  <c r="W604" i="14"/>
  <c r="V604" i="14"/>
  <c r="U604" i="14"/>
  <c r="T604" i="14"/>
  <c r="S604" i="14"/>
  <c r="AA603" i="14"/>
  <c r="Z603" i="14"/>
  <c r="Y603" i="14"/>
  <c r="X603" i="14"/>
  <c r="W603" i="14"/>
  <c r="V603" i="14"/>
  <c r="U603" i="14"/>
  <c r="T603" i="14"/>
  <c r="S603" i="14"/>
  <c r="AA602" i="14"/>
  <c r="Z602" i="14"/>
  <c r="Y602" i="14"/>
  <c r="X602" i="14"/>
  <c r="W602" i="14"/>
  <c r="V602" i="14"/>
  <c r="U602" i="14"/>
  <c r="T602" i="14"/>
  <c r="S602" i="14"/>
  <c r="AA601" i="14"/>
  <c r="Z601" i="14"/>
  <c r="Y601" i="14"/>
  <c r="X601" i="14"/>
  <c r="W601" i="14"/>
  <c r="V601" i="14"/>
  <c r="U601" i="14"/>
  <c r="T601" i="14"/>
  <c r="S601" i="14"/>
  <c r="AA600" i="14"/>
  <c r="Z600" i="14"/>
  <c r="Y600" i="14"/>
  <c r="X600" i="14"/>
  <c r="W600" i="14"/>
  <c r="V600" i="14"/>
  <c r="U600" i="14"/>
  <c r="T600" i="14"/>
  <c r="S600" i="14"/>
  <c r="AA599" i="14"/>
  <c r="Z599" i="14"/>
  <c r="Y599" i="14"/>
  <c r="X599" i="14"/>
  <c r="W599" i="14"/>
  <c r="V599" i="14"/>
  <c r="U599" i="14"/>
  <c r="T599" i="14"/>
  <c r="S599" i="14"/>
  <c r="AA598" i="14"/>
  <c r="Z598" i="14"/>
  <c r="Y598" i="14"/>
  <c r="X598" i="14"/>
  <c r="W598" i="14"/>
  <c r="V598" i="14"/>
  <c r="U598" i="14"/>
  <c r="T598" i="14"/>
  <c r="S598" i="14"/>
  <c r="AA597" i="14"/>
  <c r="Z597" i="14"/>
  <c r="Y597" i="14"/>
  <c r="X597" i="14"/>
  <c r="W597" i="14"/>
  <c r="V597" i="14"/>
  <c r="U597" i="14"/>
  <c r="T597" i="14"/>
  <c r="S597" i="14"/>
  <c r="AA596" i="14"/>
  <c r="Z596" i="14"/>
  <c r="Y596" i="14"/>
  <c r="X596" i="14"/>
  <c r="W596" i="14"/>
  <c r="V596" i="14"/>
  <c r="U596" i="14"/>
  <c r="T596" i="14"/>
  <c r="S596" i="14"/>
  <c r="AA595" i="14"/>
  <c r="Z595" i="14"/>
  <c r="Y595" i="14"/>
  <c r="X595" i="14"/>
  <c r="W595" i="14"/>
  <c r="V595" i="14"/>
  <c r="U595" i="14"/>
  <c r="T595" i="14"/>
  <c r="S595" i="14"/>
  <c r="AA594" i="14"/>
  <c r="Z594" i="14"/>
  <c r="Y594" i="14"/>
  <c r="X594" i="14"/>
  <c r="W594" i="14"/>
  <c r="V594" i="14"/>
  <c r="U594" i="14"/>
  <c r="T594" i="14"/>
  <c r="S594" i="14"/>
  <c r="AA593" i="14"/>
  <c r="Z593" i="14"/>
  <c r="Y593" i="14"/>
  <c r="X593" i="14"/>
  <c r="W593" i="14"/>
  <c r="V593" i="14"/>
  <c r="U593" i="14"/>
  <c r="T593" i="14"/>
  <c r="S593" i="14"/>
  <c r="AA592" i="14"/>
  <c r="Z592" i="14"/>
  <c r="Y592" i="14"/>
  <c r="X592" i="14"/>
  <c r="W592" i="14"/>
  <c r="V592" i="14"/>
  <c r="U592" i="14"/>
  <c r="T592" i="14"/>
  <c r="S592" i="14"/>
  <c r="AA591" i="14"/>
  <c r="Z591" i="14"/>
  <c r="Y591" i="14"/>
  <c r="X591" i="14"/>
  <c r="W591" i="14"/>
  <c r="V591" i="14"/>
  <c r="U591" i="14"/>
  <c r="T591" i="14"/>
  <c r="S591" i="14"/>
  <c r="AA590" i="14"/>
  <c r="Z590" i="14"/>
  <c r="Y590" i="14"/>
  <c r="X590" i="14"/>
  <c r="W590" i="14"/>
  <c r="V590" i="14"/>
  <c r="U590" i="14"/>
  <c r="T590" i="14"/>
  <c r="S590" i="14"/>
  <c r="AA589" i="14"/>
  <c r="Z589" i="14"/>
  <c r="Y589" i="14"/>
  <c r="X589" i="14"/>
  <c r="W589" i="14"/>
  <c r="V589" i="14"/>
  <c r="U589" i="14"/>
  <c r="T589" i="14"/>
  <c r="S589" i="14"/>
  <c r="AA588" i="14"/>
  <c r="Z588" i="14"/>
  <c r="Y588" i="14"/>
  <c r="X588" i="14"/>
  <c r="W588" i="14"/>
  <c r="V588" i="14"/>
  <c r="U588" i="14"/>
  <c r="T588" i="14"/>
  <c r="S588" i="14"/>
  <c r="AA587" i="14"/>
  <c r="Z587" i="14"/>
  <c r="Y587" i="14"/>
  <c r="X587" i="14"/>
  <c r="W587" i="14"/>
  <c r="V587" i="14"/>
  <c r="U587" i="14"/>
  <c r="T587" i="14"/>
  <c r="S587" i="14"/>
  <c r="AA586" i="14"/>
  <c r="Z586" i="14"/>
  <c r="Y586" i="14"/>
  <c r="X586" i="14"/>
  <c r="W586" i="14"/>
  <c r="V586" i="14"/>
  <c r="U586" i="14"/>
  <c r="T586" i="14"/>
  <c r="S586" i="14"/>
  <c r="AA585" i="14"/>
  <c r="Z585" i="14"/>
  <c r="Y585" i="14"/>
  <c r="X585" i="14"/>
  <c r="W585" i="14"/>
  <c r="V585" i="14"/>
  <c r="U585" i="14"/>
  <c r="T585" i="14"/>
  <c r="S585" i="14"/>
  <c r="AA584" i="14"/>
  <c r="Z584" i="14"/>
  <c r="Y584" i="14"/>
  <c r="X584" i="14"/>
  <c r="W584" i="14"/>
  <c r="V584" i="14"/>
  <c r="U584" i="14"/>
  <c r="T584" i="14"/>
  <c r="S584" i="14"/>
  <c r="AA583" i="14"/>
  <c r="Z583" i="14"/>
  <c r="Y583" i="14"/>
  <c r="X583" i="14"/>
  <c r="W583" i="14"/>
  <c r="V583" i="14"/>
  <c r="U583" i="14"/>
  <c r="T583" i="14"/>
  <c r="S583" i="14"/>
  <c r="AA582" i="14"/>
  <c r="Z582" i="14"/>
  <c r="Y582" i="14"/>
  <c r="X582" i="14"/>
  <c r="W582" i="14"/>
  <c r="V582" i="14"/>
  <c r="U582" i="14"/>
  <c r="T582" i="14"/>
  <c r="S582" i="14"/>
  <c r="AA581" i="14"/>
  <c r="Z581" i="14"/>
  <c r="Y581" i="14"/>
  <c r="X581" i="14"/>
  <c r="W581" i="14"/>
  <c r="V581" i="14"/>
  <c r="U581" i="14"/>
  <c r="T581" i="14"/>
  <c r="S581" i="14"/>
  <c r="AA580" i="14"/>
  <c r="Z580" i="14"/>
  <c r="Y580" i="14"/>
  <c r="X580" i="14"/>
  <c r="W580" i="14"/>
  <c r="V580" i="14"/>
  <c r="U580" i="14"/>
  <c r="T580" i="14"/>
  <c r="S580" i="14"/>
  <c r="AA579" i="14"/>
  <c r="Z579" i="14"/>
  <c r="Y579" i="14"/>
  <c r="X579" i="14"/>
  <c r="W579" i="14"/>
  <c r="V579" i="14"/>
  <c r="U579" i="14"/>
  <c r="T579" i="14"/>
  <c r="S579" i="14"/>
  <c r="AA578" i="14"/>
  <c r="Z578" i="14"/>
  <c r="Y578" i="14"/>
  <c r="X578" i="14"/>
  <c r="W578" i="14"/>
  <c r="V578" i="14"/>
  <c r="U578" i="14"/>
  <c r="T578" i="14"/>
  <c r="S578" i="14"/>
  <c r="AA577" i="14"/>
  <c r="Z577" i="14"/>
  <c r="Y577" i="14"/>
  <c r="X577" i="14"/>
  <c r="W577" i="14"/>
  <c r="V577" i="14"/>
  <c r="U577" i="14"/>
  <c r="T577" i="14"/>
  <c r="S577" i="14"/>
  <c r="AA576" i="14"/>
  <c r="Z576" i="14"/>
  <c r="Y576" i="14"/>
  <c r="X576" i="14"/>
  <c r="W576" i="14"/>
  <c r="V576" i="14"/>
  <c r="U576" i="14"/>
  <c r="T576" i="14"/>
  <c r="S576" i="14"/>
  <c r="AA575" i="14"/>
  <c r="Z575" i="14"/>
  <c r="Y575" i="14"/>
  <c r="X575" i="14"/>
  <c r="W575" i="14"/>
  <c r="V575" i="14"/>
  <c r="U575" i="14"/>
  <c r="T575" i="14"/>
  <c r="S575" i="14"/>
  <c r="AA574" i="14"/>
  <c r="Z574" i="14"/>
  <c r="Y574" i="14"/>
  <c r="X574" i="14"/>
  <c r="W574" i="14"/>
  <c r="V574" i="14"/>
  <c r="U574" i="14"/>
  <c r="T574" i="14"/>
  <c r="S574" i="14"/>
  <c r="AA573" i="14"/>
  <c r="Z573" i="14"/>
  <c r="Y573" i="14"/>
  <c r="X573" i="14"/>
  <c r="W573" i="14"/>
  <c r="V573" i="14"/>
  <c r="U573" i="14"/>
  <c r="T573" i="14"/>
  <c r="S573" i="14"/>
  <c r="AA572" i="14"/>
  <c r="Z572" i="14"/>
  <c r="Y572" i="14"/>
  <c r="X572" i="14"/>
  <c r="W572" i="14"/>
  <c r="V572" i="14"/>
  <c r="U572" i="14"/>
  <c r="T572" i="14"/>
  <c r="S572" i="14"/>
  <c r="AA571" i="14"/>
  <c r="Z571" i="14"/>
  <c r="Y571" i="14"/>
  <c r="X571" i="14"/>
  <c r="W571" i="14"/>
  <c r="V571" i="14"/>
  <c r="U571" i="14"/>
  <c r="T571" i="14"/>
  <c r="S571" i="14"/>
  <c r="AA570" i="14"/>
  <c r="Z570" i="14"/>
  <c r="Y570" i="14"/>
  <c r="X570" i="14"/>
  <c r="W570" i="14"/>
  <c r="V570" i="14"/>
  <c r="U570" i="14"/>
  <c r="T570" i="14"/>
  <c r="S570" i="14"/>
  <c r="AA569" i="14"/>
  <c r="Z569" i="14"/>
  <c r="Y569" i="14"/>
  <c r="X569" i="14"/>
  <c r="W569" i="14"/>
  <c r="V569" i="14"/>
  <c r="U569" i="14"/>
  <c r="T569" i="14"/>
  <c r="S569" i="14"/>
  <c r="AA568" i="14"/>
  <c r="Z568" i="14"/>
  <c r="Y568" i="14"/>
  <c r="X568" i="14"/>
  <c r="W568" i="14"/>
  <c r="V568" i="14"/>
  <c r="U568" i="14"/>
  <c r="T568" i="14"/>
  <c r="S568" i="14"/>
  <c r="AA567" i="14"/>
  <c r="Z567" i="14"/>
  <c r="Y567" i="14"/>
  <c r="X567" i="14"/>
  <c r="W567" i="14"/>
  <c r="V567" i="14"/>
  <c r="U567" i="14"/>
  <c r="T567" i="14"/>
  <c r="S567" i="14"/>
  <c r="AA566" i="14"/>
  <c r="Z566" i="14"/>
  <c r="Y566" i="14"/>
  <c r="X566" i="14"/>
  <c r="W566" i="14"/>
  <c r="V566" i="14"/>
  <c r="U566" i="14"/>
  <c r="T566" i="14"/>
  <c r="S566" i="14"/>
  <c r="AA565" i="14"/>
  <c r="Z565" i="14"/>
  <c r="Y565" i="14"/>
  <c r="X565" i="14"/>
  <c r="W565" i="14"/>
  <c r="V565" i="14"/>
  <c r="U565" i="14"/>
  <c r="T565" i="14"/>
  <c r="S565" i="14"/>
  <c r="AA564" i="14"/>
  <c r="Z564" i="14"/>
  <c r="Y564" i="14"/>
  <c r="X564" i="14"/>
  <c r="W564" i="14"/>
  <c r="V564" i="14"/>
  <c r="U564" i="14"/>
  <c r="T564" i="14"/>
  <c r="S564" i="14"/>
  <c r="AA563" i="14"/>
  <c r="Z563" i="14"/>
  <c r="Y563" i="14"/>
  <c r="X563" i="14"/>
  <c r="W563" i="14"/>
  <c r="V563" i="14"/>
  <c r="U563" i="14"/>
  <c r="T563" i="14"/>
  <c r="S563" i="14"/>
  <c r="AA562" i="14"/>
  <c r="Z562" i="14"/>
  <c r="Y562" i="14"/>
  <c r="X562" i="14"/>
  <c r="W562" i="14"/>
  <c r="V562" i="14"/>
  <c r="U562" i="14"/>
  <c r="T562" i="14"/>
  <c r="S562" i="14"/>
  <c r="AA561" i="14"/>
  <c r="Z561" i="14"/>
  <c r="Y561" i="14"/>
  <c r="X561" i="14"/>
  <c r="W561" i="14"/>
  <c r="V561" i="14"/>
  <c r="U561" i="14"/>
  <c r="T561" i="14"/>
  <c r="S561" i="14"/>
  <c r="AA560" i="14"/>
  <c r="Z560" i="14"/>
  <c r="Y560" i="14"/>
  <c r="X560" i="14"/>
  <c r="W560" i="14"/>
  <c r="V560" i="14"/>
  <c r="U560" i="14"/>
  <c r="T560" i="14"/>
  <c r="S560" i="14"/>
  <c r="AA559" i="14"/>
  <c r="Z559" i="14"/>
  <c r="Y559" i="14"/>
  <c r="X559" i="14"/>
  <c r="W559" i="14"/>
  <c r="V559" i="14"/>
  <c r="U559" i="14"/>
  <c r="T559" i="14"/>
  <c r="S559" i="14"/>
  <c r="AA558" i="14"/>
  <c r="Z558" i="14"/>
  <c r="Y558" i="14"/>
  <c r="X558" i="14"/>
  <c r="W558" i="14"/>
  <c r="V558" i="14"/>
  <c r="U558" i="14"/>
  <c r="T558" i="14"/>
  <c r="S558" i="14"/>
  <c r="AA557" i="14"/>
  <c r="Z557" i="14"/>
  <c r="Y557" i="14"/>
  <c r="X557" i="14"/>
  <c r="W557" i="14"/>
  <c r="V557" i="14"/>
  <c r="U557" i="14"/>
  <c r="T557" i="14"/>
  <c r="S557" i="14"/>
  <c r="AA556" i="14"/>
  <c r="Z556" i="14"/>
  <c r="Y556" i="14"/>
  <c r="X556" i="14"/>
  <c r="W556" i="14"/>
  <c r="V556" i="14"/>
  <c r="U556" i="14"/>
  <c r="T556" i="14"/>
  <c r="S556" i="14"/>
  <c r="AA555" i="14"/>
  <c r="Z555" i="14"/>
  <c r="Y555" i="14"/>
  <c r="X555" i="14"/>
  <c r="W555" i="14"/>
  <c r="V555" i="14"/>
  <c r="U555" i="14"/>
  <c r="T555" i="14"/>
  <c r="S555" i="14"/>
  <c r="AA554" i="14"/>
  <c r="Z554" i="14"/>
  <c r="Y554" i="14"/>
  <c r="X554" i="14"/>
  <c r="W554" i="14"/>
  <c r="V554" i="14"/>
  <c r="U554" i="14"/>
  <c r="T554" i="14"/>
  <c r="S554" i="14"/>
  <c r="AA553" i="14"/>
  <c r="Z553" i="14"/>
  <c r="Y553" i="14"/>
  <c r="X553" i="14"/>
  <c r="W553" i="14"/>
  <c r="V553" i="14"/>
  <c r="U553" i="14"/>
  <c r="T553" i="14"/>
  <c r="S553" i="14"/>
  <c r="AA552" i="14"/>
  <c r="Z552" i="14"/>
  <c r="Y552" i="14"/>
  <c r="X552" i="14"/>
  <c r="W552" i="14"/>
  <c r="V552" i="14"/>
  <c r="U552" i="14"/>
  <c r="T552" i="14"/>
  <c r="S552" i="14"/>
  <c r="AA551" i="14"/>
  <c r="Z551" i="14"/>
  <c r="Y551" i="14"/>
  <c r="X551" i="14"/>
  <c r="W551" i="14"/>
  <c r="V551" i="14"/>
  <c r="U551" i="14"/>
  <c r="T551" i="14"/>
  <c r="S551" i="14"/>
  <c r="AA550" i="14"/>
  <c r="Z550" i="14"/>
  <c r="Y550" i="14"/>
  <c r="X550" i="14"/>
  <c r="W550" i="14"/>
  <c r="V550" i="14"/>
  <c r="U550" i="14"/>
  <c r="T550" i="14"/>
  <c r="S550" i="14"/>
  <c r="AA549" i="14"/>
  <c r="Z549" i="14"/>
  <c r="Y549" i="14"/>
  <c r="X549" i="14"/>
  <c r="W549" i="14"/>
  <c r="V549" i="14"/>
  <c r="U549" i="14"/>
  <c r="T549" i="14"/>
  <c r="S549" i="14"/>
  <c r="AA548" i="14"/>
  <c r="Z548" i="14"/>
  <c r="Y548" i="14"/>
  <c r="X548" i="14"/>
  <c r="W548" i="14"/>
  <c r="V548" i="14"/>
  <c r="U548" i="14"/>
  <c r="T548" i="14"/>
  <c r="S548" i="14"/>
  <c r="AA547" i="14"/>
  <c r="Z547" i="14"/>
  <c r="Y547" i="14"/>
  <c r="X547" i="14"/>
  <c r="W547" i="14"/>
  <c r="V547" i="14"/>
  <c r="U547" i="14"/>
  <c r="T547" i="14"/>
  <c r="S547" i="14"/>
  <c r="AA546" i="14"/>
  <c r="Z546" i="14"/>
  <c r="Y546" i="14"/>
  <c r="X546" i="14"/>
  <c r="W546" i="14"/>
  <c r="V546" i="14"/>
  <c r="U546" i="14"/>
  <c r="T546" i="14"/>
  <c r="S546" i="14"/>
  <c r="AA545" i="14"/>
  <c r="Z545" i="14"/>
  <c r="Y545" i="14"/>
  <c r="X545" i="14"/>
  <c r="W545" i="14"/>
  <c r="V545" i="14"/>
  <c r="U545" i="14"/>
  <c r="T545" i="14"/>
  <c r="S545" i="14"/>
  <c r="AA544" i="14"/>
  <c r="Z544" i="14"/>
  <c r="Y544" i="14"/>
  <c r="X544" i="14"/>
  <c r="W544" i="14"/>
  <c r="V544" i="14"/>
  <c r="U544" i="14"/>
  <c r="T544" i="14"/>
  <c r="S544" i="14"/>
  <c r="AA543" i="14"/>
  <c r="Z543" i="14"/>
  <c r="Y543" i="14"/>
  <c r="X543" i="14"/>
  <c r="W543" i="14"/>
  <c r="V543" i="14"/>
  <c r="U543" i="14"/>
  <c r="T543" i="14"/>
  <c r="S543" i="14"/>
  <c r="AA542" i="14"/>
  <c r="Z542" i="14"/>
  <c r="Y542" i="14"/>
  <c r="X542" i="14"/>
  <c r="W542" i="14"/>
  <c r="V542" i="14"/>
  <c r="U542" i="14"/>
  <c r="T542" i="14"/>
  <c r="S542" i="14"/>
  <c r="AA541" i="14"/>
  <c r="Z541" i="14"/>
  <c r="Y541" i="14"/>
  <c r="X541" i="14"/>
  <c r="W541" i="14"/>
  <c r="V541" i="14"/>
  <c r="U541" i="14"/>
  <c r="T541" i="14"/>
  <c r="S541" i="14"/>
  <c r="AA540" i="14"/>
  <c r="Z540" i="14"/>
  <c r="Y540" i="14"/>
  <c r="X540" i="14"/>
  <c r="W540" i="14"/>
  <c r="V540" i="14"/>
  <c r="U540" i="14"/>
  <c r="T540" i="14"/>
  <c r="S540" i="14"/>
  <c r="AA539" i="14"/>
  <c r="Z539" i="14"/>
  <c r="Y539" i="14"/>
  <c r="X539" i="14"/>
  <c r="W539" i="14"/>
  <c r="V539" i="14"/>
  <c r="U539" i="14"/>
  <c r="T539" i="14"/>
  <c r="S539" i="14"/>
  <c r="AA538" i="14"/>
  <c r="Z538" i="14"/>
  <c r="Y538" i="14"/>
  <c r="X538" i="14"/>
  <c r="W538" i="14"/>
  <c r="V538" i="14"/>
  <c r="U538" i="14"/>
  <c r="T538" i="14"/>
  <c r="S538" i="14"/>
  <c r="AA537" i="14"/>
  <c r="Z537" i="14"/>
  <c r="Y537" i="14"/>
  <c r="X537" i="14"/>
  <c r="W537" i="14"/>
  <c r="V537" i="14"/>
  <c r="U537" i="14"/>
  <c r="T537" i="14"/>
  <c r="S537" i="14"/>
  <c r="AA536" i="14"/>
  <c r="Z536" i="14"/>
  <c r="Y536" i="14"/>
  <c r="X536" i="14"/>
  <c r="W536" i="14"/>
  <c r="V536" i="14"/>
  <c r="U536" i="14"/>
  <c r="T536" i="14"/>
  <c r="S536" i="14"/>
  <c r="AA535" i="14"/>
  <c r="Z535" i="14"/>
  <c r="Y535" i="14"/>
  <c r="X535" i="14"/>
  <c r="W535" i="14"/>
  <c r="V535" i="14"/>
  <c r="U535" i="14"/>
  <c r="T535" i="14"/>
  <c r="S535" i="14"/>
  <c r="AA534" i="14"/>
  <c r="Z534" i="14"/>
  <c r="Y534" i="14"/>
  <c r="X534" i="14"/>
  <c r="W534" i="14"/>
  <c r="V534" i="14"/>
  <c r="U534" i="14"/>
  <c r="T534" i="14"/>
  <c r="S534" i="14"/>
  <c r="AA533" i="14"/>
  <c r="Z533" i="14"/>
  <c r="Y533" i="14"/>
  <c r="X533" i="14"/>
  <c r="W533" i="14"/>
  <c r="V533" i="14"/>
  <c r="U533" i="14"/>
  <c r="T533" i="14"/>
  <c r="S533" i="14"/>
  <c r="AA532" i="14"/>
  <c r="Z532" i="14"/>
  <c r="Y532" i="14"/>
  <c r="X532" i="14"/>
  <c r="W532" i="14"/>
  <c r="V532" i="14"/>
  <c r="U532" i="14"/>
  <c r="T532" i="14"/>
  <c r="S532" i="14"/>
  <c r="AA531" i="14"/>
  <c r="Z531" i="14"/>
  <c r="Y531" i="14"/>
  <c r="X531" i="14"/>
  <c r="W531" i="14"/>
  <c r="V531" i="14"/>
  <c r="U531" i="14"/>
  <c r="T531" i="14"/>
  <c r="S531" i="14"/>
  <c r="AA530" i="14"/>
  <c r="Z530" i="14"/>
  <c r="Y530" i="14"/>
  <c r="X530" i="14"/>
  <c r="W530" i="14"/>
  <c r="V530" i="14"/>
  <c r="U530" i="14"/>
  <c r="T530" i="14"/>
  <c r="S530" i="14"/>
  <c r="AA529" i="14"/>
  <c r="Z529" i="14"/>
  <c r="Y529" i="14"/>
  <c r="X529" i="14"/>
  <c r="W529" i="14"/>
  <c r="V529" i="14"/>
  <c r="U529" i="14"/>
  <c r="T529" i="14"/>
  <c r="S529" i="14"/>
  <c r="AA528" i="14"/>
  <c r="Z528" i="14"/>
  <c r="Y528" i="14"/>
  <c r="X528" i="14"/>
  <c r="W528" i="14"/>
  <c r="V528" i="14"/>
  <c r="U528" i="14"/>
  <c r="T528" i="14"/>
  <c r="S528" i="14"/>
  <c r="AA527" i="14"/>
  <c r="Z527" i="14"/>
  <c r="Y527" i="14"/>
  <c r="X527" i="14"/>
  <c r="W527" i="14"/>
  <c r="V527" i="14"/>
  <c r="U527" i="14"/>
  <c r="T527" i="14"/>
  <c r="S527" i="14"/>
  <c r="AA526" i="14"/>
  <c r="Z526" i="14"/>
  <c r="Y526" i="14"/>
  <c r="X526" i="14"/>
  <c r="W526" i="14"/>
  <c r="V526" i="14"/>
  <c r="U526" i="14"/>
  <c r="T526" i="14"/>
  <c r="S526" i="14"/>
  <c r="AA525" i="14"/>
  <c r="Z525" i="14"/>
  <c r="Y525" i="14"/>
  <c r="X525" i="14"/>
  <c r="W525" i="14"/>
  <c r="V525" i="14"/>
  <c r="U525" i="14"/>
  <c r="T525" i="14"/>
  <c r="S525" i="14"/>
  <c r="AA524" i="14"/>
  <c r="Z524" i="14"/>
  <c r="Y524" i="14"/>
  <c r="X524" i="14"/>
  <c r="W524" i="14"/>
  <c r="V524" i="14"/>
  <c r="U524" i="14"/>
  <c r="T524" i="14"/>
  <c r="S524" i="14"/>
  <c r="AA523" i="14"/>
  <c r="Z523" i="14"/>
  <c r="Y523" i="14"/>
  <c r="X523" i="14"/>
  <c r="W523" i="14"/>
  <c r="V523" i="14"/>
  <c r="U523" i="14"/>
  <c r="T523" i="14"/>
  <c r="S523" i="14"/>
  <c r="AA522" i="14"/>
  <c r="Z522" i="14"/>
  <c r="Y522" i="14"/>
  <c r="X522" i="14"/>
  <c r="W522" i="14"/>
  <c r="V522" i="14"/>
  <c r="U522" i="14"/>
  <c r="T522" i="14"/>
  <c r="S522" i="14"/>
  <c r="AA521" i="14"/>
  <c r="Z521" i="14"/>
  <c r="Y521" i="14"/>
  <c r="X521" i="14"/>
  <c r="W521" i="14"/>
  <c r="V521" i="14"/>
  <c r="U521" i="14"/>
  <c r="T521" i="14"/>
  <c r="S521" i="14"/>
  <c r="AA520" i="14"/>
  <c r="Z520" i="14"/>
  <c r="Y520" i="14"/>
  <c r="X520" i="14"/>
  <c r="W520" i="14"/>
  <c r="V520" i="14"/>
  <c r="U520" i="14"/>
  <c r="T520" i="14"/>
  <c r="S520" i="14"/>
  <c r="AA519" i="14"/>
  <c r="Z519" i="14"/>
  <c r="Y519" i="14"/>
  <c r="X519" i="14"/>
  <c r="W519" i="14"/>
  <c r="V519" i="14"/>
  <c r="U519" i="14"/>
  <c r="T519" i="14"/>
  <c r="S519" i="14"/>
  <c r="AA518" i="14"/>
  <c r="Z518" i="14"/>
  <c r="Y518" i="14"/>
  <c r="X518" i="14"/>
  <c r="W518" i="14"/>
  <c r="V518" i="14"/>
  <c r="U518" i="14"/>
  <c r="T518" i="14"/>
  <c r="S518" i="14"/>
  <c r="AA517" i="14"/>
  <c r="Z517" i="14"/>
  <c r="Y517" i="14"/>
  <c r="X517" i="14"/>
  <c r="W517" i="14"/>
  <c r="V517" i="14"/>
  <c r="U517" i="14"/>
  <c r="T517" i="14"/>
  <c r="S517" i="14"/>
  <c r="AA516" i="14"/>
  <c r="Z516" i="14"/>
  <c r="Y516" i="14"/>
  <c r="X516" i="14"/>
  <c r="W516" i="14"/>
  <c r="V516" i="14"/>
  <c r="U516" i="14"/>
  <c r="T516" i="14"/>
  <c r="S516" i="14"/>
  <c r="AA515" i="14"/>
  <c r="Z515" i="14"/>
  <c r="Y515" i="14"/>
  <c r="X515" i="14"/>
  <c r="W515" i="14"/>
  <c r="V515" i="14"/>
  <c r="U515" i="14"/>
  <c r="T515" i="14"/>
  <c r="S515" i="14"/>
  <c r="AA514" i="14"/>
  <c r="Z514" i="14"/>
  <c r="Y514" i="14"/>
  <c r="X514" i="14"/>
  <c r="W514" i="14"/>
  <c r="V514" i="14"/>
  <c r="U514" i="14"/>
  <c r="T514" i="14"/>
  <c r="S514" i="14"/>
  <c r="AA513" i="14"/>
  <c r="Z513" i="14"/>
  <c r="Y513" i="14"/>
  <c r="X513" i="14"/>
  <c r="W513" i="14"/>
  <c r="V513" i="14"/>
  <c r="U513" i="14"/>
  <c r="T513" i="14"/>
  <c r="S513" i="14"/>
  <c r="AA512" i="14"/>
  <c r="Z512" i="14"/>
  <c r="Y512" i="14"/>
  <c r="X512" i="14"/>
  <c r="W512" i="14"/>
  <c r="V512" i="14"/>
  <c r="U512" i="14"/>
  <c r="T512" i="14"/>
  <c r="S512" i="14"/>
  <c r="AA511" i="14"/>
  <c r="Z511" i="14"/>
  <c r="Y511" i="14"/>
  <c r="X511" i="14"/>
  <c r="W511" i="14"/>
  <c r="V511" i="14"/>
  <c r="U511" i="14"/>
  <c r="T511" i="14"/>
  <c r="S511" i="14"/>
  <c r="AA510" i="14"/>
  <c r="Z510" i="14"/>
  <c r="Y510" i="14"/>
  <c r="X510" i="14"/>
  <c r="W510" i="14"/>
  <c r="V510" i="14"/>
  <c r="U510" i="14"/>
  <c r="T510" i="14"/>
  <c r="S510" i="14"/>
  <c r="AA509" i="14"/>
  <c r="Z509" i="14"/>
  <c r="Y509" i="14"/>
  <c r="X509" i="14"/>
  <c r="W509" i="14"/>
  <c r="V509" i="14"/>
  <c r="U509" i="14"/>
  <c r="T509" i="14"/>
  <c r="S509" i="14"/>
  <c r="AA508" i="14"/>
  <c r="Z508" i="14"/>
  <c r="Y508" i="14"/>
  <c r="X508" i="14"/>
  <c r="W508" i="14"/>
  <c r="V508" i="14"/>
  <c r="U508" i="14"/>
  <c r="T508" i="14"/>
  <c r="S508" i="14"/>
  <c r="AA507" i="14"/>
  <c r="Z507" i="14"/>
  <c r="Y507" i="14"/>
  <c r="X507" i="14"/>
  <c r="W507" i="14"/>
  <c r="V507" i="14"/>
  <c r="U507" i="14"/>
  <c r="T507" i="14"/>
  <c r="S507" i="14"/>
  <c r="AA506" i="14"/>
  <c r="Z506" i="14"/>
  <c r="Y506" i="14"/>
  <c r="X506" i="14"/>
  <c r="W506" i="14"/>
  <c r="V506" i="14"/>
  <c r="U506" i="14"/>
  <c r="T506" i="14"/>
  <c r="S506" i="14"/>
  <c r="AA505" i="14"/>
  <c r="Z505" i="14"/>
  <c r="Y505" i="14"/>
  <c r="X505" i="14"/>
  <c r="W505" i="14"/>
  <c r="V505" i="14"/>
  <c r="U505" i="14"/>
  <c r="T505" i="14"/>
  <c r="S505" i="14"/>
  <c r="AA504" i="14"/>
  <c r="Z504" i="14"/>
  <c r="Y504" i="14"/>
  <c r="X504" i="14"/>
  <c r="W504" i="14"/>
  <c r="V504" i="14"/>
  <c r="U504" i="14"/>
  <c r="T504" i="14"/>
  <c r="S504" i="14"/>
  <c r="AA503" i="14"/>
  <c r="Z503" i="14"/>
  <c r="Y503" i="14"/>
  <c r="X503" i="14"/>
  <c r="W503" i="14"/>
  <c r="V503" i="14"/>
  <c r="U503" i="14"/>
  <c r="T503" i="14"/>
  <c r="S503" i="14"/>
  <c r="AA502" i="14"/>
  <c r="Z502" i="14"/>
  <c r="Y502" i="14"/>
  <c r="X502" i="14"/>
  <c r="W502" i="14"/>
  <c r="V502" i="14"/>
  <c r="U502" i="14"/>
  <c r="T502" i="14"/>
  <c r="S502" i="14"/>
  <c r="AA501" i="14"/>
  <c r="Z501" i="14"/>
  <c r="Y501" i="14"/>
  <c r="X501" i="14"/>
  <c r="W501" i="14"/>
  <c r="V501" i="14"/>
  <c r="U501" i="14"/>
  <c r="T501" i="14"/>
  <c r="S501" i="14"/>
  <c r="AA500" i="14"/>
  <c r="Z500" i="14"/>
  <c r="Y500" i="14"/>
  <c r="X500" i="14"/>
  <c r="W500" i="14"/>
  <c r="V500" i="14"/>
  <c r="U500" i="14"/>
  <c r="T500" i="14"/>
  <c r="S500" i="14"/>
  <c r="AA499" i="14"/>
  <c r="Z499" i="14"/>
  <c r="Y499" i="14"/>
  <c r="X499" i="14"/>
  <c r="W499" i="14"/>
  <c r="V499" i="14"/>
  <c r="U499" i="14"/>
  <c r="T499" i="14"/>
  <c r="S499" i="14"/>
  <c r="AA498" i="14"/>
  <c r="Z498" i="14"/>
  <c r="Y498" i="14"/>
  <c r="X498" i="14"/>
  <c r="W498" i="14"/>
  <c r="V498" i="14"/>
  <c r="U498" i="14"/>
  <c r="T498" i="14"/>
  <c r="S498" i="14"/>
  <c r="AA497" i="14"/>
  <c r="Z497" i="14"/>
  <c r="Y497" i="14"/>
  <c r="X497" i="14"/>
  <c r="W497" i="14"/>
  <c r="V497" i="14"/>
  <c r="U497" i="14"/>
  <c r="T497" i="14"/>
  <c r="S497" i="14"/>
  <c r="AA496" i="14"/>
  <c r="Z496" i="14"/>
  <c r="Y496" i="14"/>
  <c r="X496" i="14"/>
  <c r="W496" i="14"/>
  <c r="V496" i="14"/>
  <c r="U496" i="14"/>
  <c r="T496" i="14"/>
  <c r="S496" i="14"/>
  <c r="AA495" i="14"/>
  <c r="Z495" i="14"/>
  <c r="Y495" i="14"/>
  <c r="X495" i="14"/>
  <c r="W495" i="14"/>
  <c r="V495" i="14"/>
  <c r="U495" i="14"/>
  <c r="T495" i="14"/>
  <c r="S495" i="14"/>
  <c r="AA494" i="14"/>
  <c r="Z494" i="14"/>
  <c r="Y494" i="14"/>
  <c r="X494" i="14"/>
  <c r="W494" i="14"/>
  <c r="V494" i="14"/>
  <c r="U494" i="14"/>
  <c r="T494" i="14"/>
  <c r="S494" i="14"/>
  <c r="AA493" i="14"/>
  <c r="Z493" i="14"/>
  <c r="Y493" i="14"/>
  <c r="X493" i="14"/>
  <c r="W493" i="14"/>
  <c r="V493" i="14"/>
  <c r="U493" i="14"/>
  <c r="T493" i="14"/>
  <c r="S493" i="14"/>
  <c r="AA492" i="14"/>
  <c r="Z492" i="14"/>
  <c r="Y492" i="14"/>
  <c r="X492" i="14"/>
  <c r="W492" i="14"/>
  <c r="V492" i="14"/>
  <c r="U492" i="14"/>
  <c r="T492" i="14"/>
  <c r="S492" i="14"/>
  <c r="AA491" i="14"/>
  <c r="Z491" i="14"/>
  <c r="Y491" i="14"/>
  <c r="X491" i="14"/>
  <c r="W491" i="14"/>
  <c r="V491" i="14"/>
  <c r="U491" i="14"/>
  <c r="T491" i="14"/>
  <c r="S491" i="14"/>
  <c r="AA490" i="14"/>
  <c r="Z490" i="14"/>
  <c r="Y490" i="14"/>
  <c r="X490" i="14"/>
  <c r="W490" i="14"/>
  <c r="V490" i="14"/>
  <c r="U490" i="14"/>
  <c r="T490" i="14"/>
  <c r="S490" i="14"/>
  <c r="AA489" i="14"/>
  <c r="Z489" i="14"/>
  <c r="Y489" i="14"/>
  <c r="X489" i="14"/>
  <c r="W489" i="14"/>
  <c r="V489" i="14"/>
  <c r="U489" i="14"/>
  <c r="T489" i="14"/>
  <c r="S489" i="14"/>
  <c r="AA488" i="14"/>
  <c r="Z488" i="14"/>
  <c r="Y488" i="14"/>
  <c r="X488" i="14"/>
  <c r="W488" i="14"/>
  <c r="V488" i="14"/>
  <c r="U488" i="14"/>
  <c r="T488" i="14"/>
  <c r="S488" i="14"/>
  <c r="AA487" i="14"/>
  <c r="Z487" i="14"/>
  <c r="Y487" i="14"/>
  <c r="X487" i="14"/>
  <c r="W487" i="14"/>
  <c r="V487" i="14"/>
  <c r="U487" i="14"/>
  <c r="T487" i="14"/>
  <c r="S487" i="14"/>
  <c r="AA486" i="14"/>
  <c r="Z486" i="14"/>
  <c r="Y486" i="14"/>
  <c r="X486" i="14"/>
  <c r="W486" i="14"/>
  <c r="V486" i="14"/>
  <c r="U486" i="14"/>
  <c r="T486" i="14"/>
  <c r="S486" i="14"/>
  <c r="AA485" i="14"/>
  <c r="Z485" i="14"/>
  <c r="Y485" i="14"/>
  <c r="X485" i="14"/>
  <c r="W485" i="14"/>
  <c r="V485" i="14"/>
  <c r="U485" i="14"/>
  <c r="T485" i="14"/>
  <c r="S485" i="14"/>
  <c r="AA484" i="14"/>
  <c r="Z484" i="14"/>
  <c r="Y484" i="14"/>
  <c r="X484" i="14"/>
  <c r="W484" i="14"/>
  <c r="V484" i="14"/>
  <c r="U484" i="14"/>
  <c r="T484" i="14"/>
  <c r="S484" i="14"/>
  <c r="AA483" i="14"/>
  <c r="Z483" i="14"/>
  <c r="Y483" i="14"/>
  <c r="X483" i="14"/>
  <c r="W483" i="14"/>
  <c r="V483" i="14"/>
  <c r="U483" i="14"/>
  <c r="T483" i="14"/>
  <c r="S483" i="14"/>
  <c r="AA482" i="14"/>
  <c r="Z482" i="14"/>
  <c r="Y482" i="14"/>
  <c r="X482" i="14"/>
  <c r="W482" i="14"/>
  <c r="V482" i="14"/>
  <c r="U482" i="14"/>
  <c r="T482" i="14"/>
  <c r="S482" i="14"/>
  <c r="AA481" i="14"/>
  <c r="Z481" i="14"/>
  <c r="Y481" i="14"/>
  <c r="X481" i="14"/>
  <c r="W481" i="14"/>
  <c r="V481" i="14"/>
  <c r="U481" i="14"/>
  <c r="T481" i="14"/>
  <c r="S481" i="14"/>
  <c r="AA480" i="14"/>
  <c r="Z480" i="14"/>
  <c r="Y480" i="14"/>
  <c r="X480" i="14"/>
  <c r="W480" i="14"/>
  <c r="V480" i="14"/>
  <c r="U480" i="14"/>
  <c r="T480" i="14"/>
  <c r="S480" i="14"/>
  <c r="AA479" i="14"/>
  <c r="Z479" i="14"/>
  <c r="Y479" i="14"/>
  <c r="X479" i="14"/>
  <c r="W479" i="14"/>
  <c r="V479" i="14"/>
  <c r="U479" i="14"/>
  <c r="T479" i="14"/>
  <c r="S479" i="14"/>
  <c r="AA478" i="14"/>
  <c r="Z478" i="14"/>
  <c r="Y478" i="14"/>
  <c r="X478" i="14"/>
  <c r="W478" i="14"/>
  <c r="V478" i="14"/>
  <c r="U478" i="14"/>
  <c r="T478" i="14"/>
  <c r="S478" i="14"/>
  <c r="AA477" i="14"/>
  <c r="Z477" i="14"/>
  <c r="Y477" i="14"/>
  <c r="X477" i="14"/>
  <c r="W477" i="14"/>
  <c r="V477" i="14"/>
  <c r="U477" i="14"/>
  <c r="T477" i="14"/>
  <c r="S477" i="14"/>
  <c r="AA476" i="14"/>
  <c r="Z476" i="14"/>
  <c r="Y476" i="14"/>
  <c r="X476" i="14"/>
  <c r="W476" i="14"/>
  <c r="V476" i="14"/>
  <c r="U476" i="14"/>
  <c r="T476" i="14"/>
  <c r="S476" i="14"/>
  <c r="AA475" i="14"/>
  <c r="Z475" i="14"/>
  <c r="Y475" i="14"/>
  <c r="X475" i="14"/>
  <c r="W475" i="14"/>
  <c r="V475" i="14"/>
  <c r="U475" i="14"/>
  <c r="T475" i="14"/>
  <c r="S475" i="14"/>
  <c r="AA474" i="14"/>
  <c r="Z474" i="14"/>
  <c r="Y474" i="14"/>
  <c r="X474" i="14"/>
  <c r="W474" i="14"/>
  <c r="V474" i="14"/>
  <c r="U474" i="14"/>
  <c r="T474" i="14"/>
  <c r="S474" i="14"/>
  <c r="AA473" i="14"/>
  <c r="Z473" i="14"/>
  <c r="Y473" i="14"/>
  <c r="X473" i="14"/>
  <c r="W473" i="14"/>
  <c r="V473" i="14"/>
  <c r="U473" i="14"/>
  <c r="T473" i="14"/>
  <c r="S473" i="14"/>
  <c r="AA472" i="14"/>
  <c r="Z472" i="14"/>
  <c r="Y472" i="14"/>
  <c r="X472" i="14"/>
  <c r="W472" i="14"/>
  <c r="V472" i="14"/>
  <c r="U472" i="14"/>
  <c r="T472" i="14"/>
  <c r="S472" i="14"/>
  <c r="AA471" i="14"/>
  <c r="Z471" i="14"/>
  <c r="Y471" i="14"/>
  <c r="X471" i="14"/>
  <c r="W471" i="14"/>
  <c r="V471" i="14"/>
  <c r="U471" i="14"/>
  <c r="T471" i="14"/>
  <c r="S471" i="14"/>
  <c r="AA470" i="14"/>
  <c r="Z470" i="14"/>
  <c r="Y470" i="14"/>
  <c r="X470" i="14"/>
  <c r="W470" i="14"/>
  <c r="V470" i="14"/>
  <c r="U470" i="14"/>
  <c r="T470" i="14"/>
  <c r="S470" i="14"/>
  <c r="AA469" i="14"/>
  <c r="Z469" i="14"/>
  <c r="Y469" i="14"/>
  <c r="X469" i="14"/>
  <c r="W469" i="14"/>
  <c r="V469" i="14"/>
  <c r="U469" i="14"/>
  <c r="T469" i="14"/>
  <c r="S469" i="14"/>
  <c r="AA468" i="14"/>
  <c r="Z468" i="14"/>
  <c r="Y468" i="14"/>
  <c r="X468" i="14"/>
  <c r="W468" i="14"/>
  <c r="V468" i="14"/>
  <c r="U468" i="14"/>
  <c r="T468" i="14"/>
  <c r="S468" i="14"/>
  <c r="AA467" i="14"/>
  <c r="Z467" i="14"/>
  <c r="Y467" i="14"/>
  <c r="X467" i="14"/>
  <c r="W467" i="14"/>
  <c r="V467" i="14"/>
  <c r="U467" i="14"/>
  <c r="T467" i="14"/>
  <c r="S467" i="14"/>
  <c r="AA466" i="14"/>
  <c r="Z466" i="14"/>
  <c r="Y466" i="14"/>
  <c r="X466" i="14"/>
  <c r="W466" i="14"/>
  <c r="V466" i="14"/>
  <c r="U466" i="14"/>
  <c r="T466" i="14"/>
  <c r="S466" i="14"/>
  <c r="AA465" i="14"/>
  <c r="Z465" i="14"/>
  <c r="Y465" i="14"/>
  <c r="X465" i="14"/>
  <c r="W465" i="14"/>
  <c r="V465" i="14"/>
  <c r="U465" i="14"/>
  <c r="T465" i="14"/>
  <c r="S465" i="14"/>
  <c r="AA464" i="14"/>
  <c r="Z464" i="14"/>
  <c r="Y464" i="14"/>
  <c r="X464" i="14"/>
  <c r="W464" i="14"/>
  <c r="V464" i="14"/>
  <c r="U464" i="14"/>
  <c r="T464" i="14"/>
  <c r="S464" i="14"/>
  <c r="AA463" i="14"/>
  <c r="Z463" i="14"/>
  <c r="Y463" i="14"/>
  <c r="X463" i="14"/>
  <c r="W463" i="14"/>
  <c r="V463" i="14"/>
  <c r="U463" i="14"/>
  <c r="T463" i="14"/>
  <c r="S463" i="14"/>
  <c r="AA462" i="14"/>
  <c r="Z462" i="14"/>
  <c r="Y462" i="14"/>
  <c r="X462" i="14"/>
  <c r="W462" i="14"/>
  <c r="V462" i="14"/>
  <c r="U462" i="14"/>
  <c r="T462" i="14"/>
  <c r="S462" i="14"/>
  <c r="AA461" i="14"/>
  <c r="Z461" i="14"/>
  <c r="Y461" i="14"/>
  <c r="X461" i="14"/>
  <c r="W461" i="14"/>
  <c r="V461" i="14"/>
  <c r="U461" i="14"/>
  <c r="T461" i="14"/>
  <c r="S461" i="14"/>
  <c r="AA460" i="14"/>
  <c r="Z460" i="14"/>
  <c r="Y460" i="14"/>
  <c r="X460" i="14"/>
  <c r="W460" i="14"/>
  <c r="V460" i="14"/>
  <c r="U460" i="14"/>
  <c r="T460" i="14"/>
  <c r="S460" i="14"/>
  <c r="AA459" i="14"/>
  <c r="Z459" i="14"/>
  <c r="Y459" i="14"/>
  <c r="X459" i="14"/>
  <c r="W459" i="14"/>
  <c r="V459" i="14"/>
  <c r="U459" i="14"/>
  <c r="T459" i="14"/>
  <c r="S459" i="14"/>
  <c r="AA458" i="14"/>
  <c r="Z458" i="14"/>
  <c r="Y458" i="14"/>
  <c r="X458" i="14"/>
  <c r="W458" i="14"/>
  <c r="V458" i="14"/>
  <c r="U458" i="14"/>
  <c r="T458" i="14"/>
  <c r="S458" i="14"/>
  <c r="AA457" i="14"/>
  <c r="Z457" i="14"/>
  <c r="Y457" i="14"/>
  <c r="X457" i="14"/>
  <c r="W457" i="14"/>
  <c r="V457" i="14"/>
  <c r="U457" i="14"/>
  <c r="T457" i="14"/>
  <c r="S457" i="14"/>
  <c r="AA456" i="14"/>
  <c r="Z456" i="14"/>
  <c r="Y456" i="14"/>
  <c r="X456" i="14"/>
  <c r="W456" i="14"/>
  <c r="V456" i="14"/>
  <c r="U456" i="14"/>
  <c r="T456" i="14"/>
  <c r="S456" i="14"/>
  <c r="AA455" i="14"/>
  <c r="Z455" i="14"/>
  <c r="Y455" i="14"/>
  <c r="X455" i="14"/>
  <c r="W455" i="14"/>
  <c r="V455" i="14"/>
  <c r="U455" i="14"/>
  <c r="T455" i="14"/>
  <c r="S455" i="14"/>
  <c r="AA454" i="14"/>
  <c r="Z454" i="14"/>
  <c r="Y454" i="14"/>
  <c r="X454" i="14"/>
  <c r="W454" i="14"/>
  <c r="V454" i="14"/>
  <c r="U454" i="14"/>
  <c r="T454" i="14"/>
  <c r="S454" i="14"/>
  <c r="AA453" i="14"/>
  <c r="Z453" i="14"/>
  <c r="Y453" i="14"/>
  <c r="X453" i="14"/>
  <c r="W453" i="14"/>
  <c r="V453" i="14"/>
  <c r="U453" i="14"/>
  <c r="T453" i="14"/>
  <c r="S453" i="14"/>
  <c r="AA452" i="14"/>
  <c r="Z452" i="14"/>
  <c r="Y452" i="14"/>
  <c r="X452" i="14"/>
  <c r="W452" i="14"/>
  <c r="V452" i="14"/>
  <c r="U452" i="14"/>
  <c r="T452" i="14"/>
  <c r="S452" i="14"/>
  <c r="AA451" i="14"/>
  <c r="Z451" i="14"/>
  <c r="Y451" i="14"/>
  <c r="X451" i="14"/>
  <c r="W451" i="14"/>
  <c r="V451" i="14"/>
  <c r="U451" i="14"/>
  <c r="T451" i="14"/>
  <c r="S451" i="14"/>
  <c r="AA450" i="14"/>
  <c r="Z450" i="14"/>
  <c r="Y450" i="14"/>
  <c r="X450" i="14"/>
  <c r="W450" i="14"/>
  <c r="V450" i="14"/>
  <c r="U450" i="14"/>
  <c r="T450" i="14"/>
  <c r="S450" i="14"/>
  <c r="AA449" i="14"/>
  <c r="Z449" i="14"/>
  <c r="Y449" i="14"/>
  <c r="X449" i="14"/>
  <c r="W449" i="14"/>
  <c r="V449" i="14"/>
  <c r="U449" i="14"/>
  <c r="T449" i="14"/>
  <c r="S449" i="14"/>
  <c r="AA448" i="14"/>
  <c r="Z448" i="14"/>
  <c r="Y448" i="14"/>
  <c r="X448" i="14"/>
  <c r="W448" i="14"/>
  <c r="V448" i="14"/>
  <c r="U448" i="14"/>
  <c r="T448" i="14"/>
  <c r="S448" i="14"/>
  <c r="AA447" i="14"/>
  <c r="Z447" i="14"/>
  <c r="Y447" i="14"/>
  <c r="X447" i="14"/>
  <c r="W447" i="14"/>
  <c r="V447" i="14"/>
  <c r="U447" i="14"/>
  <c r="T447" i="14"/>
  <c r="S447" i="14"/>
  <c r="AA446" i="14"/>
  <c r="Z446" i="14"/>
  <c r="Y446" i="14"/>
  <c r="X446" i="14"/>
  <c r="W446" i="14"/>
  <c r="V446" i="14"/>
  <c r="U446" i="14"/>
  <c r="T446" i="14"/>
  <c r="S446" i="14"/>
  <c r="AA445" i="14"/>
  <c r="Z445" i="14"/>
  <c r="Y445" i="14"/>
  <c r="X445" i="14"/>
  <c r="W445" i="14"/>
  <c r="V445" i="14"/>
  <c r="U445" i="14"/>
  <c r="T445" i="14"/>
  <c r="S445" i="14"/>
  <c r="AA444" i="14"/>
  <c r="Z444" i="14"/>
  <c r="Y444" i="14"/>
  <c r="X444" i="14"/>
  <c r="W444" i="14"/>
  <c r="V444" i="14"/>
  <c r="U444" i="14"/>
  <c r="T444" i="14"/>
  <c r="S444" i="14"/>
  <c r="AA443" i="14"/>
  <c r="Z443" i="14"/>
  <c r="Y443" i="14"/>
  <c r="X443" i="14"/>
  <c r="W443" i="14"/>
  <c r="V443" i="14"/>
  <c r="U443" i="14"/>
  <c r="T443" i="14"/>
  <c r="S443" i="14"/>
  <c r="AA442" i="14"/>
  <c r="Z442" i="14"/>
  <c r="Y442" i="14"/>
  <c r="X442" i="14"/>
  <c r="W442" i="14"/>
  <c r="V442" i="14"/>
  <c r="U442" i="14"/>
  <c r="T442" i="14"/>
  <c r="S442" i="14"/>
  <c r="AA441" i="14"/>
  <c r="Z441" i="14"/>
  <c r="Y441" i="14"/>
  <c r="X441" i="14"/>
  <c r="W441" i="14"/>
  <c r="V441" i="14"/>
  <c r="U441" i="14"/>
  <c r="T441" i="14"/>
  <c r="S441" i="14"/>
  <c r="AA440" i="14"/>
  <c r="Z440" i="14"/>
  <c r="Y440" i="14"/>
  <c r="X440" i="14"/>
  <c r="W440" i="14"/>
  <c r="V440" i="14"/>
  <c r="U440" i="14"/>
  <c r="T440" i="14"/>
  <c r="S440" i="14"/>
  <c r="AA439" i="14"/>
  <c r="Z439" i="14"/>
  <c r="Y439" i="14"/>
  <c r="X439" i="14"/>
  <c r="W439" i="14"/>
  <c r="V439" i="14"/>
  <c r="U439" i="14"/>
  <c r="T439" i="14"/>
  <c r="S439" i="14"/>
  <c r="AA438" i="14"/>
  <c r="Z438" i="14"/>
  <c r="Y438" i="14"/>
  <c r="X438" i="14"/>
  <c r="W438" i="14"/>
  <c r="V438" i="14"/>
  <c r="U438" i="14"/>
  <c r="T438" i="14"/>
  <c r="S438" i="14"/>
  <c r="AA437" i="14"/>
  <c r="Z437" i="14"/>
  <c r="Y437" i="14"/>
  <c r="X437" i="14"/>
  <c r="W437" i="14"/>
  <c r="V437" i="14"/>
  <c r="U437" i="14"/>
  <c r="T437" i="14"/>
  <c r="S437" i="14"/>
  <c r="AA436" i="14"/>
  <c r="Z436" i="14"/>
  <c r="Y436" i="14"/>
  <c r="X436" i="14"/>
  <c r="W436" i="14"/>
  <c r="V436" i="14"/>
  <c r="U436" i="14"/>
  <c r="T436" i="14"/>
  <c r="S436" i="14"/>
  <c r="AA435" i="14"/>
  <c r="Z435" i="14"/>
  <c r="Y435" i="14"/>
  <c r="X435" i="14"/>
  <c r="W435" i="14"/>
  <c r="V435" i="14"/>
  <c r="U435" i="14"/>
  <c r="T435" i="14"/>
  <c r="S435" i="14"/>
  <c r="AA434" i="14"/>
  <c r="Z434" i="14"/>
  <c r="Y434" i="14"/>
  <c r="X434" i="14"/>
  <c r="W434" i="14"/>
  <c r="V434" i="14"/>
  <c r="U434" i="14"/>
  <c r="T434" i="14"/>
  <c r="S434" i="14"/>
  <c r="AA433" i="14"/>
  <c r="Z433" i="14"/>
  <c r="Y433" i="14"/>
  <c r="X433" i="14"/>
  <c r="W433" i="14"/>
  <c r="V433" i="14"/>
  <c r="U433" i="14"/>
  <c r="T433" i="14"/>
  <c r="S433" i="14"/>
  <c r="AA432" i="14"/>
  <c r="Z432" i="14"/>
  <c r="Y432" i="14"/>
  <c r="X432" i="14"/>
  <c r="W432" i="14"/>
  <c r="V432" i="14"/>
  <c r="U432" i="14"/>
  <c r="T432" i="14"/>
  <c r="S432" i="14"/>
  <c r="AA431" i="14"/>
  <c r="Z431" i="14"/>
  <c r="Y431" i="14"/>
  <c r="X431" i="14"/>
  <c r="W431" i="14"/>
  <c r="V431" i="14"/>
  <c r="U431" i="14"/>
  <c r="T431" i="14"/>
  <c r="S431" i="14"/>
  <c r="AA430" i="14"/>
  <c r="Z430" i="14"/>
  <c r="Y430" i="14"/>
  <c r="X430" i="14"/>
  <c r="W430" i="14"/>
  <c r="V430" i="14"/>
  <c r="U430" i="14"/>
  <c r="T430" i="14"/>
  <c r="S430" i="14"/>
  <c r="AA429" i="14"/>
  <c r="Z429" i="14"/>
  <c r="Y429" i="14"/>
  <c r="X429" i="14"/>
  <c r="W429" i="14"/>
  <c r="V429" i="14"/>
  <c r="U429" i="14"/>
  <c r="T429" i="14"/>
  <c r="S429" i="14"/>
  <c r="AA428" i="14"/>
  <c r="Z428" i="14"/>
  <c r="Y428" i="14"/>
  <c r="X428" i="14"/>
  <c r="W428" i="14"/>
  <c r="V428" i="14"/>
  <c r="U428" i="14"/>
  <c r="T428" i="14"/>
  <c r="S428" i="14"/>
  <c r="AA427" i="14"/>
  <c r="Z427" i="14"/>
  <c r="Y427" i="14"/>
  <c r="X427" i="14"/>
  <c r="W427" i="14"/>
  <c r="V427" i="14"/>
  <c r="U427" i="14"/>
  <c r="T427" i="14"/>
  <c r="S427" i="14"/>
  <c r="AA426" i="14"/>
  <c r="Z426" i="14"/>
  <c r="Y426" i="14"/>
  <c r="X426" i="14"/>
  <c r="W426" i="14"/>
  <c r="V426" i="14"/>
  <c r="U426" i="14"/>
  <c r="T426" i="14"/>
  <c r="S426" i="14"/>
  <c r="AA425" i="14"/>
  <c r="Z425" i="14"/>
  <c r="Y425" i="14"/>
  <c r="X425" i="14"/>
  <c r="W425" i="14"/>
  <c r="V425" i="14"/>
  <c r="U425" i="14"/>
  <c r="T425" i="14"/>
  <c r="S425" i="14"/>
  <c r="AA424" i="14"/>
  <c r="Z424" i="14"/>
  <c r="Y424" i="14"/>
  <c r="X424" i="14"/>
  <c r="W424" i="14"/>
  <c r="V424" i="14"/>
  <c r="U424" i="14"/>
  <c r="T424" i="14"/>
  <c r="S424" i="14"/>
  <c r="AA423" i="14"/>
  <c r="Z423" i="14"/>
  <c r="Y423" i="14"/>
  <c r="X423" i="14"/>
  <c r="W423" i="14"/>
  <c r="V423" i="14"/>
  <c r="U423" i="14"/>
  <c r="T423" i="14"/>
  <c r="S423" i="14"/>
  <c r="AA422" i="14"/>
  <c r="Z422" i="14"/>
  <c r="Y422" i="14"/>
  <c r="X422" i="14"/>
  <c r="W422" i="14"/>
  <c r="V422" i="14"/>
  <c r="U422" i="14"/>
  <c r="T422" i="14"/>
  <c r="S422" i="14"/>
  <c r="AA421" i="14"/>
  <c r="Z421" i="14"/>
  <c r="Y421" i="14"/>
  <c r="X421" i="14"/>
  <c r="W421" i="14"/>
  <c r="V421" i="14"/>
  <c r="U421" i="14"/>
  <c r="T421" i="14"/>
  <c r="S421" i="14"/>
  <c r="AA420" i="14"/>
  <c r="Z420" i="14"/>
  <c r="Y420" i="14"/>
  <c r="X420" i="14"/>
  <c r="W420" i="14"/>
  <c r="V420" i="14"/>
  <c r="U420" i="14"/>
  <c r="T420" i="14"/>
  <c r="S420" i="14"/>
  <c r="AA419" i="14"/>
  <c r="Z419" i="14"/>
  <c r="Y419" i="14"/>
  <c r="X419" i="14"/>
  <c r="W419" i="14"/>
  <c r="V419" i="14"/>
  <c r="U419" i="14"/>
  <c r="T419" i="14"/>
  <c r="S419" i="14"/>
  <c r="AA418" i="14"/>
  <c r="Z418" i="14"/>
  <c r="Y418" i="14"/>
  <c r="X418" i="14"/>
  <c r="W418" i="14"/>
  <c r="V418" i="14"/>
  <c r="U418" i="14"/>
  <c r="T418" i="14"/>
  <c r="S418" i="14"/>
  <c r="AA417" i="14"/>
  <c r="Z417" i="14"/>
  <c r="Y417" i="14"/>
  <c r="X417" i="14"/>
  <c r="W417" i="14"/>
  <c r="V417" i="14"/>
  <c r="U417" i="14"/>
  <c r="T417" i="14"/>
  <c r="S417" i="14"/>
  <c r="AA416" i="14"/>
  <c r="Z416" i="14"/>
  <c r="Y416" i="14"/>
  <c r="X416" i="14"/>
  <c r="W416" i="14"/>
  <c r="V416" i="14"/>
  <c r="U416" i="14"/>
  <c r="T416" i="14"/>
  <c r="S416" i="14"/>
  <c r="AA415" i="14"/>
  <c r="Z415" i="14"/>
  <c r="Y415" i="14"/>
  <c r="X415" i="14"/>
  <c r="W415" i="14"/>
  <c r="V415" i="14"/>
  <c r="U415" i="14"/>
  <c r="T415" i="14"/>
  <c r="S415" i="14"/>
  <c r="AA414" i="14"/>
  <c r="Z414" i="14"/>
  <c r="Y414" i="14"/>
  <c r="X414" i="14"/>
  <c r="W414" i="14"/>
  <c r="V414" i="14"/>
  <c r="U414" i="14"/>
  <c r="T414" i="14"/>
  <c r="S414" i="14"/>
  <c r="AA413" i="14"/>
  <c r="Z413" i="14"/>
  <c r="Y413" i="14"/>
  <c r="X413" i="14"/>
  <c r="W413" i="14"/>
  <c r="V413" i="14"/>
  <c r="U413" i="14"/>
  <c r="T413" i="14"/>
  <c r="S413" i="14"/>
  <c r="AA412" i="14"/>
  <c r="Z412" i="14"/>
  <c r="Y412" i="14"/>
  <c r="X412" i="14"/>
  <c r="W412" i="14"/>
  <c r="V412" i="14"/>
  <c r="U412" i="14"/>
  <c r="T412" i="14"/>
  <c r="S412" i="14"/>
  <c r="AA411" i="14"/>
  <c r="Z411" i="14"/>
  <c r="Y411" i="14"/>
  <c r="X411" i="14"/>
  <c r="W411" i="14"/>
  <c r="V411" i="14"/>
  <c r="U411" i="14"/>
  <c r="T411" i="14"/>
  <c r="S411" i="14"/>
  <c r="AA410" i="14"/>
  <c r="Z410" i="14"/>
  <c r="Y410" i="14"/>
  <c r="X410" i="14"/>
  <c r="W410" i="14"/>
  <c r="V410" i="14"/>
  <c r="U410" i="14"/>
  <c r="T410" i="14"/>
  <c r="S410" i="14"/>
  <c r="AA409" i="14"/>
  <c r="Z409" i="14"/>
  <c r="Y409" i="14"/>
  <c r="X409" i="14"/>
  <c r="W409" i="14"/>
  <c r="V409" i="14"/>
  <c r="U409" i="14"/>
  <c r="T409" i="14"/>
  <c r="S409" i="14"/>
  <c r="AA408" i="14"/>
  <c r="Z408" i="14"/>
  <c r="Y408" i="14"/>
  <c r="X408" i="14"/>
  <c r="W408" i="14"/>
  <c r="V408" i="14"/>
  <c r="U408" i="14"/>
  <c r="T408" i="14"/>
  <c r="S408" i="14"/>
  <c r="AA407" i="14"/>
  <c r="Z407" i="14"/>
  <c r="Y407" i="14"/>
  <c r="X407" i="14"/>
  <c r="W407" i="14"/>
  <c r="V407" i="14"/>
  <c r="U407" i="14"/>
  <c r="T407" i="14"/>
  <c r="S407" i="14"/>
  <c r="AA406" i="14"/>
  <c r="Z406" i="14"/>
  <c r="Y406" i="14"/>
  <c r="X406" i="14"/>
  <c r="W406" i="14"/>
  <c r="V406" i="14"/>
  <c r="U406" i="14"/>
  <c r="T406" i="14"/>
  <c r="S406" i="14"/>
  <c r="AA405" i="14"/>
  <c r="Z405" i="14"/>
  <c r="Y405" i="14"/>
  <c r="X405" i="14"/>
  <c r="W405" i="14"/>
  <c r="V405" i="14"/>
  <c r="U405" i="14"/>
  <c r="T405" i="14"/>
  <c r="S405" i="14"/>
  <c r="AA404" i="14"/>
  <c r="Z404" i="14"/>
  <c r="Y404" i="14"/>
  <c r="X404" i="14"/>
  <c r="W404" i="14"/>
  <c r="V404" i="14"/>
  <c r="U404" i="14"/>
  <c r="T404" i="14"/>
  <c r="S404" i="14"/>
  <c r="AA403" i="14"/>
  <c r="Z403" i="14"/>
  <c r="Y403" i="14"/>
  <c r="X403" i="14"/>
  <c r="W403" i="14"/>
  <c r="V403" i="14"/>
  <c r="U403" i="14"/>
  <c r="T403" i="14"/>
  <c r="S403" i="14"/>
  <c r="AA402" i="14"/>
  <c r="Z402" i="14"/>
  <c r="Y402" i="14"/>
  <c r="X402" i="14"/>
  <c r="W402" i="14"/>
  <c r="V402" i="14"/>
  <c r="U402" i="14"/>
  <c r="T402" i="14"/>
  <c r="S402" i="14"/>
  <c r="AA401" i="14"/>
  <c r="Z401" i="14"/>
  <c r="Y401" i="14"/>
  <c r="X401" i="14"/>
  <c r="W401" i="14"/>
  <c r="V401" i="14"/>
  <c r="U401" i="14"/>
  <c r="T401" i="14"/>
  <c r="S401" i="14"/>
  <c r="AA400" i="14"/>
  <c r="Z400" i="14"/>
  <c r="Y400" i="14"/>
  <c r="X400" i="14"/>
  <c r="W400" i="14"/>
  <c r="V400" i="14"/>
  <c r="U400" i="14"/>
  <c r="T400" i="14"/>
  <c r="S400" i="14"/>
  <c r="AA399" i="14"/>
  <c r="Z399" i="14"/>
  <c r="Y399" i="14"/>
  <c r="X399" i="14"/>
  <c r="W399" i="14"/>
  <c r="V399" i="14"/>
  <c r="U399" i="14"/>
  <c r="T399" i="14"/>
  <c r="S399" i="14"/>
  <c r="AA398" i="14"/>
  <c r="Z398" i="14"/>
  <c r="Y398" i="14"/>
  <c r="X398" i="14"/>
  <c r="W398" i="14"/>
  <c r="V398" i="14"/>
  <c r="U398" i="14"/>
  <c r="T398" i="14"/>
  <c r="S398" i="14"/>
  <c r="AA397" i="14"/>
  <c r="Z397" i="14"/>
  <c r="Y397" i="14"/>
  <c r="X397" i="14"/>
  <c r="W397" i="14"/>
  <c r="V397" i="14"/>
  <c r="U397" i="14"/>
  <c r="T397" i="14"/>
  <c r="S397" i="14"/>
  <c r="AA396" i="14"/>
  <c r="Z396" i="14"/>
  <c r="Y396" i="14"/>
  <c r="X396" i="14"/>
  <c r="W396" i="14"/>
  <c r="V396" i="14"/>
  <c r="U396" i="14"/>
  <c r="T396" i="14"/>
  <c r="S396" i="14"/>
  <c r="AA395" i="14"/>
  <c r="Z395" i="14"/>
  <c r="Y395" i="14"/>
  <c r="X395" i="14"/>
  <c r="W395" i="14"/>
  <c r="V395" i="14"/>
  <c r="U395" i="14"/>
  <c r="T395" i="14"/>
  <c r="S395" i="14"/>
  <c r="AA394" i="14"/>
  <c r="Z394" i="14"/>
  <c r="Y394" i="14"/>
  <c r="X394" i="14"/>
  <c r="W394" i="14"/>
  <c r="V394" i="14"/>
  <c r="U394" i="14"/>
  <c r="T394" i="14"/>
  <c r="S394" i="14"/>
  <c r="AA393" i="14"/>
  <c r="Z393" i="14"/>
  <c r="Y393" i="14"/>
  <c r="X393" i="14"/>
  <c r="W393" i="14"/>
  <c r="V393" i="14"/>
  <c r="U393" i="14"/>
  <c r="T393" i="14"/>
  <c r="S393" i="14"/>
  <c r="AA392" i="14"/>
  <c r="Z392" i="14"/>
  <c r="Y392" i="14"/>
  <c r="X392" i="14"/>
  <c r="W392" i="14"/>
  <c r="V392" i="14"/>
  <c r="U392" i="14"/>
  <c r="T392" i="14"/>
  <c r="S392" i="14"/>
  <c r="AA391" i="14"/>
  <c r="Z391" i="14"/>
  <c r="Y391" i="14"/>
  <c r="X391" i="14"/>
  <c r="W391" i="14"/>
  <c r="V391" i="14"/>
  <c r="U391" i="14"/>
  <c r="T391" i="14"/>
  <c r="S391" i="14"/>
  <c r="AA390" i="14"/>
  <c r="Z390" i="14"/>
  <c r="Y390" i="14"/>
  <c r="X390" i="14"/>
  <c r="W390" i="14"/>
  <c r="V390" i="14"/>
  <c r="U390" i="14"/>
  <c r="T390" i="14"/>
  <c r="S390" i="14"/>
  <c r="AA389" i="14"/>
  <c r="Z389" i="14"/>
  <c r="Y389" i="14"/>
  <c r="X389" i="14"/>
  <c r="W389" i="14"/>
  <c r="V389" i="14"/>
  <c r="U389" i="14"/>
  <c r="T389" i="14"/>
  <c r="S389" i="14"/>
  <c r="AA388" i="14"/>
  <c r="Z388" i="14"/>
  <c r="Y388" i="14"/>
  <c r="X388" i="14"/>
  <c r="W388" i="14"/>
  <c r="V388" i="14"/>
  <c r="U388" i="14"/>
  <c r="T388" i="14"/>
  <c r="S388" i="14"/>
  <c r="AA387" i="14"/>
  <c r="Z387" i="14"/>
  <c r="Y387" i="14"/>
  <c r="X387" i="14"/>
  <c r="W387" i="14"/>
  <c r="V387" i="14"/>
  <c r="U387" i="14"/>
  <c r="T387" i="14"/>
  <c r="S387" i="14"/>
  <c r="AA386" i="14"/>
  <c r="Z386" i="14"/>
  <c r="Y386" i="14"/>
  <c r="X386" i="14"/>
  <c r="W386" i="14"/>
  <c r="V386" i="14"/>
  <c r="U386" i="14"/>
  <c r="T386" i="14"/>
  <c r="S386" i="14"/>
  <c r="AA385" i="14"/>
  <c r="Z385" i="14"/>
  <c r="Y385" i="14"/>
  <c r="X385" i="14"/>
  <c r="W385" i="14"/>
  <c r="V385" i="14"/>
  <c r="U385" i="14"/>
  <c r="T385" i="14"/>
  <c r="S385" i="14"/>
  <c r="AA384" i="14"/>
  <c r="Z384" i="14"/>
  <c r="Y384" i="14"/>
  <c r="X384" i="14"/>
  <c r="W384" i="14"/>
  <c r="V384" i="14"/>
  <c r="U384" i="14"/>
  <c r="T384" i="14"/>
  <c r="S384" i="14"/>
  <c r="AA383" i="14"/>
  <c r="Z383" i="14"/>
  <c r="Y383" i="14"/>
  <c r="X383" i="14"/>
  <c r="W383" i="14"/>
  <c r="V383" i="14"/>
  <c r="U383" i="14"/>
  <c r="T383" i="14"/>
  <c r="S383" i="14"/>
  <c r="AA382" i="14"/>
  <c r="Z382" i="14"/>
  <c r="Y382" i="14"/>
  <c r="X382" i="14"/>
  <c r="W382" i="14"/>
  <c r="V382" i="14"/>
  <c r="U382" i="14"/>
  <c r="T382" i="14"/>
  <c r="S382" i="14"/>
  <c r="AA381" i="14"/>
  <c r="Z381" i="14"/>
  <c r="Y381" i="14"/>
  <c r="X381" i="14"/>
  <c r="W381" i="14"/>
  <c r="V381" i="14"/>
  <c r="U381" i="14"/>
  <c r="T381" i="14"/>
  <c r="S381" i="14"/>
  <c r="AA380" i="14"/>
  <c r="Z380" i="14"/>
  <c r="Y380" i="14"/>
  <c r="X380" i="14"/>
  <c r="W380" i="14"/>
  <c r="V380" i="14"/>
  <c r="U380" i="14"/>
  <c r="T380" i="14"/>
  <c r="S380" i="14"/>
  <c r="AA379" i="14"/>
  <c r="Z379" i="14"/>
  <c r="Y379" i="14"/>
  <c r="X379" i="14"/>
  <c r="W379" i="14"/>
  <c r="V379" i="14"/>
  <c r="U379" i="14"/>
  <c r="T379" i="14"/>
  <c r="S379" i="14"/>
  <c r="AA378" i="14"/>
  <c r="Z378" i="14"/>
  <c r="Y378" i="14"/>
  <c r="X378" i="14"/>
  <c r="W378" i="14"/>
  <c r="V378" i="14"/>
  <c r="U378" i="14"/>
  <c r="T378" i="14"/>
  <c r="S378" i="14"/>
  <c r="AA377" i="14"/>
  <c r="Z377" i="14"/>
  <c r="Y377" i="14"/>
  <c r="X377" i="14"/>
  <c r="W377" i="14"/>
  <c r="V377" i="14"/>
  <c r="U377" i="14"/>
  <c r="T377" i="14"/>
  <c r="S377" i="14"/>
  <c r="AA376" i="14"/>
  <c r="Z376" i="14"/>
  <c r="Y376" i="14"/>
  <c r="X376" i="14"/>
  <c r="W376" i="14"/>
  <c r="V376" i="14"/>
  <c r="U376" i="14"/>
  <c r="T376" i="14"/>
  <c r="S376" i="14"/>
  <c r="AA375" i="14"/>
  <c r="Z375" i="14"/>
  <c r="Y375" i="14"/>
  <c r="X375" i="14"/>
  <c r="W375" i="14"/>
  <c r="V375" i="14"/>
  <c r="U375" i="14"/>
  <c r="T375" i="14"/>
  <c r="S375" i="14"/>
  <c r="AA374" i="14"/>
  <c r="Z374" i="14"/>
  <c r="Y374" i="14"/>
  <c r="X374" i="14"/>
  <c r="W374" i="14"/>
  <c r="V374" i="14"/>
  <c r="U374" i="14"/>
  <c r="T374" i="14"/>
  <c r="S374" i="14"/>
  <c r="AA373" i="14"/>
  <c r="Z373" i="14"/>
  <c r="Y373" i="14"/>
  <c r="X373" i="14"/>
  <c r="W373" i="14"/>
  <c r="V373" i="14"/>
  <c r="U373" i="14"/>
  <c r="T373" i="14"/>
  <c r="S373" i="14"/>
  <c r="AA372" i="14"/>
  <c r="Z372" i="14"/>
  <c r="Y372" i="14"/>
  <c r="X372" i="14"/>
  <c r="W372" i="14"/>
  <c r="V372" i="14"/>
  <c r="U372" i="14"/>
  <c r="T372" i="14"/>
  <c r="S372" i="14"/>
  <c r="AA371" i="14"/>
  <c r="Z371" i="14"/>
  <c r="Y371" i="14"/>
  <c r="X371" i="14"/>
  <c r="W371" i="14"/>
  <c r="V371" i="14"/>
  <c r="U371" i="14"/>
  <c r="T371" i="14"/>
  <c r="S371" i="14"/>
  <c r="AA370" i="14"/>
  <c r="Z370" i="14"/>
  <c r="Y370" i="14"/>
  <c r="X370" i="14"/>
  <c r="W370" i="14"/>
  <c r="V370" i="14"/>
  <c r="U370" i="14"/>
  <c r="T370" i="14"/>
  <c r="S370" i="14"/>
  <c r="AA369" i="14"/>
  <c r="Z369" i="14"/>
  <c r="Y369" i="14"/>
  <c r="X369" i="14"/>
  <c r="W369" i="14"/>
  <c r="V369" i="14"/>
  <c r="U369" i="14"/>
  <c r="T369" i="14"/>
  <c r="S369" i="14"/>
  <c r="AA368" i="14"/>
  <c r="Z368" i="14"/>
  <c r="Y368" i="14"/>
  <c r="X368" i="14"/>
  <c r="W368" i="14"/>
  <c r="V368" i="14"/>
  <c r="U368" i="14"/>
  <c r="T368" i="14"/>
  <c r="S368" i="14"/>
  <c r="AA367" i="14"/>
  <c r="Z367" i="14"/>
  <c r="Y367" i="14"/>
  <c r="X367" i="14"/>
  <c r="W367" i="14"/>
  <c r="V367" i="14"/>
  <c r="U367" i="14"/>
  <c r="T367" i="14"/>
  <c r="S367" i="14"/>
  <c r="AA366" i="14"/>
  <c r="Z366" i="14"/>
  <c r="Y366" i="14"/>
  <c r="X366" i="14"/>
  <c r="W366" i="14"/>
  <c r="V366" i="14"/>
  <c r="U366" i="14"/>
  <c r="T366" i="14"/>
  <c r="S366" i="14"/>
  <c r="AA365" i="14"/>
  <c r="Z365" i="14"/>
  <c r="Y365" i="14"/>
  <c r="X365" i="14"/>
  <c r="W365" i="14"/>
  <c r="V365" i="14"/>
  <c r="U365" i="14"/>
  <c r="T365" i="14"/>
  <c r="S365" i="14"/>
  <c r="AA364" i="14"/>
  <c r="Z364" i="14"/>
  <c r="Y364" i="14"/>
  <c r="X364" i="14"/>
  <c r="W364" i="14"/>
  <c r="V364" i="14"/>
  <c r="U364" i="14"/>
  <c r="T364" i="14"/>
  <c r="S364" i="14"/>
  <c r="AA363" i="14"/>
  <c r="Z363" i="14"/>
  <c r="Y363" i="14"/>
  <c r="X363" i="14"/>
  <c r="W363" i="14"/>
  <c r="V363" i="14"/>
  <c r="U363" i="14"/>
  <c r="T363" i="14"/>
  <c r="S363" i="14"/>
  <c r="AA362" i="14"/>
  <c r="Z362" i="14"/>
  <c r="Y362" i="14"/>
  <c r="X362" i="14"/>
  <c r="W362" i="14"/>
  <c r="V362" i="14"/>
  <c r="U362" i="14"/>
  <c r="T362" i="14"/>
  <c r="S362" i="14"/>
  <c r="AA361" i="14"/>
  <c r="Z361" i="14"/>
  <c r="Y361" i="14"/>
  <c r="X361" i="14"/>
  <c r="W361" i="14"/>
  <c r="V361" i="14"/>
  <c r="U361" i="14"/>
  <c r="T361" i="14"/>
  <c r="S361" i="14"/>
  <c r="AA360" i="14"/>
  <c r="Z360" i="14"/>
  <c r="Y360" i="14"/>
  <c r="X360" i="14"/>
  <c r="W360" i="14"/>
  <c r="V360" i="14"/>
  <c r="U360" i="14"/>
  <c r="T360" i="14"/>
  <c r="S360" i="14"/>
  <c r="AA359" i="14"/>
  <c r="Z359" i="14"/>
  <c r="Y359" i="14"/>
  <c r="X359" i="14"/>
  <c r="W359" i="14"/>
  <c r="V359" i="14"/>
  <c r="U359" i="14"/>
  <c r="T359" i="14"/>
  <c r="S359" i="14"/>
  <c r="AA358" i="14"/>
  <c r="Z358" i="14"/>
  <c r="Y358" i="14"/>
  <c r="X358" i="14"/>
  <c r="W358" i="14"/>
  <c r="V358" i="14"/>
  <c r="U358" i="14"/>
  <c r="T358" i="14"/>
  <c r="S358" i="14"/>
  <c r="AA357" i="14"/>
  <c r="Z357" i="14"/>
  <c r="Y357" i="14"/>
  <c r="X357" i="14"/>
  <c r="W357" i="14"/>
  <c r="V357" i="14"/>
  <c r="U357" i="14"/>
  <c r="T357" i="14"/>
  <c r="S357" i="14"/>
  <c r="AA356" i="14"/>
  <c r="Z356" i="14"/>
  <c r="Y356" i="14"/>
  <c r="X356" i="14"/>
  <c r="W356" i="14"/>
  <c r="V356" i="14"/>
  <c r="U356" i="14"/>
  <c r="T356" i="14"/>
  <c r="S356" i="14"/>
  <c r="AA355" i="14"/>
  <c r="Z355" i="14"/>
  <c r="Y355" i="14"/>
  <c r="X355" i="14"/>
  <c r="W355" i="14"/>
  <c r="V355" i="14"/>
  <c r="U355" i="14"/>
  <c r="T355" i="14"/>
  <c r="S355" i="14"/>
  <c r="AA354" i="14"/>
  <c r="Z354" i="14"/>
  <c r="Y354" i="14"/>
  <c r="X354" i="14"/>
  <c r="W354" i="14"/>
  <c r="V354" i="14"/>
  <c r="U354" i="14"/>
  <c r="T354" i="14"/>
  <c r="S354" i="14"/>
  <c r="AA353" i="14"/>
  <c r="Z353" i="14"/>
  <c r="Y353" i="14"/>
  <c r="X353" i="14"/>
  <c r="W353" i="14"/>
  <c r="V353" i="14"/>
  <c r="U353" i="14"/>
  <c r="T353" i="14"/>
  <c r="S353" i="14"/>
  <c r="AA352" i="14"/>
  <c r="Z352" i="14"/>
  <c r="Y352" i="14"/>
  <c r="X352" i="14"/>
  <c r="W352" i="14"/>
  <c r="V352" i="14"/>
  <c r="U352" i="14"/>
  <c r="T352" i="14"/>
  <c r="S352" i="14"/>
  <c r="AA351" i="14"/>
  <c r="Z351" i="14"/>
  <c r="Y351" i="14"/>
  <c r="X351" i="14"/>
  <c r="W351" i="14"/>
  <c r="V351" i="14"/>
  <c r="U351" i="14"/>
  <c r="T351" i="14"/>
  <c r="S351" i="14"/>
  <c r="AA350" i="14"/>
  <c r="Z350" i="14"/>
  <c r="Y350" i="14"/>
  <c r="X350" i="14"/>
  <c r="W350" i="14"/>
  <c r="V350" i="14"/>
  <c r="U350" i="14"/>
  <c r="T350" i="14"/>
  <c r="S350" i="14"/>
  <c r="AA349" i="14"/>
  <c r="Z349" i="14"/>
  <c r="Y349" i="14"/>
  <c r="X349" i="14"/>
  <c r="W349" i="14"/>
  <c r="V349" i="14"/>
  <c r="U349" i="14"/>
  <c r="T349" i="14"/>
  <c r="S349" i="14"/>
  <c r="AA348" i="14"/>
  <c r="Z348" i="14"/>
  <c r="Y348" i="14"/>
  <c r="X348" i="14"/>
  <c r="W348" i="14"/>
  <c r="V348" i="14"/>
  <c r="U348" i="14"/>
  <c r="T348" i="14"/>
  <c r="S348" i="14"/>
  <c r="AA347" i="14"/>
  <c r="Z347" i="14"/>
  <c r="Y347" i="14"/>
  <c r="X347" i="14"/>
  <c r="W347" i="14"/>
  <c r="V347" i="14"/>
  <c r="U347" i="14"/>
  <c r="T347" i="14"/>
  <c r="S347" i="14"/>
  <c r="AA346" i="14"/>
  <c r="Z346" i="14"/>
  <c r="Y346" i="14"/>
  <c r="X346" i="14"/>
  <c r="W346" i="14"/>
  <c r="V346" i="14"/>
  <c r="U346" i="14"/>
  <c r="T346" i="14"/>
  <c r="S346" i="14"/>
  <c r="AA345" i="14"/>
  <c r="Z345" i="14"/>
  <c r="Y345" i="14"/>
  <c r="X345" i="14"/>
  <c r="W345" i="14"/>
  <c r="V345" i="14"/>
  <c r="U345" i="14"/>
  <c r="T345" i="14"/>
  <c r="S345" i="14"/>
  <c r="AA344" i="14"/>
  <c r="Z344" i="14"/>
  <c r="Y344" i="14"/>
  <c r="X344" i="14"/>
  <c r="W344" i="14"/>
  <c r="V344" i="14"/>
  <c r="U344" i="14"/>
  <c r="T344" i="14"/>
  <c r="S344" i="14"/>
  <c r="AA343" i="14"/>
  <c r="Z343" i="14"/>
  <c r="Y343" i="14"/>
  <c r="X343" i="14"/>
  <c r="W343" i="14"/>
  <c r="V343" i="14"/>
  <c r="U343" i="14"/>
  <c r="T343" i="14"/>
  <c r="S343" i="14"/>
  <c r="AA342" i="14"/>
  <c r="Z342" i="14"/>
  <c r="Y342" i="14"/>
  <c r="X342" i="14"/>
  <c r="W342" i="14"/>
  <c r="V342" i="14"/>
  <c r="U342" i="14"/>
  <c r="T342" i="14"/>
  <c r="S342" i="14"/>
  <c r="AA341" i="14"/>
  <c r="Z341" i="14"/>
  <c r="Y341" i="14"/>
  <c r="X341" i="14"/>
  <c r="W341" i="14"/>
  <c r="V341" i="14"/>
  <c r="U341" i="14"/>
  <c r="T341" i="14"/>
  <c r="S341" i="14"/>
  <c r="AA340" i="14"/>
  <c r="Z340" i="14"/>
  <c r="Y340" i="14"/>
  <c r="X340" i="14"/>
  <c r="W340" i="14"/>
  <c r="V340" i="14"/>
  <c r="U340" i="14"/>
  <c r="T340" i="14"/>
  <c r="S340" i="14"/>
  <c r="AA339" i="14"/>
  <c r="Z339" i="14"/>
  <c r="Y339" i="14"/>
  <c r="X339" i="14"/>
  <c r="W339" i="14"/>
  <c r="V339" i="14"/>
  <c r="U339" i="14"/>
  <c r="T339" i="14"/>
  <c r="S339" i="14"/>
  <c r="AA338" i="14"/>
  <c r="Z338" i="14"/>
  <c r="Y338" i="14"/>
  <c r="X338" i="14"/>
  <c r="W338" i="14"/>
  <c r="V338" i="14"/>
  <c r="U338" i="14"/>
  <c r="T338" i="14"/>
  <c r="S338" i="14"/>
  <c r="AA337" i="14"/>
  <c r="Z337" i="14"/>
  <c r="Y337" i="14"/>
  <c r="X337" i="14"/>
  <c r="W337" i="14"/>
  <c r="V337" i="14"/>
  <c r="U337" i="14"/>
  <c r="T337" i="14"/>
  <c r="S337" i="14"/>
  <c r="AA336" i="14"/>
  <c r="Z336" i="14"/>
  <c r="Y336" i="14"/>
  <c r="X336" i="14"/>
  <c r="W336" i="14"/>
  <c r="V336" i="14"/>
  <c r="U336" i="14"/>
  <c r="T336" i="14"/>
  <c r="S336" i="14"/>
  <c r="AA335" i="14"/>
  <c r="Z335" i="14"/>
  <c r="Y335" i="14"/>
  <c r="X335" i="14"/>
  <c r="W335" i="14"/>
  <c r="V335" i="14"/>
  <c r="U335" i="14"/>
  <c r="T335" i="14"/>
  <c r="S335" i="14"/>
  <c r="AA334" i="14"/>
  <c r="Z334" i="14"/>
  <c r="Y334" i="14"/>
  <c r="X334" i="14"/>
  <c r="W334" i="14"/>
  <c r="V334" i="14"/>
  <c r="U334" i="14"/>
  <c r="T334" i="14"/>
  <c r="S334" i="14"/>
  <c r="AA333" i="14"/>
  <c r="Z333" i="14"/>
  <c r="Y333" i="14"/>
  <c r="X333" i="14"/>
  <c r="W333" i="14"/>
  <c r="V333" i="14"/>
  <c r="U333" i="14"/>
  <c r="T333" i="14"/>
  <c r="S333" i="14"/>
  <c r="AA332" i="14"/>
  <c r="Z332" i="14"/>
  <c r="Y332" i="14"/>
  <c r="X332" i="14"/>
  <c r="W332" i="14"/>
  <c r="V332" i="14"/>
  <c r="U332" i="14"/>
  <c r="T332" i="14"/>
  <c r="S332" i="14"/>
  <c r="AA331" i="14"/>
  <c r="Z331" i="14"/>
  <c r="Y331" i="14"/>
  <c r="X331" i="14"/>
  <c r="W331" i="14"/>
  <c r="V331" i="14"/>
  <c r="U331" i="14"/>
  <c r="T331" i="14"/>
  <c r="S331" i="14"/>
  <c r="AA330" i="14"/>
  <c r="Z330" i="14"/>
  <c r="Y330" i="14"/>
  <c r="X330" i="14"/>
  <c r="W330" i="14"/>
  <c r="V330" i="14"/>
  <c r="U330" i="14"/>
  <c r="T330" i="14"/>
  <c r="S330" i="14"/>
  <c r="AA329" i="14"/>
  <c r="Z329" i="14"/>
  <c r="Y329" i="14"/>
  <c r="X329" i="14"/>
  <c r="W329" i="14"/>
  <c r="V329" i="14"/>
  <c r="U329" i="14"/>
  <c r="T329" i="14"/>
  <c r="S329" i="14"/>
  <c r="AA328" i="14"/>
  <c r="Z328" i="14"/>
  <c r="Y328" i="14"/>
  <c r="X328" i="14"/>
  <c r="W328" i="14"/>
  <c r="V328" i="14"/>
  <c r="U328" i="14"/>
  <c r="T328" i="14"/>
  <c r="S328" i="14"/>
  <c r="AA327" i="14"/>
  <c r="Z327" i="14"/>
  <c r="Y327" i="14"/>
  <c r="X327" i="14"/>
  <c r="W327" i="14"/>
  <c r="V327" i="14"/>
  <c r="U327" i="14"/>
  <c r="T327" i="14"/>
  <c r="S327" i="14"/>
  <c r="AA326" i="14"/>
  <c r="Z326" i="14"/>
  <c r="Y326" i="14"/>
  <c r="X326" i="14"/>
  <c r="W326" i="14"/>
  <c r="V326" i="14"/>
  <c r="U326" i="14"/>
  <c r="T326" i="14"/>
  <c r="S326" i="14"/>
  <c r="AA325" i="14"/>
  <c r="Z325" i="14"/>
  <c r="Y325" i="14"/>
  <c r="X325" i="14"/>
  <c r="W325" i="14"/>
  <c r="V325" i="14"/>
  <c r="U325" i="14"/>
  <c r="T325" i="14"/>
  <c r="S325" i="14"/>
  <c r="AA324" i="14"/>
  <c r="Z324" i="14"/>
  <c r="Y324" i="14"/>
  <c r="X324" i="14"/>
  <c r="W324" i="14"/>
  <c r="V324" i="14"/>
  <c r="U324" i="14"/>
  <c r="T324" i="14"/>
  <c r="S324" i="14"/>
  <c r="AA323" i="14"/>
  <c r="Z323" i="14"/>
  <c r="Y323" i="14"/>
  <c r="X323" i="14"/>
  <c r="W323" i="14"/>
  <c r="V323" i="14"/>
  <c r="U323" i="14"/>
  <c r="T323" i="14"/>
  <c r="S323" i="14"/>
  <c r="AA322" i="14"/>
  <c r="Z322" i="14"/>
  <c r="Y322" i="14"/>
  <c r="X322" i="14"/>
  <c r="W322" i="14"/>
  <c r="V322" i="14"/>
  <c r="U322" i="14"/>
  <c r="T322" i="14"/>
  <c r="S322" i="14"/>
  <c r="AA321" i="14"/>
  <c r="Z321" i="14"/>
  <c r="Y321" i="14"/>
  <c r="X321" i="14"/>
  <c r="W321" i="14"/>
  <c r="V321" i="14"/>
  <c r="U321" i="14"/>
  <c r="T321" i="14"/>
  <c r="S321" i="14"/>
  <c r="AA320" i="14"/>
  <c r="Z320" i="14"/>
  <c r="Y320" i="14"/>
  <c r="X320" i="14"/>
  <c r="W320" i="14"/>
  <c r="V320" i="14"/>
  <c r="U320" i="14"/>
  <c r="T320" i="14"/>
  <c r="S320" i="14"/>
  <c r="AA319" i="14"/>
  <c r="Z319" i="14"/>
  <c r="Y319" i="14"/>
  <c r="X319" i="14"/>
  <c r="W319" i="14"/>
  <c r="V319" i="14"/>
  <c r="U319" i="14"/>
  <c r="T319" i="14"/>
  <c r="S319" i="14"/>
  <c r="AA318" i="14"/>
  <c r="Z318" i="14"/>
  <c r="Y318" i="14"/>
  <c r="X318" i="14"/>
  <c r="W318" i="14"/>
  <c r="V318" i="14"/>
  <c r="U318" i="14"/>
  <c r="T318" i="14"/>
  <c r="S318" i="14"/>
  <c r="AA317" i="14"/>
  <c r="Z317" i="14"/>
  <c r="Y317" i="14"/>
  <c r="X317" i="14"/>
  <c r="W317" i="14"/>
  <c r="V317" i="14"/>
  <c r="U317" i="14"/>
  <c r="T317" i="14"/>
  <c r="S317" i="14"/>
  <c r="AA316" i="14"/>
  <c r="Z316" i="14"/>
  <c r="Y316" i="14"/>
  <c r="X316" i="14"/>
  <c r="W316" i="14"/>
  <c r="V316" i="14"/>
  <c r="U316" i="14"/>
  <c r="T316" i="14"/>
  <c r="S316" i="14"/>
  <c r="AA315" i="14"/>
  <c r="Z315" i="14"/>
  <c r="Y315" i="14"/>
  <c r="X315" i="14"/>
  <c r="W315" i="14"/>
  <c r="V315" i="14"/>
  <c r="U315" i="14"/>
  <c r="T315" i="14"/>
  <c r="S315" i="14"/>
  <c r="AA314" i="14"/>
  <c r="Z314" i="14"/>
  <c r="Y314" i="14"/>
  <c r="X314" i="14"/>
  <c r="W314" i="14"/>
  <c r="V314" i="14"/>
  <c r="U314" i="14"/>
  <c r="T314" i="14"/>
  <c r="S314" i="14"/>
  <c r="AA313" i="14"/>
  <c r="Z313" i="14"/>
  <c r="Y313" i="14"/>
  <c r="X313" i="14"/>
  <c r="W313" i="14"/>
  <c r="V313" i="14"/>
  <c r="U313" i="14"/>
  <c r="T313" i="14"/>
  <c r="S313" i="14"/>
  <c r="AA312" i="14"/>
  <c r="Z312" i="14"/>
  <c r="Y312" i="14"/>
  <c r="X312" i="14"/>
  <c r="W312" i="14"/>
  <c r="V312" i="14"/>
  <c r="U312" i="14"/>
  <c r="T312" i="14"/>
  <c r="S312" i="14"/>
  <c r="AA311" i="14"/>
  <c r="Z311" i="14"/>
  <c r="Y311" i="14"/>
  <c r="X311" i="14"/>
  <c r="W311" i="14"/>
  <c r="V311" i="14"/>
  <c r="U311" i="14"/>
  <c r="T311" i="14"/>
  <c r="S311" i="14"/>
  <c r="AA310" i="14"/>
  <c r="Z310" i="14"/>
  <c r="Y310" i="14"/>
  <c r="X310" i="14"/>
  <c r="W310" i="14"/>
  <c r="V310" i="14"/>
  <c r="U310" i="14"/>
  <c r="T310" i="14"/>
  <c r="S310" i="14"/>
  <c r="AA309" i="14"/>
  <c r="Z309" i="14"/>
  <c r="Y309" i="14"/>
  <c r="X309" i="14"/>
  <c r="W309" i="14"/>
  <c r="V309" i="14"/>
  <c r="U309" i="14"/>
  <c r="T309" i="14"/>
  <c r="S309" i="14"/>
  <c r="AA308" i="14"/>
  <c r="Z308" i="14"/>
  <c r="Y308" i="14"/>
  <c r="X308" i="14"/>
  <c r="W308" i="14"/>
  <c r="V308" i="14"/>
  <c r="U308" i="14"/>
  <c r="T308" i="14"/>
  <c r="S308" i="14"/>
  <c r="AA307" i="14"/>
  <c r="Z307" i="14"/>
  <c r="Y307" i="14"/>
  <c r="X307" i="14"/>
  <c r="W307" i="14"/>
  <c r="V307" i="14"/>
  <c r="U307" i="14"/>
  <c r="T307" i="14"/>
  <c r="S307" i="14"/>
  <c r="AA306" i="14"/>
  <c r="Z306" i="14"/>
  <c r="Y306" i="14"/>
  <c r="X306" i="14"/>
  <c r="W306" i="14"/>
  <c r="V306" i="14"/>
  <c r="U306" i="14"/>
  <c r="T306" i="14"/>
  <c r="S306" i="14"/>
  <c r="AA305" i="14"/>
  <c r="Z305" i="14"/>
  <c r="Y305" i="14"/>
  <c r="X305" i="14"/>
  <c r="W305" i="14"/>
  <c r="V305" i="14"/>
  <c r="U305" i="14"/>
  <c r="T305" i="14"/>
  <c r="S305" i="14"/>
  <c r="AA304" i="14"/>
  <c r="Z304" i="14"/>
  <c r="Y304" i="14"/>
  <c r="X304" i="14"/>
  <c r="W304" i="14"/>
  <c r="V304" i="14"/>
  <c r="U304" i="14"/>
  <c r="T304" i="14"/>
  <c r="S304" i="14"/>
  <c r="AA303" i="14"/>
  <c r="Z303" i="14"/>
  <c r="Y303" i="14"/>
  <c r="X303" i="14"/>
  <c r="W303" i="14"/>
  <c r="V303" i="14"/>
  <c r="U303" i="14"/>
  <c r="T303" i="14"/>
  <c r="S303" i="14"/>
  <c r="AA302" i="14"/>
  <c r="Z302" i="14"/>
  <c r="Y302" i="14"/>
  <c r="X302" i="14"/>
  <c r="W302" i="14"/>
  <c r="V302" i="14"/>
  <c r="U302" i="14"/>
  <c r="T302" i="14"/>
  <c r="S302" i="14"/>
  <c r="AA301" i="14"/>
  <c r="Z301" i="14"/>
  <c r="Y301" i="14"/>
  <c r="X301" i="14"/>
  <c r="W301" i="14"/>
  <c r="V301" i="14"/>
  <c r="U301" i="14"/>
  <c r="T301" i="14"/>
  <c r="S301" i="14"/>
  <c r="AA300" i="14"/>
  <c r="Z300" i="14"/>
  <c r="Y300" i="14"/>
  <c r="X300" i="14"/>
  <c r="W300" i="14"/>
  <c r="V300" i="14"/>
  <c r="U300" i="14"/>
  <c r="T300" i="14"/>
  <c r="S300" i="14"/>
  <c r="AA299" i="14"/>
  <c r="Z299" i="14"/>
  <c r="Y299" i="14"/>
  <c r="X299" i="14"/>
  <c r="W299" i="14"/>
  <c r="V299" i="14"/>
  <c r="U299" i="14"/>
  <c r="T299" i="14"/>
  <c r="S299" i="14"/>
  <c r="AA298" i="14"/>
  <c r="Z298" i="14"/>
  <c r="Y298" i="14"/>
  <c r="X298" i="14"/>
  <c r="W298" i="14"/>
  <c r="V298" i="14"/>
  <c r="U298" i="14"/>
  <c r="T298" i="14"/>
  <c r="S298" i="14"/>
  <c r="AA297" i="14"/>
  <c r="Z297" i="14"/>
  <c r="Y297" i="14"/>
  <c r="X297" i="14"/>
  <c r="W297" i="14"/>
  <c r="V297" i="14"/>
  <c r="U297" i="14"/>
  <c r="T297" i="14"/>
  <c r="S297" i="14"/>
  <c r="AA296" i="14"/>
  <c r="Z296" i="14"/>
  <c r="Y296" i="14"/>
  <c r="X296" i="14"/>
  <c r="W296" i="14"/>
  <c r="V296" i="14"/>
  <c r="U296" i="14"/>
  <c r="T296" i="14"/>
  <c r="S296" i="14"/>
  <c r="AA295" i="14"/>
  <c r="Z295" i="14"/>
  <c r="Y295" i="14"/>
  <c r="X295" i="14"/>
  <c r="W295" i="14"/>
  <c r="V295" i="14"/>
  <c r="U295" i="14"/>
  <c r="T295" i="14"/>
  <c r="S295" i="14"/>
  <c r="AA294" i="14"/>
  <c r="Z294" i="14"/>
  <c r="Y294" i="14"/>
  <c r="X294" i="14"/>
  <c r="W294" i="14"/>
  <c r="V294" i="14"/>
  <c r="U294" i="14"/>
  <c r="T294" i="14"/>
  <c r="S294" i="14"/>
  <c r="AA293" i="14"/>
  <c r="Z293" i="14"/>
  <c r="Y293" i="14"/>
  <c r="X293" i="14"/>
  <c r="W293" i="14"/>
  <c r="V293" i="14"/>
  <c r="U293" i="14"/>
  <c r="T293" i="14"/>
  <c r="S293" i="14"/>
  <c r="AA292" i="14"/>
  <c r="Z292" i="14"/>
  <c r="Y292" i="14"/>
  <c r="X292" i="14"/>
  <c r="W292" i="14"/>
  <c r="V292" i="14"/>
  <c r="U292" i="14"/>
  <c r="T292" i="14"/>
  <c r="S292" i="14"/>
  <c r="AA291" i="14"/>
  <c r="Z291" i="14"/>
  <c r="Y291" i="14"/>
  <c r="X291" i="14"/>
  <c r="W291" i="14"/>
  <c r="V291" i="14"/>
  <c r="U291" i="14"/>
  <c r="T291" i="14"/>
  <c r="S291" i="14"/>
  <c r="AA290" i="14"/>
  <c r="Z290" i="14"/>
  <c r="Y290" i="14"/>
  <c r="X290" i="14"/>
  <c r="W290" i="14"/>
  <c r="V290" i="14"/>
  <c r="U290" i="14"/>
  <c r="T290" i="14"/>
  <c r="S290" i="14"/>
  <c r="AA289" i="14"/>
  <c r="Z289" i="14"/>
  <c r="Y289" i="14"/>
  <c r="X289" i="14"/>
  <c r="W289" i="14"/>
  <c r="V289" i="14"/>
  <c r="U289" i="14"/>
  <c r="T289" i="14"/>
  <c r="S289" i="14"/>
  <c r="AA288" i="14"/>
  <c r="Z288" i="14"/>
  <c r="Y288" i="14"/>
  <c r="X288" i="14"/>
  <c r="W288" i="14"/>
  <c r="V288" i="14"/>
  <c r="U288" i="14"/>
  <c r="T288" i="14"/>
  <c r="S288" i="14"/>
  <c r="AA287" i="14"/>
  <c r="Z287" i="14"/>
  <c r="Y287" i="14"/>
  <c r="X287" i="14"/>
  <c r="W287" i="14"/>
  <c r="V287" i="14"/>
  <c r="U287" i="14"/>
  <c r="T287" i="14"/>
  <c r="S287" i="14"/>
  <c r="AA286" i="14"/>
  <c r="Z286" i="14"/>
  <c r="Y286" i="14"/>
  <c r="X286" i="14"/>
  <c r="W286" i="14"/>
  <c r="V286" i="14"/>
  <c r="U286" i="14"/>
  <c r="T286" i="14"/>
  <c r="S286" i="14"/>
  <c r="AA285" i="14"/>
  <c r="Z285" i="14"/>
  <c r="Y285" i="14"/>
  <c r="X285" i="14"/>
  <c r="W285" i="14"/>
  <c r="V285" i="14"/>
  <c r="U285" i="14"/>
  <c r="T285" i="14"/>
  <c r="S285" i="14"/>
  <c r="AA284" i="14"/>
  <c r="Z284" i="14"/>
  <c r="Y284" i="14"/>
  <c r="X284" i="14"/>
  <c r="W284" i="14"/>
  <c r="V284" i="14"/>
  <c r="U284" i="14"/>
  <c r="T284" i="14"/>
  <c r="S284" i="14"/>
  <c r="AA283" i="14"/>
  <c r="Z283" i="14"/>
  <c r="Y283" i="14"/>
  <c r="X283" i="14"/>
  <c r="W283" i="14"/>
  <c r="V283" i="14"/>
  <c r="U283" i="14"/>
  <c r="T283" i="14"/>
  <c r="S283" i="14"/>
  <c r="AA282" i="14"/>
  <c r="Z282" i="14"/>
  <c r="Y282" i="14"/>
  <c r="X282" i="14"/>
  <c r="W282" i="14"/>
  <c r="V282" i="14"/>
  <c r="U282" i="14"/>
  <c r="T282" i="14"/>
  <c r="S282" i="14"/>
  <c r="AA281" i="14"/>
  <c r="Z281" i="14"/>
  <c r="Y281" i="14"/>
  <c r="X281" i="14"/>
  <c r="W281" i="14"/>
  <c r="V281" i="14"/>
  <c r="U281" i="14"/>
  <c r="T281" i="14"/>
  <c r="S281" i="14"/>
  <c r="AA280" i="14"/>
  <c r="Z280" i="14"/>
  <c r="Y280" i="14"/>
  <c r="X280" i="14"/>
  <c r="W280" i="14"/>
  <c r="V280" i="14"/>
  <c r="U280" i="14"/>
  <c r="T280" i="14"/>
  <c r="S280" i="14"/>
  <c r="AA279" i="14"/>
  <c r="Z279" i="14"/>
  <c r="Y279" i="14"/>
  <c r="X279" i="14"/>
  <c r="W279" i="14"/>
  <c r="V279" i="14"/>
  <c r="U279" i="14"/>
  <c r="T279" i="14"/>
  <c r="S279" i="14"/>
  <c r="AA278" i="14"/>
  <c r="Z278" i="14"/>
  <c r="Y278" i="14"/>
  <c r="X278" i="14"/>
  <c r="W278" i="14"/>
  <c r="V278" i="14"/>
  <c r="U278" i="14"/>
  <c r="T278" i="14"/>
  <c r="S278" i="14"/>
  <c r="AA277" i="14"/>
  <c r="Z277" i="14"/>
  <c r="Y277" i="14"/>
  <c r="X277" i="14"/>
  <c r="W277" i="14"/>
  <c r="V277" i="14"/>
  <c r="U277" i="14"/>
  <c r="T277" i="14"/>
  <c r="S277" i="14"/>
  <c r="AA276" i="14"/>
  <c r="Z276" i="14"/>
  <c r="Y276" i="14"/>
  <c r="X276" i="14"/>
  <c r="W276" i="14"/>
  <c r="V276" i="14"/>
  <c r="U276" i="14"/>
  <c r="T276" i="14"/>
  <c r="S276" i="14"/>
  <c r="AA275" i="14"/>
  <c r="Z275" i="14"/>
  <c r="Y275" i="14"/>
  <c r="X275" i="14"/>
  <c r="W275" i="14"/>
  <c r="V275" i="14"/>
  <c r="U275" i="14"/>
  <c r="T275" i="14"/>
  <c r="S275" i="14"/>
  <c r="AA274" i="14"/>
  <c r="Z274" i="14"/>
  <c r="Y274" i="14"/>
  <c r="X274" i="14"/>
  <c r="W274" i="14"/>
  <c r="V274" i="14"/>
  <c r="U274" i="14"/>
  <c r="T274" i="14"/>
  <c r="S274" i="14"/>
  <c r="AA273" i="14"/>
  <c r="Z273" i="14"/>
  <c r="Y273" i="14"/>
  <c r="X273" i="14"/>
  <c r="W273" i="14"/>
  <c r="V273" i="14"/>
  <c r="U273" i="14"/>
  <c r="T273" i="14"/>
  <c r="S273" i="14"/>
  <c r="AA272" i="14"/>
  <c r="Z272" i="14"/>
  <c r="Y272" i="14"/>
  <c r="X272" i="14"/>
  <c r="W272" i="14"/>
  <c r="V272" i="14"/>
  <c r="U272" i="14"/>
  <c r="T272" i="14"/>
  <c r="S272" i="14"/>
  <c r="AA271" i="14"/>
  <c r="Z271" i="14"/>
  <c r="Y271" i="14"/>
  <c r="X271" i="14"/>
  <c r="W271" i="14"/>
  <c r="V271" i="14"/>
  <c r="U271" i="14"/>
  <c r="T271" i="14"/>
  <c r="S271" i="14"/>
  <c r="AA270" i="14"/>
  <c r="Z270" i="14"/>
  <c r="Y270" i="14"/>
  <c r="X270" i="14"/>
  <c r="W270" i="14"/>
  <c r="V270" i="14"/>
  <c r="U270" i="14"/>
  <c r="T270" i="14"/>
  <c r="S270" i="14"/>
  <c r="AA269" i="14"/>
  <c r="Z269" i="14"/>
  <c r="Y269" i="14"/>
  <c r="X269" i="14"/>
  <c r="W269" i="14"/>
  <c r="V269" i="14"/>
  <c r="U269" i="14"/>
  <c r="T269" i="14"/>
  <c r="S269" i="14"/>
  <c r="AA268" i="14"/>
  <c r="Z268" i="14"/>
  <c r="Y268" i="14"/>
  <c r="X268" i="14"/>
  <c r="W268" i="14"/>
  <c r="V268" i="14"/>
  <c r="U268" i="14"/>
  <c r="T268" i="14"/>
  <c r="S268" i="14"/>
  <c r="AA267" i="14"/>
  <c r="Z267" i="14"/>
  <c r="Y267" i="14"/>
  <c r="X267" i="14"/>
  <c r="W267" i="14"/>
  <c r="V267" i="14"/>
  <c r="U267" i="14"/>
  <c r="T267" i="14"/>
  <c r="S267" i="14"/>
  <c r="AA266" i="14"/>
  <c r="Z266" i="14"/>
  <c r="Y266" i="14"/>
  <c r="X266" i="14"/>
  <c r="W266" i="14"/>
  <c r="V266" i="14"/>
  <c r="U266" i="14"/>
  <c r="T266" i="14"/>
  <c r="S266" i="14"/>
  <c r="AA265" i="14"/>
  <c r="Z265" i="14"/>
  <c r="Y265" i="14"/>
  <c r="X265" i="14"/>
  <c r="W265" i="14"/>
  <c r="V265" i="14"/>
  <c r="U265" i="14"/>
  <c r="T265" i="14"/>
  <c r="S265" i="14"/>
  <c r="AA264" i="14"/>
  <c r="Z264" i="14"/>
  <c r="Y264" i="14"/>
  <c r="X264" i="14"/>
  <c r="W264" i="14"/>
  <c r="V264" i="14"/>
  <c r="U264" i="14"/>
  <c r="T264" i="14"/>
  <c r="S264" i="14"/>
  <c r="AA263" i="14"/>
  <c r="Z263" i="14"/>
  <c r="Y263" i="14"/>
  <c r="X263" i="14"/>
  <c r="W263" i="14"/>
  <c r="V263" i="14"/>
  <c r="U263" i="14"/>
  <c r="T263" i="14"/>
  <c r="S263" i="14"/>
  <c r="AA262" i="14"/>
  <c r="Z262" i="14"/>
  <c r="Y262" i="14"/>
  <c r="X262" i="14"/>
  <c r="W262" i="14"/>
  <c r="V262" i="14"/>
  <c r="U262" i="14"/>
  <c r="T262" i="14"/>
  <c r="S262" i="14"/>
  <c r="AA261" i="14"/>
  <c r="Z261" i="14"/>
  <c r="Y261" i="14"/>
  <c r="X261" i="14"/>
  <c r="W261" i="14"/>
  <c r="V261" i="14"/>
  <c r="U261" i="14"/>
  <c r="T261" i="14"/>
  <c r="S261" i="14"/>
  <c r="AA260" i="14"/>
  <c r="Z260" i="14"/>
  <c r="Y260" i="14"/>
  <c r="X260" i="14"/>
  <c r="W260" i="14"/>
  <c r="V260" i="14"/>
  <c r="U260" i="14"/>
  <c r="T260" i="14"/>
  <c r="S260" i="14"/>
  <c r="AA259" i="14"/>
  <c r="Z259" i="14"/>
  <c r="Y259" i="14"/>
  <c r="X259" i="14"/>
  <c r="W259" i="14"/>
  <c r="V259" i="14"/>
  <c r="U259" i="14"/>
  <c r="T259" i="14"/>
  <c r="S259" i="14"/>
  <c r="AA258" i="14"/>
  <c r="Z258" i="14"/>
  <c r="Y258" i="14"/>
  <c r="X258" i="14"/>
  <c r="W258" i="14"/>
  <c r="V258" i="14"/>
  <c r="U258" i="14"/>
  <c r="T258" i="14"/>
  <c r="S258" i="14"/>
  <c r="AA257" i="14"/>
  <c r="Z257" i="14"/>
  <c r="Y257" i="14"/>
  <c r="X257" i="14"/>
  <c r="W257" i="14"/>
  <c r="V257" i="14"/>
  <c r="U257" i="14"/>
  <c r="T257" i="14"/>
  <c r="S257" i="14"/>
  <c r="AA256" i="14"/>
  <c r="Z256" i="14"/>
  <c r="Y256" i="14"/>
  <c r="X256" i="14"/>
  <c r="W256" i="14"/>
  <c r="V256" i="14"/>
  <c r="U256" i="14"/>
  <c r="T256" i="14"/>
  <c r="S256" i="14"/>
  <c r="AA255" i="14"/>
  <c r="Z255" i="14"/>
  <c r="Y255" i="14"/>
  <c r="X255" i="14"/>
  <c r="W255" i="14"/>
  <c r="V255" i="14"/>
  <c r="U255" i="14"/>
  <c r="T255" i="14"/>
  <c r="S255" i="14"/>
  <c r="AA254" i="14"/>
  <c r="Z254" i="14"/>
  <c r="Y254" i="14"/>
  <c r="X254" i="14"/>
  <c r="W254" i="14"/>
  <c r="V254" i="14"/>
  <c r="U254" i="14"/>
  <c r="T254" i="14"/>
  <c r="S254" i="14"/>
  <c r="AA253" i="14"/>
  <c r="Z253" i="14"/>
  <c r="Y253" i="14"/>
  <c r="X253" i="14"/>
  <c r="W253" i="14"/>
  <c r="V253" i="14"/>
  <c r="U253" i="14"/>
  <c r="T253" i="14"/>
  <c r="S253" i="14"/>
  <c r="AA252" i="14"/>
  <c r="Z252" i="14"/>
  <c r="Y252" i="14"/>
  <c r="X252" i="14"/>
  <c r="W252" i="14"/>
  <c r="V252" i="14"/>
  <c r="U252" i="14"/>
  <c r="T252" i="14"/>
  <c r="S252" i="14"/>
  <c r="AA251" i="14"/>
  <c r="Z251" i="14"/>
  <c r="Y251" i="14"/>
  <c r="X251" i="14"/>
  <c r="W251" i="14"/>
  <c r="V251" i="14"/>
  <c r="U251" i="14"/>
  <c r="T251" i="14"/>
  <c r="S251" i="14"/>
  <c r="AA250" i="14"/>
  <c r="Z250" i="14"/>
  <c r="Y250" i="14"/>
  <c r="X250" i="14"/>
  <c r="W250" i="14"/>
  <c r="V250" i="14"/>
  <c r="U250" i="14"/>
  <c r="T250" i="14"/>
  <c r="S250" i="14"/>
  <c r="AA249" i="14"/>
  <c r="Z249" i="14"/>
  <c r="Y249" i="14"/>
  <c r="X249" i="14"/>
  <c r="W249" i="14"/>
  <c r="V249" i="14"/>
  <c r="U249" i="14"/>
  <c r="T249" i="14"/>
  <c r="S249" i="14"/>
  <c r="AA248" i="14"/>
  <c r="Z248" i="14"/>
  <c r="Y248" i="14"/>
  <c r="X248" i="14"/>
  <c r="W248" i="14"/>
  <c r="V248" i="14"/>
  <c r="U248" i="14"/>
  <c r="T248" i="14"/>
  <c r="S248" i="14"/>
  <c r="AA247" i="14"/>
  <c r="Z247" i="14"/>
  <c r="Y247" i="14"/>
  <c r="X247" i="14"/>
  <c r="W247" i="14"/>
  <c r="V247" i="14"/>
  <c r="U247" i="14"/>
  <c r="T247" i="14"/>
  <c r="S247" i="14"/>
  <c r="AA246" i="14"/>
  <c r="Z246" i="14"/>
  <c r="Y246" i="14"/>
  <c r="X246" i="14"/>
  <c r="W246" i="14"/>
  <c r="V246" i="14"/>
  <c r="U246" i="14"/>
  <c r="T246" i="14"/>
  <c r="S246" i="14"/>
  <c r="AA245" i="14"/>
  <c r="Z245" i="14"/>
  <c r="Y245" i="14"/>
  <c r="X245" i="14"/>
  <c r="W245" i="14"/>
  <c r="V245" i="14"/>
  <c r="U245" i="14"/>
  <c r="T245" i="14"/>
  <c r="S245" i="14"/>
  <c r="AA244" i="14"/>
  <c r="Z244" i="14"/>
  <c r="Y244" i="14"/>
  <c r="X244" i="14"/>
  <c r="W244" i="14"/>
  <c r="V244" i="14"/>
  <c r="U244" i="14"/>
  <c r="T244" i="14"/>
  <c r="S244" i="14"/>
  <c r="AA243" i="14"/>
  <c r="Z243" i="14"/>
  <c r="Y243" i="14"/>
  <c r="X243" i="14"/>
  <c r="W243" i="14"/>
  <c r="V243" i="14"/>
  <c r="U243" i="14"/>
  <c r="T243" i="14"/>
  <c r="S243" i="14"/>
  <c r="AA242" i="14"/>
  <c r="Z242" i="14"/>
  <c r="Y242" i="14"/>
  <c r="X242" i="14"/>
  <c r="W242" i="14"/>
  <c r="V242" i="14"/>
  <c r="U242" i="14"/>
  <c r="T242" i="14"/>
  <c r="S242" i="14"/>
  <c r="AA241" i="14"/>
  <c r="Z241" i="14"/>
  <c r="Y241" i="14"/>
  <c r="X241" i="14"/>
  <c r="W241" i="14"/>
  <c r="V241" i="14"/>
  <c r="U241" i="14"/>
  <c r="T241" i="14"/>
  <c r="S241" i="14"/>
  <c r="AA240" i="14"/>
  <c r="Z240" i="14"/>
  <c r="Y240" i="14"/>
  <c r="X240" i="14"/>
  <c r="W240" i="14"/>
  <c r="V240" i="14"/>
  <c r="U240" i="14"/>
  <c r="T240" i="14"/>
  <c r="S240" i="14"/>
  <c r="AA239" i="14"/>
  <c r="Z239" i="14"/>
  <c r="Y239" i="14"/>
  <c r="X239" i="14"/>
  <c r="W239" i="14"/>
  <c r="V239" i="14"/>
  <c r="U239" i="14"/>
  <c r="T239" i="14"/>
  <c r="S239" i="14"/>
  <c r="AA238" i="14"/>
  <c r="Z238" i="14"/>
  <c r="Y238" i="14"/>
  <c r="X238" i="14"/>
  <c r="W238" i="14"/>
  <c r="V238" i="14"/>
  <c r="U238" i="14"/>
  <c r="T238" i="14"/>
  <c r="S238" i="14"/>
  <c r="AA237" i="14"/>
  <c r="Z237" i="14"/>
  <c r="Y237" i="14"/>
  <c r="X237" i="14"/>
  <c r="W237" i="14"/>
  <c r="V237" i="14"/>
  <c r="U237" i="14"/>
  <c r="T237" i="14"/>
  <c r="S237" i="14"/>
  <c r="AA236" i="14"/>
  <c r="Z236" i="14"/>
  <c r="Y236" i="14"/>
  <c r="X236" i="14"/>
  <c r="W236" i="14"/>
  <c r="V236" i="14"/>
  <c r="U236" i="14"/>
  <c r="T236" i="14"/>
  <c r="S236" i="14"/>
  <c r="AA235" i="14"/>
  <c r="Z235" i="14"/>
  <c r="Y235" i="14"/>
  <c r="X235" i="14"/>
  <c r="W235" i="14"/>
  <c r="V235" i="14"/>
  <c r="U235" i="14"/>
  <c r="T235" i="14"/>
  <c r="S235" i="14"/>
  <c r="AA234" i="14"/>
  <c r="Z234" i="14"/>
  <c r="Y234" i="14"/>
  <c r="X234" i="14"/>
  <c r="W234" i="14"/>
  <c r="V234" i="14"/>
  <c r="U234" i="14"/>
  <c r="T234" i="14"/>
  <c r="S234" i="14"/>
  <c r="AA233" i="14"/>
  <c r="Z233" i="14"/>
  <c r="Y233" i="14"/>
  <c r="X233" i="14"/>
  <c r="W233" i="14"/>
  <c r="V233" i="14"/>
  <c r="U233" i="14"/>
  <c r="T233" i="14"/>
  <c r="S233" i="14"/>
  <c r="AA232" i="14"/>
  <c r="Z232" i="14"/>
  <c r="Y232" i="14"/>
  <c r="X232" i="14"/>
  <c r="W232" i="14"/>
  <c r="V232" i="14"/>
  <c r="U232" i="14"/>
  <c r="T232" i="14"/>
  <c r="S232" i="14"/>
  <c r="AA231" i="14"/>
  <c r="Z231" i="14"/>
  <c r="Y231" i="14"/>
  <c r="X231" i="14"/>
  <c r="W231" i="14"/>
  <c r="V231" i="14"/>
  <c r="U231" i="14"/>
  <c r="T231" i="14"/>
  <c r="S231" i="14"/>
  <c r="AA230" i="14"/>
  <c r="Z230" i="14"/>
  <c r="Y230" i="14"/>
  <c r="X230" i="14"/>
  <c r="W230" i="14"/>
  <c r="V230" i="14"/>
  <c r="U230" i="14"/>
  <c r="T230" i="14"/>
  <c r="S230" i="14"/>
  <c r="AA229" i="14"/>
  <c r="Z229" i="14"/>
  <c r="Y229" i="14"/>
  <c r="X229" i="14"/>
  <c r="W229" i="14"/>
  <c r="V229" i="14"/>
  <c r="U229" i="14"/>
  <c r="T229" i="14"/>
  <c r="S229" i="14"/>
  <c r="AA228" i="14"/>
  <c r="Z228" i="14"/>
  <c r="Y228" i="14"/>
  <c r="X228" i="14"/>
  <c r="W228" i="14"/>
  <c r="V228" i="14"/>
  <c r="U228" i="14"/>
  <c r="T228" i="14"/>
  <c r="S228" i="14"/>
  <c r="AA227" i="14"/>
  <c r="Z227" i="14"/>
  <c r="Y227" i="14"/>
  <c r="X227" i="14"/>
  <c r="W227" i="14"/>
  <c r="V227" i="14"/>
  <c r="U227" i="14"/>
  <c r="T227" i="14"/>
  <c r="S227" i="14"/>
  <c r="AA226" i="14"/>
  <c r="Z226" i="14"/>
  <c r="Y226" i="14"/>
  <c r="X226" i="14"/>
  <c r="W226" i="14"/>
  <c r="V226" i="14"/>
  <c r="U226" i="14"/>
  <c r="T226" i="14"/>
  <c r="S226" i="14"/>
  <c r="AA225" i="14"/>
  <c r="Z225" i="14"/>
  <c r="Y225" i="14"/>
  <c r="X225" i="14"/>
  <c r="W225" i="14"/>
  <c r="V225" i="14"/>
  <c r="U225" i="14"/>
  <c r="T225" i="14"/>
  <c r="S225" i="14"/>
  <c r="AA224" i="14"/>
  <c r="Z224" i="14"/>
  <c r="Y224" i="14"/>
  <c r="X224" i="14"/>
  <c r="W224" i="14"/>
  <c r="V224" i="14"/>
  <c r="U224" i="14"/>
  <c r="T224" i="14"/>
  <c r="S224" i="14"/>
  <c r="AA223" i="14"/>
  <c r="Z223" i="14"/>
  <c r="Y223" i="14"/>
  <c r="X223" i="14"/>
  <c r="W223" i="14"/>
  <c r="V223" i="14"/>
  <c r="U223" i="14"/>
  <c r="T223" i="14"/>
  <c r="S223" i="14"/>
  <c r="AA222" i="14"/>
  <c r="Z222" i="14"/>
  <c r="Y222" i="14"/>
  <c r="X222" i="14"/>
  <c r="W222" i="14"/>
  <c r="V222" i="14"/>
  <c r="U222" i="14"/>
  <c r="T222" i="14"/>
  <c r="S222" i="14"/>
  <c r="AA221" i="14"/>
  <c r="Z221" i="14"/>
  <c r="Y221" i="14"/>
  <c r="X221" i="14"/>
  <c r="W221" i="14"/>
  <c r="V221" i="14"/>
  <c r="U221" i="14"/>
  <c r="T221" i="14"/>
  <c r="S221" i="14"/>
  <c r="AA220" i="14"/>
  <c r="Z220" i="14"/>
  <c r="Y220" i="14"/>
  <c r="X220" i="14"/>
  <c r="W220" i="14"/>
  <c r="V220" i="14"/>
  <c r="U220" i="14"/>
  <c r="T220" i="14"/>
  <c r="S220" i="14"/>
  <c r="AA219" i="14"/>
  <c r="Z219" i="14"/>
  <c r="Y219" i="14"/>
  <c r="X219" i="14"/>
  <c r="W219" i="14"/>
  <c r="V219" i="14"/>
  <c r="U219" i="14"/>
  <c r="T219" i="14"/>
  <c r="S219" i="14"/>
  <c r="AA218" i="14"/>
  <c r="Z218" i="14"/>
  <c r="Y218" i="14"/>
  <c r="X218" i="14"/>
  <c r="W218" i="14"/>
  <c r="V218" i="14"/>
  <c r="U218" i="14"/>
  <c r="T218" i="14"/>
  <c r="S218" i="14"/>
  <c r="AA217" i="14"/>
  <c r="Z217" i="14"/>
  <c r="Y217" i="14"/>
  <c r="X217" i="14"/>
  <c r="W217" i="14"/>
  <c r="V217" i="14"/>
  <c r="U217" i="14"/>
  <c r="T217" i="14"/>
  <c r="S217" i="14"/>
  <c r="AA216" i="14"/>
  <c r="Z216" i="14"/>
  <c r="Y216" i="14"/>
  <c r="X216" i="14"/>
  <c r="W216" i="14"/>
  <c r="V216" i="14"/>
  <c r="U216" i="14"/>
  <c r="T216" i="14"/>
  <c r="S216" i="14"/>
  <c r="AA215" i="14"/>
  <c r="Z215" i="14"/>
  <c r="Y215" i="14"/>
  <c r="X215" i="14"/>
  <c r="W215" i="14"/>
  <c r="V215" i="14"/>
  <c r="U215" i="14"/>
  <c r="T215" i="14"/>
  <c r="S215" i="14"/>
  <c r="AA214" i="14"/>
  <c r="Z214" i="14"/>
  <c r="Y214" i="14"/>
  <c r="X214" i="14"/>
  <c r="W214" i="14"/>
  <c r="V214" i="14"/>
  <c r="U214" i="14"/>
  <c r="T214" i="14"/>
  <c r="S214" i="14"/>
  <c r="AA213" i="14"/>
  <c r="Z213" i="14"/>
  <c r="Y213" i="14"/>
  <c r="X213" i="14"/>
  <c r="W213" i="14"/>
  <c r="V213" i="14"/>
  <c r="U213" i="14"/>
  <c r="T213" i="14"/>
  <c r="S213" i="14"/>
  <c r="AA212" i="14"/>
  <c r="Z212" i="14"/>
  <c r="Y212" i="14"/>
  <c r="X212" i="14"/>
  <c r="W212" i="14"/>
  <c r="V212" i="14"/>
  <c r="U212" i="14"/>
  <c r="T212" i="14"/>
  <c r="S212" i="14"/>
  <c r="AA211" i="14"/>
  <c r="Z211" i="14"/>
  <c r="Y211" i="14"/>
  <c r="X211" i="14"/>
  <c r="W211" i="14"/>
  <c r="V211" i="14"/>
  <c r="U211" i="14"/>
  <c r="T211" i="14"/>
  <c r="S211" i="14"/>
  <c r="AA210" i="14"/>
  <c r="Z210" i="14"/>
  <c r="Y210" i="14"/>
  <c r="X210" i="14"/>
  <c r="W210" i="14"/>
  <c r="V210" i="14"/>
  <c r="U210" i="14"/>
  <c r="T210" i="14"/>
  <c r="S210" i="14"/>
  <c r="AA209" i="14"/>
  <c r="Z209" i="14"/>
  <c r="Y209" i="14"/>
  <c r="X209" i="14"/>
  <c r="W209" i="14"/>
  <c r="V209" i="14"/>
  <c r="U209" i="14"/>
  <c r="T209" i="14"/>
  <c r="S209" i="14"/>
  <c r="AA208" i="14"/>
  <c r="Z208" i="14"/>
  <c r="Y208" i="14"/>
  <c r="X208" i="14"/>
  <c r="W208" i="14"/>
  <c r="V208" i="14"/>
  <c r="U208" i="14"/>
  <c r="T208" i="14"/>
  <c r="S208" i="14"/>
  <c r="AA207" i="14"/>
  <c r="Z207" i="14"/>
  <c r="Y207" i="14"/>
  <c r="X207" i="14"/>
  <c r="W207" i="14"/>
  <c r="V207" i="14"/>
  <c r="U207" i="14"/>
  <c r="T207" i="14"/>
  <c r="S207" i="14"/>
  <c r="AA206" i="14"/>
  <c r="Z206" i="14"/>
  <c r="Y206" i="14"/>
  <c r="X206" i="14"/>
  <c r="W206" i="14"/>
  <c r="V206" i="14"/>
  <c r="U206" i="14"/>
  <c r="T206" i="14"/>
  <c r="S206" i="14"/>
  <c r="AA205" i="14"/>
  <c r="Z205" i="14"/>
  <c r="Y205" i="14"/>
  <c r="X205" i="14"/>
  <c r="W205" i="14"/>
  <c r="V205" i="14"/>
  <c r="U205" i="14"/>
  <c r="T205" i="14"/>
  <c r="S205" i="14"/>
  <c r="AA204" i="14"/>
  <c r="Z204" i="14"/>
  <c r="Y204" i="14"/>
  <c r="X204" i="14"/>
  <c r="W204" i="14"/>
  <c r="V204" i="14"/>
  <c r="U204" i="14"/>
  <c r="T204" i="14"/>
  <c r="S204" i="14"/>
  <c r="AA203" i="14"/>
  <c r="Z203" i="14"/>
  <c r="Y203" i="14"/>
  <c r="X203" i="14"/>
  <c r="W203" i="14"/>
  <c r="V203" i="14"/>
  <c r="U203" i="14"/>
  <c r="T203" i="14"/>
  <c r="S203" i="14"/>
  <c r="AA202" i="14"/>
  <c r="Z202" i="14"/>
  <c r="Y202" i="14"/>
  <c r="X202" i="14"/>
  <c r="W202" i="14"/>
  <c r="V202" i="14"/>
  <c r="U202" i="14"/>
  <c r="T202" i="14"/>
  <c r="S202" i="14"/>
  <c r="AA201" i="14"/>
  <c r="Z201" i="14"/>
  <c r="Y201" i="14"/>
  <c r="X201" i="14"/>
  <c r="W201" i="14"/>
  <c r="V201" i="14"/>
  <c r="U201" i="14"/>
  <c r="T201" i="14"/>
  <c r="S201" i="14"/>
  <c r="AA200" i="14"/>
  <c r="Z200" i="14"/>
  <c r="Y200" i="14"/>
  <c r="X200" i="14"/>
  <c r="W200" i="14"/>
  <c r="V200" i="14"/>
  <c r="U200" i="14"/>
  <c r="T200" i="14"/>
  <c r="S200" i="14"/>
  <c r="AA199" i="14"/>
  <c r="Z199" i="14"/>
  <c r="Y199" i="14"/>
  <c r="X199" i="14"/>
  <c r="W199" i="14"/>
  <c r="V199" i="14"/>
  <c r="U199" i="14"/>
  <c r="T199" i="14"/>
  <c r="S199" i="14"/>
  <c r="AA198" i="14"/>
  <c r="Z198" i="14"/>
  <c r="Y198" i="14"/>
  <c r="X198" i="14"/>
  <c r="W198" i="14"/>
  <c r="V198" i="14"/>
  <c r="U198" i="14"/>
  <c r="T198" i="14"/>
  <c r="S198" i="14"/>
  <c r="AA197" i="14"/>
  <c r="Z197" i="14"/>
  <c r="Y197" i="14"/>
  <c r="X197" i="14"/>
  <c r="W197" i="14"/>
  <c r="V197" i="14"/>
  <c r="U197" i="14"/>
  <c r="T197" i="14"/>
  <c r="S197" i="14"/>
  <c r="AA196" i="14"/>
  <c r="Z196" i="14"/>
  <c r="Y196" i="14"/>
  <c r="X196" i="14"/>
  <c r="W196" i="14"/>
  <c r="V196" i="14"/>
  <c r="U196" i="14"/>
  <c r="T196" i="14"/>
  <c r="S196" i="14"/>
  <c r="AA195" i="14"/>
  <c r="Z195" i="14"/>
  <c r="Y195" i="14"/>
  <c r="X195" i="14"/>
  <c r="W195" i="14"/>
  <c r="V195" i="14"/>
  <c r="U195" i="14"/>
  <c r="T195" i="14"/>
  <c r="S195" i="14"/>
  <c r="AA194" i="14"/>
  <c r="Z194" i="14"/>
  <c r="Y194" i="14"/>
  <c r="X194" i="14"/>
  <c r="W194" i="14"/>
  <c r="V194" i="14"/>
  <c r="U194" i="14"/>
  <c r="T194" i="14"/>
  <c r="S194" i="14"/>
  <c r="AA193" i="14"/>
  <c r="Z193" i="14"/>
  <c r="Y193" i="14"/>
  <c r="X193" i="14"/>
  <c r="W193" i="14"/>
  <c r="V193" i="14"/>
  <c r="U193" i="14"/>
  <c r="T193" i="14"/>
  <c r="S193" i="14"/>
  <c r="AA192" i="14"/>
  <c r="Z192" i="14"/>
  <c r="Y192" i="14"/>
  <c r="X192" i="14"/>
  <c r="W192" i="14"/>
  <c r="V192" i="14"/>
  <c r="U192" i="14"/>
  <c r="T192" i="14"/>
  <c r="S192" i="14"/>
  <c r="AA191" i="14"/>
  <c r="Z191" i="14"/>
  <c r="Y191" i="14"/>
  <c r="X191" i="14"/>
  <c r="W191" i="14"/>
  <c r="V191" i="14"/>
  <c r="U191" i="14"/>
  <c r="T191" i="14"/>
  <c r="S191" i="14"/>
  <c r="AA190" i="14"/>
  <c r="Z190" i="14"/>
  <c r="Y190" i="14"/>
  <c r="X190" i="14"/>
  <c r="W190" i="14"/>
  <c r="V190" i="14"/>
  <c r="U190" i="14"/>
  <c r="T190" i="14"/>
  <c r="S190" i="14"/>
  <c r="AA189" i="14"/>
  <c r="Z189" i="14"/>
  <c r="Y189" i="14"/>
  <c r="X189" i="14"/>
  <c r="W189" i="14"/>
  <c r="V189" i="14"/>
  <c r="U189" i="14"/>
  <c r="T189" i="14"/>
  <c r="S189" i="14"/>
  <c r="AA188" i="14"/>
  <c r="Z188" i="14"/>
  <c r="Y188" i="14"/>
  <c r="X188" i="14"/>
  <c r="W188" i="14"/>
  <c r="V188" i="14"/>
  <c r="U188" i="14"/>
  <c r="T188" i="14"/>
  <c r="S188" i="14"/>
  <c r="AA187" i="14"/>
  <c r="Z187" i="14"/>
  <c r="Y187" i="14"/>
  <c r="X187" i="14"/>
  <c r="W187" i="14"/>
  <c r="V187" i="14"/>
  <c r="U187" i="14"/>
  <c r="T187" i="14"/>
  <c r="S187" i="14"/>
  <c r="AA186" i="14"/>
  <c r="Z186" i="14"/>
  <c r="Y186" i="14"/>
  <c r="X186" i="14"/>
  <c r="W186" i="14"/>
  <c r="V186" i="14"/>
  <c r="U186" i="14"/>
  <c r="T186" i="14"/>
  <c r="S186" i="14"/>
  <c r="AA185" i="14"/>
  <c r="Z185" i="14"/>
  <c r="Y185" i="14"/>
  <c r="X185" i="14"/>
  <c r="W185" i="14"/>
  <c r="V185" i="14"/>
  <c r="U185" i="14"/>
  <c r="T185" i="14"/>
  <c r="S185" i="14"/>
  <c r="AA184" i="14"/>
  <c r="Z184" i="14"/>
  <c r="Y184" i="14"/>
  <c r="X184" i="14"/>
  <c r="W184" i="14"/>
  <c r="V184" i="14"/>
  <c r="U184" i="14"/>
  <c r="T184" i="14"/>
  <c r="S184" i="14"/>
  <c r="AA183" i="14"/>
  <c r="Z183" i="14"/>
  <c r="Y183" i="14"/>
  <c r="X183" i="14"/>
  <c r="W183" i="14"/>
  <c r="V183" i="14"/>
  <c r="U183" i="14"/>
  <c r="T183" i="14"/>
  <c r="S183" i="14"/>
  <c r="AA182" i="14"/>
  <c r="Z182" i="14"/>
  <c r="Y182" i="14"/>
  <c r="X182" i="14"/>
  <c r="W182" i="14"/>
  <c r="V182" i="14"/>
  <c r="U182" i="14"/>
  <c r="T182" i="14"/>
  <c r="S182" i="14"/>
  <c r="AA181" i="14"/>
  <c r="Z181" i="14"/>
  <c r="Y181" i="14"/>
  <c r="X181" i="14"/>
  <c r="W181" i="14"/>
  <c r="V181" i="14"/>
  <c r="U181" i="14"/>
  <c r="T181" i="14"/>
  <c r="S181" i="14"/>
  <c r="AA180" i="14"/>
  <c r="Z180" i="14"/>
  <c r="Y180" i="14"/>
  <c r="X180" i="14"/>
  <c r="W180" i="14"/>
  <c r="V180" i="14"/>
  <c r="U180" i="14"/>
  <c r="T180" i="14"/>
  <c r="S180" i="14"/>
  <c r="AA179" i="14"/>
  <c r="Z179" i="14"/>
  <c r="Y179" i="14"/>
  <c r="X179" i="14"/>
  <c r="W179" i="14"/>
  <c r="V179" i="14"/>
  <c r="U179" i="14"/>
  <c r="T179" i="14"/>
  <c r="S179" i="14"/>
  <c r="AA178" i="14"/>
  <c r="Z178" i="14"/>
  <c r="Y178" i="14"/>
  <c r="X178" i="14"/>
  <c r="W178" i="14"/>
  <c r="V178" i="14"/>
  <c r="U178" i="14"/>
  <c r="T178" i="14"/>
  <c r="S178" i="14"/>
  <c r="AA177" i="14"/>
  <c r="Z177" i="14"/>
  <c r="Y177" i="14"/>
  <c r="X177" i="14"/>
  <c r="W177" i="14"/>
  <c r="V177" i="14"/>
  <c r="U177" i="14"/>
  <c r="T177" i="14"/>
  <c r="S177" i="14"/>
  <c r="AA176" i="14"/>
  <c r="Z176" i="14"/>
  <c r="Y176" i="14"/>
  <c r="X176" i="14"/>
  <c r="W176" i="14"/>
  <c r="V176" i="14"/>
  <c r="U176" i="14"/>
  <c r="T176" i="14"/>
  <c r="S176" i="14"/>
  <c r="AA175" i="14"/>
  <c r="Z175" i="14"/>
  <c r="Y175" i="14"/>
  <c r="X175" i="14"/>
  <c r="W175" i="14"/>
  <c r="V175" i="14"/>
  <c r="U175" i="14"/>
  <c r="T175" i="14"/>
  <c r="S175" i="14"/>
  <c r="AA174" i="14"/>
  <c r="Z174" i="14"/>
  <c r="Y174" i="14"/>
  <c r="X174" i="14"/>
  <c r="W174" i="14"/>
  <c r="V174" i="14"/>
  <c r="U174" i="14"/>
  <c r="T174" i="14"/>
  <c r="S174" i="14"/>
  <c r="AA173" i="14"/>
  <c r="Z173" i="14"/>
  <c r="Y173" i="14"/>
  <c r="X173" i="14"/>
  <c r="W173" i="14"/>
  <c r="V173" i="14"/>
  <c r="U173" i="14"/>
  <c r="T173" i="14"/>
  <c r="S173" i="14"/>
  <c r="AA172" i="14"/>
  <c r="Z172" i="14"/>
  <c r="Y172" i="14"/>
  <c r="X172" i="14"/>
  <c r="W172" i="14"/>
  <c r="V172" i="14"/>
  <c r="U172" i="14"/>
  <c r="T172" i="14"/>
  <c r="S172" i="14"/>
  <c r="AA171" i="14"/>
  <c r="Z171" i="14"/>
  <c r="Y171" i="14"/>
  <c r="X171" i="14"/>
  <c r="W171" i="14"/>
  <c r="V171" i="14"/>
  <c r="U171" i="14"/>
  <c r="T171" i="14"/>
  <c r="S171" i="14"/>
  <c r="AA170" i="14"/>
  <c r="Z170" i="14"/>
  <c r="Y170" i="14"/>
  <c r="X170" i="14"/>
  <c r="W170" i="14"/>
  <c r="V170" i="14"/>
  <c r="U170" i="14"/>
  <c r="T170" i="14"/>
  <c r="S170" i="14"/>
  <c r="AA169" i="14"/>
  <c r="Z169" i="14"/>
  <c r="Y169" i="14"/>
  <c r="X169" i="14"/>
  <c r="W169" i="14"/>
  <c r="V169" i="14"/>
  <c r="U169" i="14"/>
  <c r="T169" i="14"/>
  <c r="S169" i="14"/>
  <c r="AA168" i="14"/>
  <c r="Z168" i="14"/>
  <c r="Y168" i="14"/>
  <c r="X168" i="14"/>
  <c r="W168" i="14"/>
  <c r="V168" i="14"/>
  <c r="U168" i="14"/>
  <c r="T168" i="14"/>
  <c r="S168" i="14"/>
  <c r="AA167" i="14"/>
  <c r="Z167" i="14"/>
  <c r="Y167" i="14"/>
  <c r="X167" i="14"/>
  <c r="W167" i="14"/>
  <c r="V167" i="14"/>
  <c r="U167" i="14"/>
  <c r="T167" i="14"/>
  <c r="S167" i="14"/>
  <c r="AA166" i="14"/>
  <c r="Z166" i="14"/>
  <c r="Y166" i="14"/>
  <c r="X166" i="14"/>
  <c r="W166" i="14"/>
  <c r="V166" i="14"/>
  <c r="U166" i="14"/>
  <c r="T166" i="14"/>
  <c r="S166" i="14"/>
  <c r="AA165" i="14"/>
  <c r="Z165" i="14"/>
  <c r="Y165" i="14"/>
  <c r="X165" i="14"/>
  <c r="W165" i="14"/>
  <c r="V165" i="14"/>
  <c r="U165" i="14"/>
  <c r="T165" i="14"/>
  <c r="S165" i="14"/>
  <c r="AA164" i="14"/>
  <c r="Z164" i="14"/>
  <c r="Y164" i="14"/>
  <c r="X164" i="14"/>
  <c r="W164" i="14"/>
  <c r="V164" i="14"/>
  <c r="U164" i="14"/>
  <c r="T164" i="14"/>
  <c r="S164" i="14"/>
  <c r="AA163" i="14"/>
  <c r="Z163" i="14"/>
  <c r="Y163" i="14"/>
  <c r="X163" i="14"/>
  <c r="W163" i="14"/>
  <c r="V163" i="14"/>
  <c r="U163" i="14"/>
  <c r="T163" i="14"/>
  <c r="S163" i="14"/>
  <c r="AA162" i="14"/>
  <c r="Z162" i="14"/>
  <c r="Y162" i="14"/>
  <c r="X162" i="14"/>
  <c r="W162" i="14"/>
  <c r="V162" i="14"/>
  <c r="U162" i="14"/>
  <c r="T162" i="14"/>
  <c r="S162" i="14"/>
  <c r="AA161" i="14"/>
  <c r="Z161" i="14"/>
  <c r="Y161" i="14"/>
  <c r="X161" i="14"/>
  <c r="W161" i="14"/>
  <c r="V161" i="14"/>
  <c r="U161" i="14"/>
  <c r="T161" i="14"/>
  <c r="S161" i="14"/>
  <c r="AA160" i="14"/>
  <c r="Z160" i="14"/>
  <c r="Y160" i="14"/>
  <c r="X160" i="14"/>
  <c r="W160" i="14"/>
  <c r="V160" i="14"/>
  <c r="U160" i="14"/>
  <c r="T160" i="14"/>
  <c r="S160" i="14"/>
  <c r="AA159" i="14"/>
  <c r="Z159" i="14"/>
  <c r="Y159" i="14"/>
  <c r="X159" i="14"/>
  <c r="W159" i="14"/>
  <c r="V159" i="14"/>
  <c r="U159" i="14"/>
  <c r="T159" i="14"/>
  <c r="S159" i="14"/>
  <c r="AA158" i="14"/>
  <c r="Z158" i="14"/>
  <c r="Y158" i="14"/>
  <c r="X158" i="14"/>
  <c r="W158" i="14"/>
  <c r="V158" i="14"/>
  <c r="U158" i="14"/>
  <c r="T158" i="14"/>
  <c r="S158" i="14"/>
  <c r="AA157" i="14"/>
  <c r="Z157" i="14"/>
  <c r="Y157" i="14"/>
  <c r="X157" i="14"/>
  <c r="W157" i="14"/>
  <c r="V157" i="14"/>
  <c r="U157" i="14"/>
  <c r="T157" i="14"/>
  <c r="S157" i="14"/>
  <c r="AA156" i="14"/>
  <c r="Z156" i="14"/>
  <c r="Y156" i="14"/>
  <c r="X156" i="14"/>
  <c r="W156" i="14"/>
  <c r="V156" i="14"/>
  <c r="U156" i="14"/>
  <c r="T156" i="14"/>
  <c r="S156" i="14"/>
  <c r="AA155" i="14"/>
  <c r="Z155" i="14"/>
  <c r="Y155" i="14"/>
  <c r="X155" i="14"/>
  <c r="W155" i="14"/>
  <c r="V155" i="14"/>
  <c r="U155" i="14"/>
  <c r="T155" i="14"/>
  <c r="S155" i="14"/>
  <c r="AA154" i="14"/>
  <c r="Z154" i="14"/>
  <c r="Y154" i="14"/>
  <c r="X154" i="14"/>
  <c r="W154" i="14"/>
  <c r="V154" i="14"/>
  <c r="U154" i="14"/>
  <c r="T154" i="14"/>
  <c r="S154" i="14"/>
  <c r="AA153" i="14"/>
  <c r="Z153" i="14"/>
  <c r="Y153" i="14"/>
  <c r="X153" i="14"/>
  <c r="W153" i="14"/>
  <c r="V153" i="14"/>
  <c r="U153" i="14"/>
  <c r="T153" i="14"/>
  <c r="S153" i="14"/>
  <c r="AA152" i="14"/>
  <c r="Z152" i="14"/>
  <c r="Y152" i="14"/>
  <c r="X152" i="14"/>
  <c r="W152" i="14"/>
  <c r="V152" i="14"/>
  <c r="U152" i="14"/>
  <c r="T152" i="14"/>
  <c r="S152" i="14"/>
  <c r="AA151" i="14"/>
  <c r="Z151" i="14"/>
  <c r="Y151" i="14"/>
  <c r="X151" i="14"/>
  <c r="W151" i="14"/>
  <c r="V151" i="14"/>
  <c r="U151" i="14"/>
  <c r="T151" i="14"/>
  <c r="S151" i="14"/>
  <c r="AA150" i="14"/>
  <c r="Z150" i="14"/>
  <c r="Y150" i="14"/>
  <c r="X150" i="14"/>
  <c r="W150" i="14"/>
  <c r="V150" i="14"/>
  <c r="U150" i="14"/>
  <c r="T150" i="14"/>
  <c r="S150" i="14"/>
  <c r="AA149" i="14"/>
  <c r="Z149" i="14"/>
  <c r="Y149" i="14"/>
  <c r="X149" i="14"/>
  <c r="W149" i="14"/>
  <c r="V149" i="14"/>
  <c r="U149" i="14"/>
  <c r="T149" i="14"/>
  <c r="S149" i="14"/>
  <c r="AA148" i="14"/>
  <c r="Z148" i="14"/>
  <c r="Y148" i="14"/>
  <c r="X148" i="14"/>
  <c r="W148" i="14"/>
  <c r="V148" i="14"/>
  <c r="U148" i="14"/>
  <c r="T148" i="14"/>
  <c r="S148" i="14"/>
  <c r="AA147" i="14"/>
  <c r="Z147" i="14"/>
  <c r="Y147" i="14"/>
  <c r="X147" i="14"/>
  <c r="W147" i="14"/>
  <c r="V147" i="14"/>
  <c r="U147" i="14"/>
  <c r="T147" i="14"/>
  <c r="S147" i="14"/>
  <c r="AA146" i="14"/>
  <c r="Z146" i="14"/>
  <c r="Y146" i="14"/>
  <c r="X146" i="14"/>
  <c r="W146" i="14"/>
  <c r="V146" i="14"/>
  <c r="U146" i="14"/>
  <c r="T146" i="14"/>
  <c r="S146" i="14"/>
  <c r="AA145" i="14"/>
  <c r="Z145" i="14"/>
  <c r="Y145" i="14"/>
  <c r="X145" i="14"/>
  <c r="W145" i="14"/>
  <c r="V145" i="14"/>
  <c r="U145" i="14"/>
  <c r="T145" i="14"/>
  <c r="S145" i="14"/>
  <c r="AA144" i="14"/>
  <c r="Z144" i="14"/>
  <c r="Y144" i="14"/>
  <c r="X144" i="14"/>
  <c r="W144" i="14"/>
  <c r="V144" i="14"/>
  <c r="U144" i="14"/>
  <c r="T144" i="14"/>
  <c r="S144" i="14"/>
  <c r="AA143" i="14"/>
  <c r="Z143" i="14"/>
  <c r="Y143" i="14"/>
  <c r="X143" i="14"/>
  <c r="W143" i="14"/>
  <c r="V143" i="14"/>
  <c r="U143" i="14"/>
  <c r="T143" i="14"/>
  <c r="S143" i="14"/>
  <c r="AA142" i="14"/>
  <c r="Z142" i="14"/>
  <c r="Y142" i="14"/>
  <c r="X142" i="14"/>
  <c r="W142" i="14"/>
  <c r="V142" i="14"/>
  <c r="U142" i="14"/>
  <c r="T142" i="14"/>
  <c r="S142" i="14"/>
  <c r="AA141" i="14"/>
  <c r="Z141" i="14"/>
  <c r="Y141" i="14"/>
  <c r="X141" i="14"/>
  <c r="W141" i="14"/>
  <c r="V141" i="14"/>
  <c r="U141" i="14"/>
  <c r="T141" i="14"/>
  <c r="S141" i="14"/>
  <c r="AA140" i="14"/>
  <c r="Z140" i="14"/>
  <c r="Y140" i="14"/>
  <c r="X140" i="14"/>
  <c r="W140" i="14"/>
  <c r="V140" i="14"/>
  <c r="U140" i="14"/>
  <c r="T140" i="14"/>
  <c r="S140" i="14"/>
  <c r="AA139" i="14"/>
  <c r="Z139" i="14"/>
  <c r="Y139" i="14"/>
  <c r="X139" i="14"/>
  <c r="W139" i="14"/>
  <c r="V139" i="14"/>
  <c r="U139" i="14"/>
  <c r="T139" i="14"/>
  <c r="S139" i="14"/>
  <c r="AA138" i="14"/>
  <c r="Z138" i="14"/>
  <c r="Y138" i="14"/>
  <c r="X138" i="14"/>
  <c r="W138" i="14"/>
  <c r="V138" i="14"/>
  <c r="U138" i="14"/>
  <c r="T138" i="14"/>
  <c r="S138" i="14"/>
  <c r="AA137" i="14"/>
  <c r="Z137" i="14"/>
  <c r="Y137" i="14"/>
  <c r="X137" i="14"/>
  <c r="W137" i="14"/>
  <c r="V137" i="14"/>
  <c r="U137" i="14"/>
  <c r="T137" i="14"/>
  <c r="S137" i="14"/>
  <c r="AA136" i="14"/>
  <c r="Z136" i="14"/>
  <c r="Y136" i="14"/>
  <c r="X136" i="14"/>
  <c r="W136" i="14"/>
  <c r="V136" i="14"/>
  <c r="U136" i="14"/>
  <c r="T136" i="14"/>
  <c r="S136" i="14"/>
  <c r="AA135" i="14"/>
  <c r="Z135" i="14"/>
  <c r="Y135" i="14"/>
  <c r="X135" i="14"/>
  <c r="W135" i="14"/>
  <c r="V135" i="14"/>
  <c r="U135" i="14"/>
  <c r="T135" i="14"/>
  <c r="S135" i="14"/>
  <c r="AA134" i="14"/>
  <c r="Z134" i="14"/>
  <c r="Y134" i="14"/>
  <c r="X134" i="14"/>
  <c r="W134" i="14"/>
  <c r="V134" i="14"/>
  <c r="U134" i="14"/>
  <c r="T134" i="14"/>
  <c r="S134" i="14"/>
  <c r="AA133" i="14"/>
  <c r="Z133" i="14"/>
  <c r="Y133" i="14"/>
  <c r="X133" i="14"/>
  <c r="W133" i="14"/>
  <c r="V133" i="14"/>
  <c r="U133" i="14"/>
  <c r="T133" i="14"/>
  <c r="S133" i="14"/>
  <c r="AA132" i="14"/>
  <c r="Z132" i="14"/>
  <c r="Y132" i="14"/>
  <c r="X132" i="14"/>
  <c r="W132" i="14"/>
  <c r="V132" i="14"/>
  <c r="U132" i="14"/>
  <c r="T132" i="14"/>
  <c r="S132" i="14"/>
  <c r="AA131" i="14"/>
  <c r="Z131" i="14"/>
  <c r="Y131" i="14"/>
  <c r="X131" i="14"/>
  <c r="W131" i="14"/>
  <c r="V131" i="14"/>
  <c r="U131" i="14"/>
  <c r="T131" i="14"/>
  <c r="S131" i="14"/>
  <c r="AA130" i="14"/>
  <c r="Z130" i="14"/>
  <c r="Y130" i="14"/>
  <c r="X130" i="14"/>
  <c r="W130" i="14"/>
  <c r="V130" i="14"/>
  <c r="U130" i="14"/>
  <c r="T130" i="14"/>
  <c r="S130" i="14"/>
  <c r="AA129" i="14"/>
  <c r="Z129" i="14"/>
  <c r="Y129" i="14"/>
  <c r="X129" i="14"/>
  <c r="W129" i="14"/>
  <c r="V129" i="14"/>
  <c r="U129" i="14"/>
  <c r="T129" i="14"/>
  <c r="S129" i="14"/>
  <c r="AA128" i="14"/>
  <c r="Z128" i="14"/>
  <c r="Y128" i="14"/>
  <c r="X128" i="14"/>
  <c r="W128" i="14"/>
  <c r="V128" i="14"/>
  <c r="U128" i="14"/>
  <c r="T128" i="14"/>
  <c r="S128" i="14"/>
  <c r="AA127" i="14"/>
  <c r="Z127" i="14"/>
  <c r="Y127" i="14"/>
  <c r="X127" i="14"/>
  <c r="W127" i="14"/>
  <c r="V127" i="14"/>
  <c r="U127" i="14"/>
  <c r="T127" i="14"/>
  <c r="S127" i="14"/>
  <c r="AA126" i="14"/>
  <c r="Z126" i="14"/>
  <c r="Y126" i="14"/>
  <c r="X126" i="14"/>
  <c r="W126" i="14"/>
  <c r="V126" i="14"/>
  <c r="U126" i="14"/>
  <c r="T126" i="14"/>
  <c r="S126" i="14"/>
  <c r="AA125" i="14"/>
  <c r="Z125" i="14"/>
  <c r="Y125" i="14"/>
  <c r="X125" i="14"/>
  <c r="W125" i="14"/>
  <c r="V125" i="14"/>
  <c r="U125" i="14"/>
  <c r="T125" i="14"/>
  <c r="S125" i="14"/>
  <c r="AA124" i="14"/>
  <c r="Z124" i="14"/>
  <c r="Y124" i="14"/>
  <c r="X124" i="14"/>
  <c r="W124" i="14"/>
  <c r="V124" i="14"/>
  <c r="U124" i="14"/>
  <c r="T124" i="14"/>
  <c r="S124" i="14"/>
  <c r="AA123" i="14"/>
  <c r="Z123" i="14"/>
  <c r="Y123" i="14"/>
  <c r="X123" i="14"/>
  <c r="W123" i="14"/>
  <c r="V123" i="14"/>
  <c r="U123" i="14"/>
  <c r="T123" i="14"/>
  <c r="S123" i="14"/>
  <c r="AA122" i="14"/>
  <c r="Z122" i="14"/>
  <c r="Y122" i="14"/>
  <c r="X122" i="14"/>
  <c r="W122" i="14"/>
  <c r="V122" i="14"/>
  <c r="U122" i="14"/>
  <c r="T122" i="14"/>
  <c r="S122" i="14"/>
  <c r="AA121" i="14"/>
  <c r="Z121" i="14"/>
  <c r="Y121" i="14"/>
  <c r="X121" i="14"/>
  <c r="W121" i="14"/>
  <c r="V121" i="14"/>
  <c r="U121" i="14"/>
  <c r="T121" i="14"/>
  <c r="S121" i="14"/>
  <c r="AA120" i="14"/>
  <c r="Z120" i="14"/>
  <c r="Y120" i="14"/>
  <c r="X120" i="14"/>
  <c r="W120" i="14"/>
  <c r="V120" i="14"/>
  <c r="U120" i="14"/>
  <c r="T120" i="14"/>
  <c r="S120" i="14"/>
  <c r="AA119" i="14"/>
  <c r="Z119" i="14"/>
  <c r="Y119" i="14"/>
  <c r="X119" i="14"/>
  <c r="W119" i="14"/>
  <c r="V119" i="14"/>
  <c r="U119" i="14"/>
  <c r="T119" i="14"/>
  <c r="S119" i="14"/>
  <c r="AA118" i="14"/>
  <c r="Z118" i="14"/>
  <c r="Y118" i="14"/>
  <c r="X118" i="14"/>
  <c r="W118" i="14"/>
  <c r="V118" i="14"/>
  <c r="U118" i="14"/>
  <c r="T118" i="14"/>
  <c r="S118" i="14"/>
  <c r="AA117" i="14"/>
  <c r="Z117" i="14"/>
  <c r="Y117" i="14"/>
  <c r="X117" i="14"/>
  <c r="W117" i="14"/>
  <c r="V117" i="14"/>
  <c r="U117" i="14"/>
  <c r="T117" i="14"/>
  <c r="S117" i="14"/>
  <c r="AA116" i="14"/>
  <c r="Z116" i="14"/>
  <c r="Y116" i="14"/>
  <c r="X116" i="14"/>
  <c r="W116" i="14"/>
  <c r="V116" i="14"/>
  <c r="U116" i="14"/>
  <c r="T116" i="14"/>
  <c r="S116" i="14"/>
  <c r="AA115" i="14"/>
  <c r="Z115" i="14"/>
  <c r="Y115" i="14"/>
  <c r="X115" i="14"/>
  <c r="W115" i="14"/>
  <c r="V115" i="14"/>
  <c r="U115" i="14"/>
  <c r="T115" i="14"/>
  <c r="S115" i="14"/>
  <c r="AA114" i="14"/>
  <c r="Z114" i="14"/>
  <c r="Y114" i="14"/>
  <c r="X114" i="14"/>
  <c r="W114" i="14"/>
  <c r="V114" i="14"/>
  <c r="U114" i="14"/>
  <c r="T114" i="14"/>
  <c r="S114" i="14"/>
  <c r="AA113" i="14"/>
  <c r="Z113" i="14"/>
  <c r="Y113" i="14"/>
  <c r="X113" i="14"/>
  <c r="W113" i="14"/>
  <c r="V113" i="14"/>
  <c r="U113" i="14"/>
  <c r="T113" i="14"/>
  <c r="S113" i="14"/>
  <c r="AA112" i="14"/>
  <c r="Z112" i="14"/>
  <c r="Y112" i="14"/>
  <c r="X112" i="14"/>
  <c r="W112" i="14"/>
  <c r="V112" i="14"/>
  <c r="U112" i="14"/>
  <c r="T112" i="14"/>
  <c r="S112" i="14"/>
  <c r="AA111" i="14"/>
  <c r="Z111" i="14"/>
  <c r="Y111" i="14"/>
  <c r="X111" i="14"/>
  <c r="W111" i="14"/>
  <c r="V111" i="14"/>
  <c r="U111" i="14"/>
  <c r="T111" i="14"/>
  <c r="S111" i="14"/>
  <c r="AA110" i="14"/>
  <c r="Z110" i="14"/>
  <c r="Y110" i="14"/>
  <c r="X110" i="14"/>
  <c r="W110" i="14"/>
  <c r="V110" i="14"/>
  <c r="U110" i="14"/>
  <c r="T110" i="14"/>
  <c r="S110" i="14"/>
  <c r="AA109" i="14"/>
  <c r="Z109" i="14"/>
  <c r="Y109" i="14"/>
  <c r="X109" i="14"/>
  <c r="W109" i="14"/>
  <c r="V109" i="14"/>
  <c r="U109" i="14"/>
  <c r="T109" i="14"/>
  <c r="S109" i="14"/>
  <c r="AA108" i="14"/>
  <c r="Z108" i="14"/>
  <c r="Y108" i="14"/>
  <c r="X108" i="14"/>
  <c r="W108" i="14"/>
  <c r="V108" i="14"/>
  <c r="U108" i="14"/>
  <c r="T108" i="14"/>
  <c r="S108" i="14"/>
  <c r="AA107" i="14"/>
  <c r="Z107" i="14"/>
  <c r="Y107" i="14"/>
  <c r="X107" i="14"/>
  <c r="W107" i="14"/>
  <c r="V107" i="14"/>
  <c r="U107" i="14"/>
  <c r="T107" i="14"/>
  <c r="S107" i="14"/>
  <c r="AA106" i="14"/>
  <c r="Z106" i="14"/>
  <c r="Y106" i="14"/>
  <c r="X106" i="14"/>
  <c r="W106" i="14"/>
  <c r="V106" i="14"/>
  <c r="U106" i="14"/>
  <c r="T106" i="14"/>
  <c r="S106" i="14"/>
  <c r="AA105" i="14"/>
  <c r="Z105" i="14"/>
  <c r="Y105" i="14"/>
  <c r="X105" i="14"/>
  <c r="W105" i="14"/>
  <c r="V105" i="14"/>
  <c r="U105" i="14"/>
  <c r="T105" i="14"/>
  <c r="S105" i="14"/>
  <c r="AA104" i="14"/>
  <c r="Z104" i="14"/>
  <c r="Y104" i="14"/>
  <c r="X104" i="14"/>
  <c r="W104" i="14"/>
  <c r="V104" i="14"/>
  <c r="U104" i="14"/>
  <c r="T104" i="14"/>
  <c r="S104" i="14"/>
  <c r="AA103" i="14"/>
  <c r="Z103" i="14"/>
  <c r="Y103" i="14"/>
  <c r="X103" i="14"/>
  <c r="W103" i="14"/>
  <c r="V103" i="14"/>
  <c r="U103" i="14"/>
  <c r="T103" i="14"/>
  <c r="S103" i="14"/>
  <c r="AA102" i="14"/>
  <c r="Z102" i="14"/>
  <c r="Y102" i="14"/>
  <c r="X102" i="14"/>
  <c r="W102" i="14"/>
  <c r="V102" i="14"/>
  <c r="U102" i="14"/>
  <c r="T102" i="14"/>
  <c r="S102" i="14"/>
  <c r="AA101" i="14"/>
  <c r="Z101" i="14"/>
  <c r="Y101" i="14"/>
  <c r="X101" i="14"/>
  <c r="W101" i="14"/>
  <c r="V101" i="14"/>
  <c r="U101" i="14"/>
  <c r="T101" i="14"/>
  <c r="S101" i="14"/>
  <c r="AA100" i="14"/>
  <c r="Z100" i="14"/>
  <c r="Y100" i="14"/>
  <c r="X100" i="14"/>
  <c r="W100" i="14"/>
  <c r="V100" i="14"/>
  <c r="U100" i="14"/>
  <c r="T100" i="14"/>
  <c r="S100" i="14"/>
  <c r="AA99" i="14"/>
  <c r="Z99" i="14"/>
  <c r="Y99" i="14"/>
  <c r="X99" i="14"/>
  <c r="W99" i="14"/>
  <c r="V99" i="14"/>
  <c r="U99" i="14"/>
  <c r="T99" i="14"/>
  <c r="S99" i="14"/>
  <c r="AA98" i="14"/>
  <c r="Z98" i="14"/>
  <c r="Y98" i="14"/>
  <c r="X98" i="14"/>
  <c r="W98" i="14"/>
  <c r="V98" i="14"/>
  <c r="U98" i="14"/>
  <c r="T98" i="14"/>
  <c r="S98" i="14"/>
  <c r="AA97" i="14"/>
  <c r="Z97" i="14"/>
  <c r="Y97" i="14"/>
  <c r="X97" i="14"/>
  <c r="W97" i="14"/>
  <c r="V97" i="14"/>
  <c r="U97" i="14"/>
  <c r="T97" i="14"/>
  <c r="S97" i="14"/>
  <c r="AA96" i="14"/>
  <c r="Z96" i="14"/>
  <c r="Y96" i="14"/>
  <c r="X96" i="14"/>
  <c r="W96" i="14"/>
  <c r="V96" i="14"/>
  <c r="U96" i="14"/>
  <c r="T96" i="14"/>
  <c r="S96" i="14"/>
  <c r="AA95" i="14"/>
  <c r="Z95" i="14"/>
  <c r="Y95" i="14"/>
  <c r="X95" i="14"/>
  <c r="W95" i="14"/>
  <c r="V95" i="14"/>
  <c r="U95" i="14"/>
  <c r="T95" i="14"/>
  <c r="S95" i="14"/>
  <c r="AA94" i="14"/>
  <c r="Z94" i="14"/>
  <c r="Y94" i="14"/>
  <c r="X94" i="14"/>
  <c r="W94" i="14"/>
  <c r="V94" i="14"/>
  <c r="U94" i="14"/>
  <c r="T94" i="14"/>
  <c r="S94" i="14"/>
  <c r="AA93" i="14"/>
  <c r="Z93" i="14"/>
  <c r="Y93" i="14"/>
  <c r="X93" i="14"/>
  <c r="W93" i="14"/>
  <c r="V93" i="14"/>
  <c r="U93" i="14"/>
  <c r="T93" i="14"/>
  <c r="S93" i="14"/>
  <c r="AA92" i="14"/>
  <c r="Z92" i="14"/>
  <c r="Y92" i="14"/>
  <c r="X92" i="14"/>
  <c r="W92" i="14"/>
  <c r="V92" i="14"/>
  <c r="U92" i="14"/>
  <c r="T92" i="14"/>
  <c r="S92" i="14"/>
  <c r="AA91" i="14"/>
  <c r="Z91" i="14"/>
  <c r="Y91" i="14"/>
  <c r="X91" i="14"/>
  <c r="W91" i="14"/>
  <c r="V91" i="14"/>
  <c r="U91" i="14"/>
  <c r="T91" i="14"/>
  <c r="S91" i="14"/>
  <c r="AA90" i="14"/>
  <c r="Z90" i="14"/>
  <c r="Y90" i="14"/>
  <c r="X90" i="14"/>
  <c r="W90" i="14"/>
  <c r="V90" i="14"/>
  <c r="U90" i="14"/>
  <c r="T90" i="14"/>
  <c r="S90" i="14"/>
  <c r="AA89" i="14"/>
  <c r="Z89" i="14"/>
  <c r="Y89" i="14"/>
  <c r="X89" i="14"/>
  <c r="W89" i="14"/>
  <c r="V89" i="14"/>
  <c r="U89" i="14"/>
  <c r="T89" i="14"/>
  <c r="S89" i="14"/>
  <c r="AA88" i="14"/>
  <c r="Z88" i="14"/>
  <c r="Y88" i="14"/>
  <c r="X88" i="14"/>
  <c r="W88" i="14"/>
  <c r="V88" i="14"/>
  <c r="U88" i="14"/>
  <c r="T88" i="14"/>
  <c r="S88" i="14"/>
  <c r="AA87" i="14"/>
  <c r="Z87" i="14"/>
  <c r="Y87" i="14"/>
  <c r="X87" i="14"/>
  <c r="W87" i="14"/>
  <c r="V87" i="14"/>
  <c r="U87" i="14"/>
  <c r="T87" i="14"/>
  <c r="S87" i="14"/>
  <c r="AA86" i="14"/>
  <c r="Z86" i="14"/>
  <c r="Y86" i="14"/>
  <c r="X86" i="14"/>
  <c r="W86" i="14"/>
  <c r="V86" i="14"/>
  <c r="U86" i="14"/>
  <c r="T86" i="14"/>
  <c r="S86" i="14"/>
  <c r="AA85" i="14"/>
  <c r="Z85" i="14"/>
  <c r="Y85" i="14"/>
  <c r="X85" i="14"/>
  <c r="W85" i="14"/>
  <c r="V85" i="14"/>
  <c r="U85" i="14"/>
  <c r="T85" i="14"/>
  <c r="S85" i="14"/>
  <c r="AA84" i="14"/>
  <c r="Z84" i="14"/>
  <c r="Y84" i="14"/>
  <c r="X84" i="14"/>
  <c r="W84" i="14"/>
  <c r="V84" i="14"/>
  <c r="U84" i="14"/>
  <c r="T84" i="14"/>
  <c r="S84" i="14"/>
  <c r="AA83" i="14"/>
  <c r="Z83" i="14"/>
  <c r="Y83" i="14"/>
  <c r="X83" i="14"/>
  <c r="W83" i="14"/>
  <c r="V83" i="14"/>
  <c r="U83" i="14"/>
  <c r="T83" i="14"/>
  <c r="S83" i="14"/>
  <c r="AA82" i="14"/>
  <c r="Z82" i="14"/>
  <c r="Y82" i="14"/>
  <c r="X82" i="14"/>
  <c r="W82" i="14"/>
  <c r="V82" i="14"/>
  <c r="U82" i="14"/>
  <c r="T82" i="14"/>
  <c r="S82" i="14"/>
  <c r="AA81" i="14"/>
  <c r="Z81" i="14"/>
  <c r="Y81" i="14"/>
  <c r="X81" i="14"/>
  <c r="W81" i="14"/>
  <c r="V81" i="14"/>
  <c r="U81" i="14"/>
  <c r="T81" i="14"/>
  <c r="S81" i="14"/>
  <c r="AA80" i="14"/>
  <c r="Z80" i="14"/>
  <c r="Y80" i="14"/>
  <c r="X80" i="14"/>
  <c r="W80" i="14"/>
  <c r="V80" i="14"/>
  <c r="U80" i="14"/>
  <c r="T80" i="14"/>
  <c r="S80" i="14"/>
  <c r="AA79" i="14"/>
  <c r="Z79" i="14"/>
  <c r="Y79" i="14"/>
  <c r="X79" i="14"/>
  <c r="W79" i="14"/>
  <c r="V79" i="14"/>
  <c r="U79" i="14"/>
  <c r="T79" i="14"/>
  <c r="S79" i="14"/>
  <c r="AA78" i="14"/>
  <c r="Z78" i="14"/>
  <c r="Y78" i="14"/>
  <c r="X78" i="14"/>
  <c r="W78" i="14"/>
  <c r="V78" i="14"/>
  <c r="U78" i="14"/>
  <c r="T78" i="14"/>
  <c r="S78" i="14"/>
  <c r="AA77" i="14"/>
  <c r="Z77" i="14"/>
  <c r="Y77" i="14"/>
  <c r="X77" i="14"/>
  <c r="W77" i="14"/>
  <c r="V77" i="14"/>
  <c r="U77" i="14"/>
  <c r="T77" i="14"/>
  <c r="S77" i="14"/>
  <c r="AA76" i="14"/>
  <c r="Z76" i="14"/>
  <c r="Y76" i="14"/>
  <c r="X76" i="14"/>
  <c r="W76" i="14"/>
  <c r="V76" i="14"/>
  <c r="U76" i="14"/>
  <c r="T76" i="14"/>
  <c r="S76" i="14"/>
  <c r="AA75" i="14"/>
  <c r="Z75" i="14"/>
  <c r="Y75" i="14"/>
  <c r="X75" i="14"/>
  <c r="W75" i="14"/>
  <c r="V75" i="14"/>
  <c r="U75" i="14"/>
  <c r="T75" i="14"/>
  <c r="S75" i="14"/>
  <c r="AA74" i="14"/>
  <c r="Z74" i="14"/>
  <c r="Y74" i="14"/>
  <c r="X74" i="14"/>
  <c r="W74" i="14"/>
  <c r="V74" i="14"/>
  <c r="U74" i="14"/>
  <c r="T74" i="14"/>
  <c r="S74" i="14"/>
  <c r="AA73" i="14"/>
  <c r="Z73" i="14"/>
  <c r="Y73" i="14"/>
  <c r="X73" i="14"/>
  <c r="W73" i="14"/>
  <c r="V73" i="14"/>
  <c r="U73" i="14"/>
  <c r="T73" i="14"/>
  <c r="S73" i="14"/>
  <c r="AA72" i="14"/>
  <c r="Z72" i="14"/>
  <c r="Y72" i="14"/>
  <c r="X72" i="14"/>
  <c r="W72" i="14"/>
  <c r="V72" i="14"/>
  <c r="U72" i="14"/>
  <c r="T72" i="14"/>
  <c r="S72" i="14"/>
  <c r="AA71" i="14"/>
  <c r="Z71" i="14"/>
  <c r="Y71" i="14"/>
  <c r="X71" i="14"/>
  <c r="W71" i="14"/>
  <c r="V71" i="14"/>
  <c r="U71" i="14"/>
  <c r="T71" i="14"/>
  <c r="S71" i="14"/>
  <c r="AA70" i="14"/>
  <c r="Z70" i="14"/>
  <c r="Y70" i="14"/>
  <c r="X70" i="14"/>
  <c r="W70" i="14"/>
  <c r="V70" i="14"/>
  <c r="U70" i="14"/>
  <c r="T70" i="14"/>
  <c r="S70" i="14"/>
  <c r="AA69" i="14"/>
  <c r="Z69" i="14"/>
  <c r="Y69" i="14"/>
  <c r="X69" i="14"/>
  <c r="W69" i="14"/>
  <c r="V69" i="14"/>
  <c r="U69" i="14"/>
  <c r="T69" i="14"/>
  <c r="S69" i="14"/>
  <c r="AA68" i="14"/>
  <c r="Z68" i="14"/>
  <c r="Y68" i="14"/>
  <c r="X68" i="14"/>
  <c r="W68" i="14"/>
  <c r="V68" i="14"/>
  <c r="U68" i="14"/>
  <c r="T68" i="14"/>
  <c r="S68" i="14"/>
  <c r="AA67" i="14"/>
  <c r="Z67" i="14"/>
  <c r="Y67" i="14"/>
  <c r="X67" i="14"/>
  <c r="W67" i="14"/>
  <c r="V67" i="14"/>
  <c r="U67" i="14"/>
  <c r="T67" i="14"/>
  <c r="S67" i="14"/>
  <c r="AA66" i="14"/>
  <c r="Z66" i="14"/>
  <c r="Y66" i="14"/>
  <c r="X66" i="14"/>
  <c r="W66" i="14"/>
  <c r="V66" i="14"/>
  <c r="U66" i="14"/>
  <c r="T66" i="14"/>
  <c r="S66" i="14"/>
  <c r="AA65" i="14"/>
  <c r="Z65" i="14"/>
  <c r="Y65" i="14"/>
  <c r="X65" i="14"/>
  <c r="W65" i="14"/>
  <c r="V65" i="14"/>
  <c r="U65" i="14"/>
  <c r="T65" i="14"/>
  <c r="S65" i="14"/>
  <c r="AA64" i="14"/>
  <c r="Z64" i="14"/>
  <c r="Y64" i="14"/>
  <c r="X64" i="14"/>
  <c r="W64" i="14"/>
  <c r="V64" i="14"/>
  <c r="U64" i="14"/>
  <c r="T64" i="14"/>
  <c r="S64" i="14"/>
  <c r="AA63" i="14"/>
  <c r="Z63" i="14"/>
  <c r="Y63" i="14"/>
  <c r="X63" i="14"/>
  <c r="W63" i="14"/>
  <c r="V63" i="14"/>
  <c r="U63" i="14"/>
  <c r="T63" i="14"/>
  <c r="S63" i="14"/>
  <c r="AA62" i="14"/>
  <c r="Z62" i="14"/>
  <c r="Y62" i="14"/>
  <c r="X62" i="14"/>
  <c r="W62" i="14"/>
  <c r="V62" i="14"/>
  <c r="U62" i="14"/>
  <c r="T62" i="14"/>
  <c r="S62" i="14"/>
  <c r="AA61" i="14"/>
  <c r="Z61" i="14"/>
  <c r="Y61" i="14"/>
  <c r="X61" i="14"/>
  <c r="W61" i="14"/>
  <c r="V61" i="14"/>
  <c r="U61" i="14"/>
  <c r="T61" i="14"/>
  <c r="S61" i="14"/>
  <c r="AA60" i="14"/>
  <c r="Z60" i="14"/>
  <c r="Y60" i="14"/>
  <c r="X60" i="14"/>
  <c r="W60" i="14"/>
  <c r="V60" i="14"/>
  <c r="U60" i="14"/>
  <c r="T60" i="14"/>
  <c r="S60" i="14"/>
  <c r="AA59" i="14"/>
  <c r="Z59" i="14"/>
  <c r="Y59" i="14"/>
  <c r="X59" i="14"/>
  <c r="W59" i="14"/>
  <c r="V59" i="14"/>
  <c r="U59" i="14"/>
  <c r="T59" i="14"/>
  <c r="S59" i="14"/>
  <c r="AA58" i="14"/>
  <c r="Z58" i="14"/>
  <c r="Y58" i="14"/>
  <c r="X58" i="14"/>
  <c r="W58" i="14"/>
  <c r="V58" i="14"/>
  <c r="U58" i="14"/>
  <c r="T58" i="14"/>
  <c r="S58" i="14"/>
  <c r="AA57" i="14"/>
  <c r="Z57" i="14"/>
  <c r="Y57" i="14"/>
  <c r="X57" i="14"/>
  <c r="W57" i="14"/>
  <c r="V57" i="14"/>
  <c r="U57" i="14"/>
  <c r="T57" i="14"/>
  <c r="S57" i="14"/>
  <c r="AA56" i="14"/>
  <c r="Z56" i="14"/>
  <c r="Y56" i="14"/>
  <c r="X56" i="14"/>
  <c r="W56" i="14"/>
  <c r="V56" i="14"/>
  <c r="U56" i="14"/>
  <c r="T56" i="14"/>
  <c r="S56" i="14"/>
  <c r="AA55" i="14"/>
  <c r="Z55" i="14"/>
  <c r="Y55" i="14"/>
  <c r="X55" i="14"/>
  <c r="W55" i="14"/>
  <c r="V55" i="14"/>
  <c r="U55" i="14"/>
  <c r="T55" i="14"/>
  <c r="S55" i="14"/>
  <c r="AA54" i="14"/>
  <c r="Z54" i="14"/>
  <c r="Y54" i="14"/>
  <c r="X54" i="14"/>
  <c r="W54" i="14"/>
  <c r="V54" i="14"/>
  <c r="U54" i="14"/>
  <c r="T54" i="14"/>
  <c r="S54" i="14"/>
  <c r="AA53" i="14"/>
  <c r="Z53" i="14"/>
  <c r="Y53" i="14"/>
  <c r="X53" i="14"/>
  <c r="W53" i="14"/>
  <c r="V53" i="14"/>
  <c r="U53" i="14"/>
  <c r="T53" i="14"/>
  <c r="S53" i="14"/>
  <c r="AA52" i="14"/>
  <c r="Z52" i="14"/>
  <c r="Y52" i="14"/>
  <c r="X52" i="14"/>
  <c r="W52" i="14"/>
  <c r="V52" i="14"/>
  <c r="U52" i="14"/>
  <c r="T52" i="14"/>
  <c r="S52" i="14"/>
  <c r="AA51" i="14"/>
  <c r="Z51" i="14"/>
  <c r="Y51" i="14"/>
  <c r="X51" i="14"/>
  <c r="W51" i="14"/>
  <c r="V51" i="14"/>
  <c r="U51" i="14"/>
  <c r="T51" i="14"/>
  <c r="S51" i="14"/>
  <c r="AA50" i="14"/>
  <c r="Z50" i="14"/>
  <c r="Y50" i="14"/>
  <c r="X50" i="14"/>
  <c r="W50" i="14"/>
  <c r="V50" i="14"/>
  <c r="U50" i="14"/>
  <c r="T50" i="14"/>
  <c r="S50" i="14"/>
  <c r="AA49" i="14"/>
  <c r="Z49" i="14"/>
  <c r="Y49" i="14"/>
  <c r="X49" i="14"/>
  <c r="W49" i="14"/>
  <c r="V49" i="14"/>
  <c r="U49" i="14"/>
  <c r="T49" i="14"/>
  <c r="S49" i="14"/>
  <c r="AA48" i="14"/>
  <c r="Z48" i="14"/>
  <c r="Y48" i="14"/>
  <c r="X48" i="14"/>
  <c r="W48" i="14"/>
  <c r="V48" i="14"/>
  <c r="U48" i="14"/>
  <c r="T48" i="14"/>
  <c r="S48" i="14"/>
  <c r="AA47" i="14"/>
  <c r="Z47" i="14"/>
  <c r="Y47" i="14"/>
  <c r="X47" i="14"/>
  <c r="W47" i="14"/>
  <c r="V47" i="14"/>
  <c r="U47" i="14"/>
  <c r="T47" i="14"/>
  <c r="S47" i="14"/>
  <c r="AA46" i="14"/>
  <c r="Z46" i="14"/>
  <c r="Y46" i="14"/>
  <c r="X46" i="14"/>
  <c r="W46" i="14"/>
  <c r="V46" i="14"/>
  <c r="U46" i="14"/>
  <c r="T46" i="14"/>
  <c r="S46" i="14"/>
  <c r="AA45" i="14"/>
  <c r="Z45" i="14"/>
  <c r="Y45" i="14"/>
  <c r="X45" i="14"/>
  <c r="W45" i="14"/>
  <c r="V45" i="14"/>
  <c r="U45" i="14"/>
  <c r="T45" i="14"/>
  <c r="S45" i="14"/>
  <c r="AA44" i="14"/>
  <c r="Z44" i="14"/>
  <c r="Y44" i="14"/>
  <c r="X44" i="14"/>
  <c r="W44" i="14"/>
  <c r="V44" i="14"/>
  <c r="U44" i="14"/>
  <c r="T44" i="14"/>
  <c r="S44" i="14"/>
  <c r="AA43" i="14"/>
  <c r="Z43" i="14"/>
  <c r="Y43" i="14"/>
  <c r="X43" i="14"/>
  <c r="W43" i="14"/>
  <c r="V43" i="14"/>
  <c r="U43" i="14"/>
  <c r="T43" i="14"/>
  <c r="S43" i="14"/>
  <c r="AA42" i="14"/>
  <c r="Z42" i="14"/>
  <c r="Y42" i="14"/>
  <c r="X42" i="14"/>
  <c r="W42" i="14"/>
  <c r="V42" i="14"/>
  <c r="U42" i="14"/>
  <c r="T42" i="14"/>
  <c r="S42" i="14"/>
  <c r="AA41" i="14"/>
  <c r="Z41" i="14"/>
  <c r="Y41" i="14"/>
  <c r="X41" i="14"/>
  <c r="W41" i="14"/>
  <c r="V41" i="14"/>
  <c r="U41" i="14"/>
  <c r="T41" i="14"/>
  <c r="S41" i="14"/>
  <c r="AA40" i="14"/>
  <c r="Z40" i="14"/>
  <c r="Y40" i="14"/>
  <c r="X40" i="14"/>
  <c r="W40" i="14"/>
  <c r="V40" i="14"/>
  <c r="U40" i="14"/>
  <c r="T40" i="14"/>
  <c r="S40" i="14"/>
  <c r="AA39" i="14"/>
  <c r="Z39" i="14"/>
  <c r="Y39" i="14"/>
  <c r="X39" i="14"/>
  <c r="W39" i="14"/>
  <c r="V39" i="14"/>
  <c r="U39" i="14"/>
  <c r="T39" i="14"/>
  <c r="S39" i="14"/>
  <c r="AA38" i="14"/>
  <c r="Z38" i="14"/>
  <c r="Y38" i="14"/>
  <c r="X38" i="14"/>
  <c r="W38" i="14"/>
  <c r="V38" i="14"/>
  <c r="U38" i="14"/>
  <c r="T38" i="14"/>
  <c r="S38" i="14"/>
  <c r="AA37" i="14"/>
  <c r="Z37" i="14"/>
  <c r="Y37" i="14"/>
  <c r="X37" i="14"/>
  <c r="W37" i="14"/>
  <c r="V37" i="14"/>
  <c r="U37" i="14"/>
  <c r="T37" i="14"/>
  <c r="S37" i="14"/>
  <c r="AA36" i="14"/>
  <c r="Z36" i="14"/>
  <c r="Y36" i="14"/>
  <c r="X36" i="14"/>
  <c r="W36" i="14"/>
  <c r="V36" i="14"/>
  <c r="U36" i="14"/>
  <c r="T36" i="14"/>
  <c r="S36" i="14"/>
  <c r="AA35" i="14"/>
  <c r="Z35" i="14"/>
  <c r="Y35" i="14"/>
  <c r="X35" i="14"/>
  <c r="W35" i="14"/>
  <c r="V35" i="14"/>
  <c r="U35" i="14"/>
  <c r="T35" i="14"/>
  <c r="S35" i="14"/>
  <c r="AA34" i="14"/>
  <c r="Z34" i="14"/>
  <c r="Y34" i="14"/>
  <c r="X34" i="14"/>
  <c r="W34" i="14"/>
  <c r="V34" i="14"/>
  <c r="U34" i="14"/>
  <c r="T34" i="14"/>
  <c r="S34" i="14"/>
  <c r="AA33" i="14"/>
  <c r="Z33" i="14"/>
  <c r="Y33" i="14"/>
  <c r="X33" i="14"/>
  <c r="W33" i="14"/>
  <c r="V33" i="14"/>
  <c r="U33" i="14"/>
  <c r="T33" i="14"/>
  <c r="S33" i="14"/>
  <c r="AA32" i="14"/>
  <c r="Z32" i="14"/>
  <c r="Y32" i="14"/>
  <c r="X32" i="14"/>
  <c r="W32" i="14"/>
  <c r="V32" i="14"/>
  <c r="U32" i="14"/>
  <c r="T32" i="14"/>
  <c r="S32" i="14"/>
  <c r="AA31" i="14"/>
  <c r="Z31" i="14"/>
  <c r="Y31" i="14"/>
  <c r="X31" i="14"/>
  <c r="W31" i="14"/>
  <c r="V31" i="14"/>
  <c r="U31" i="14"/>
  <c r="T31" i="14"/>
  <c r="S31" i="14"/>
  <c r="AA30" i="14"/>
  <c r="Z30" i="14"/>
  <c r="Y30" i="14"/>
  <c r="X30" i="14"/>
  <c r="W30" i="14"/>
  <c r="V30" i="14"/>
  <c r="U30" i="14"/>
  <c r="T30" i="14"/>
  <c r="S30" i="14"/>
  <c r="AA29" i="14"/>
  <c r="Z29" i="14"/>
  <c r="Y29" i="14"/>
  <c r="X29" i="14"/>
  <c r="W29" i="14"/>
  <c r="V29" i="14"/>
  <c r="U29" i="14"/>
  <c r="T29" i="14"/>
  <c r="S29" i="14"/>
  <c r="AA28" i="14"/>
  <c r="Z28" i="14"/>
  <c r="Y28" i="14"/>
  <c r="X28" i="14"/>
  <c r="W28" i="14"/>
  <c r="V28" i="14"/>
  <c r="U28" i="14"/>
  <c r="T28" i="14"/>
  <c r="S28" i="14"/>
  <c r="AA27" i="14"/>
  <c r="Z27" i="14"/>
  <c r="Y27" i="14"/>
  <c r="X27" i="14"/>
  <c r="W27" i="14"/>
  <c r="V27" i="14"/>
  <c r="U27" i="14"/>
  <c r="T27" i="14"/>
  <c r="S27" i="14"/>
  <c r="AA26" i="14"/>
  <c r="Z26" i="14"/>
  <c r="Y26" i="14"/>
  <c r="X26" i="14"/>
  <c r="W26" i="14"/>
  <c r="V26" i="14"/>
  <c r="U26" i="14"/>
  <c r="T26" i="14"/>
  <c r="S26" i="14"/>
  <c r="AA25" i="14"/>
  <c r="Z25" i="14"/>
  <c r="Y25" i="14"/>
  <c r="X25" i="14"/>
  <c r="W25" i="14"/>
  <c r="V25" i="14"/>
  <c r="U25" i="14"/>
  <c r="T25" i="14"/>
  <c r="S25" i="14"/>
  <c r="AA24" i="14"/>
  <c r="Z24" i="14"/>
  <c r="Y24" i="14"/>
  <c r="X24" i="14"/>
  <c r="W24" i="14"/>
  <c r="V24" i="14"/>
  <c r="U24" i="14"/>
  <c r="T24" i="14"/>
  <c r="S24" i="14"/>
  <c r="AA23" i="14"/>
  <c r="Z23" i="14"/>
  <c r="Y23" i="14"/>
  <c r="X23" i="14"/>
  <c r="W23" i="14"/>
  <c r="V23" i="14"/>
  <c r="U23" i="14"/>
  <c r="T23" i="14"/>
  <c r="S23" i="14"/>
  <c r="AA22" i="14"/>
  <c r="Z22" i="14"/>
  <c r="Y22" i="14"/>
  <c r="X22" i="14"/>
  <c r="W22" i="14"/>
  <c r="V22" i="14"/>
  <c r="U22" i="14"/>
  <c r="T22" i="14"/>
  <c r="S22" i="14"/>
  <c r="AA21" i="14"/>
  <c r="Z21" i="14"/>
  <c r="Y21" i="14"/>
  <c r="X21" i="14"/>
  <c r="W21" i="14"/>
  <c r="V21" i="14"/>
  <c r="U21" i="14"/>
  <c r="T21" i="14"/>
  <c r="S21" i="14"/>
  <c r="AA20" i="14"/>
  <c r="Z20" i="14"/>
  <c r="Y20" i="14"/>
  <c r="X20" i="14"/>
  <c r="W20" i="14"/>
  <c r="V20" i="14"/>
  <c r="U20" i="14"/>
  <c r="T20" i="14"/>
  <c r="S20" i="14"/>
  <c r="AA19" i="14"/>
  <c r="Z19" i="14"/>
  <c r="Y19" i="14"/>
  <c r="X19" i="14"/>
  <c r="W19" i="14"/>
  <c r="V19" i="14"/>
  <c r="U19" i="14"/>
  <c r="T19" i="14"/>
  <c r="S19" i="14"/>
  <c r="AA18" i="14"/>
  <c r="Z18" i="14"/>
  <c r="Y18" i="14"/>
  <c r="X18" i="14"/>
  <c r="W18" i="14"/>
  <c r="V18" i="14"/>
  <c r="U18" i="14"/>
  <c r="T18" i="14"/>
  <c r="S18" i="14"/>
  <c r="AA17" i="14"/>
  <c r="Z17" i="14"/>
  <c r="Y17" i="14"/>
  <c r="X17" i="14"/>
  <c r="W17" i="14"/>
  <c r="V17" i="14"/>
  <c r="U17" i="14"/>
  <c r="T17" i="14"/>
  <c r="S17" i="14"/>
  <c r="AA16" i="14"/>
  <c r="Z16" i="14"/>
  <c r="Y16" i="14"/>
  <c r="X16" i="14"/>
  <c r="W16" i="14"/>
  <c r="V16" i="14"/>
  <c r="U16" i="14"/>
  <c r="T16" i="14"/>
  <c r="S16" i="14"/>
  <c r="AA15" i="14"/>
  <c r="Z15" i="14"/>
  <c r="Y15" i="14"/>
  <c r="X15" i="14"/>
  <c r="W15" i="14"/>
  <c r="V15" i="14"/>
  <c r="U15" i="14"/>
  <c r="T15" i="14"/>
  <c r="S15" i="14"/>
  <c r="AA14" i="14"/>
  <c r="Z14" i="14"/>
  <c r="Y14" i="14"/>
  <c r="X14" i="14"/>
  <c r="W14" i="14"/>
  <c r="V14" i="14"/>
  <c r="U14" i="14"/>
  <c r="T14" i="14"/>
  <c r="S14" i="14"/>
  <c r="AA13" i="14"/>
  <c r="Z13" i="14"/>
  <c r="Y13" i="14"/>
  <c r="X13" i="14"/>
  <c r="W13" i="14"/>
  <c r="V13" i="14"/>
  <c r="U13" i="14"/>
  <c r="T13" i="14"/>
  <c r="S13" i="14"/>
  <c r="AA12" i="14"/>
  <c r="Z12" i="14"/>
  <c r="Y12" i="14"/>
  <c r="X12" i="14"/>
  <c r="W12" i="14"/>
  <c r="V12" i="14"/>
  <c r="U12" i="14"/>
  <c r="T12" i="14"/>
  <c r="S12" i="14"/>
  <c r="AA11" i="14"/>
  <c r="Z11" i="14"/>
  <c r="Y11" i="14"/>
  <c r="X11" i="14"/>
  <c r="W11" i="14"/>
  <c r="V11" i="14"/>
  <c r="U11" i="14"/>
  <c r="T11" i="14"/>
  <c r="S11" i="14"/>
  <c r="AA10" i="14"/>
  <c r="Z10" i="14"/>
  <c r="Y10" i="14"/>
  <c r="X10" i="14"/>
  <c r="W10" i="14"/>
  <c r="V10" i="14"/>
  <c r="U10" i="14"/>
  <c r="T10" i="14"/>
  <c r="S10" i="14"/>
  <c r="AA9" i="14"/>
  <c r="Z9" i="14"/>
  <c r="Y9" i="14"/>
  <c r="X9" i="14"/>
  <c r="W9" i="14"/>
  <c r="V9" i="14"/>
  <c r="U9" i="14"/>
  <c r="T9" i="14"/>
  <c r="S9" i="14"/>
  <c r="AA8" i="14"/>
  <c r="Z8" i="14"/>
  <c r="Y8" i="14"/>
  <c r="X8" i="14"/>
  <c r="W8" i="14"/>
  <c r="V8" i="14"/>
  <c r="U8" i="14"/>
  <c r="T8" i="14"/>
  <c r="S8" i="14"/>
  <c r="P630" i="14" l="1"/>
  <c r="P484" i="14"/>
  <c r="P168" i="14"/>
  <c r="R350" i="14"/>
  <c r="R359" i="14"/>
  <c r="R379" i="14"/>
  <c r="R388" i="14"/>
  <c r="R408" i="14"/>
  <c r="R417" i="14"/>
  <c r="R494" i="14"/>
  <c r="R503" i="14"/>
  <c r="R523" i="14"/>
  <c r="R532" i="14"/>
  <c r="R552" i="14"/>
  <c r="R577" i="14"/>
  <c r="R601" i="14"/>
  <c r="R625" i="14"/>
  <c r="R661" i="14"/>
  <c r="R685" i="14"/>
  <c r="R709" i="14"/>
  <c r="R721" i="14"/>
  <c r="R24" i="14"/>
  <c r="R94" i="14"/>
  <c r="R133" i="14"/>
  <c r="R159" i="14"/>
  <c r="R172" i="14"/>
  <c r="R205" i="14"/>
  <c r="R237" i="14"/>
  <c r="R250" i="14"/>
  <c r="R284" i="14"/>
  <c r="R295" i="14"/>
  <c r="R306" i="14"/>
  <c r="R326" i="14"/>
  <c r="R355" i="14"/>
  <c r="R384" i="14"/>
  <c r="R470" i="14"/>
  <c r="R499" i="14"/>
  <c r="R528" i="14"/>
  <c r="R581" i="14"/>
  <c r="R605" i="14"/>
  <c r="R629" i="14"/>
  <c r="R653" i="14"/>
  <c r="R677" i="14"/>
  <c r="R701" i="14"/>
  <c r="R725" i="14"/>
  <c r="R322" i="14"/>
  <c r="R331" i="14"/>
  <c r="R360" i="14"/>
  <c r="R423" i="14"/>
  <c r="R432" i="14"/>
  <c r="R509" i="14"/>
  <c r="R518" i="14"/>
  <c r="R538" i="14"/>
  <c r="R547" i="14"/>
  <c r="R573" i="14"/>
  <c r="R597" i="14"/>
  <c r="R621" i="14"/>
  <c r="R645" i="14"/>
  <c r="R681" i="14"/>
  <c r="R705" i="14"/>
  <c r="R729" i="14"/>
  <c r="R316" i="14"/>
  <c r="R336" i="14"/>
  <c r="R345" i="14"/>
  <c r="R422" i="14"/>
  <c r="R431" i="14"/>
  <c r="R451" i="14"/>
  <c r="R460" i="14"/>
  <c r="R480" i="14"/>
  <c r="R489" i="14"/>
  <c r="R565" i="14"/>
  <c r="R589" i="14"/>
  <c r="R613" i="14"/>
  <c r="R637" i="14"/>
  <c r="R649" i="14"/>
  <c r="R673" i="14"/>
  <c r="R697" i="14"/>
  <c r="R733" i="14"/>
  <c r="R63" i="14"/>
  <c r="R166" i="14"/>
  <c r="R198" i="14"/>
  <c r="R211" i="14"/>
  <c r="R231" i="14"/>
  <c r="R244" i="14"/>
  <c r="R290" i="14"/>
  <c r="R301" i="14"/>
  <c r="R312" i="14"/>
  <c r="R398" i="14"/>
  <c r="R427" i="14"/>
  <c r="R456" i="14"/>
  <c r="R542" i="14"/>
  <c r="R569" i="14"/>
  <c r="R593" i="14"/>
  <c r="R617" i="14"/>
  <c r="R641" i="14"/>
  <c r="R665" i="14"/>
  <c r="R689" i="14"/>
  <c r="R713" i="14"/>
  <c r="R737" i="14"/>
  <c r="R351" i="14"/>
  <c r="R365" i="14"/>
  <c r="R374" i="14"/>
  <c r="R394" i="14"/>
  <c r="R403" i="14"/>
  <c r="R437" i="14"/>
  <c r="R446" i="14"/>
  <c r="R466" i="14"/>
  <c r="R475" i="14"/>
  <c r="R495" i="14"/>
  <c r="R504" i="14"/>
  <c r="R561" i="14"/>
  <c r="R585" i="14"/>
  <c r="R609" i="14"/>
  <c r="R633" i="14"/>
  <c r="R657" i="14"/>
  <c r="R669" i="14"/>
  <c r="R693" i="14"/>
  <c r="R717" i="14"/>
  <c r="R734" i="14"/>
  <c r="P720" i="14"/>
  <c r="R707" i="14"/>
  <c r="R687" i="14"/>
  <c r="P675" i="14"/>
  <c r="R662" i="14"/>
  <c r="R563" i="14"/>
  <c r="R531" i="14"/>
  <c r="R516" i="14"/>
  <c r="P500" i="14"/>
  <c r="R482" i="14"/>
  <c r="R434" i="14"/>
  <c r="R419" i="14"/>
  <c r="R386" i="14"/>
  <c r="R354" i="14"/>
  <c r="P338" i="14"/>
  <c r="R313" i="14"/>
  <c r="P298" i="14"/>
  <c r="R277" i="14"/>
  <c r="R261" i="14"/>
  <c r="R240" i="14"/>
  <c r="R207" i="14"/>
  <c r="R115" i="14"/>
  <c r="R54" i="14"/>
  <c r="P13" i="14"/>
  <c r="Q133" i="14"/>
  <c r="Q166" i="14"/>
  <c r="Q205" i="14"/>
  <c r="Q231" i="14"/>
  <c r="Q244" i="14"/>
  <c r="Q290" i="14"/>
  <c r="Q301" i="14"/>
  <c r="Q312" i="14"/>
  <c r="Q398" i="14"/>
  <c r="Q427" i="14"/>
  <c r="Q456" i="14"/>
  <c r="Q542" i="14"/>
  <c r="Q569" i="14"/>
  <c r="Q593" i="14"/>
  <c r="Q617" i="14"/>
  <c r="Q641" i="14"/>
  <c r="Q653" i="14"/>
  <c r="Q677" i="14"/>
  <c r="Q701" i="14"/>
  <c r="Q737" i="14"/>
  <c r="Q365" i="14"/>
  <c r="Q374" i="14"/>
  <c r="Q394" i="14"/>
  <c r="Q403" i="14"/>
  <c r="Q423" i="14"/>
  <c r="Q432" i="14"/>
  <c r="Q509" i="14"/>
  <c r="Q518" i="14"/>
  <c r="Q538" i="14"/>
  <c r="Q547" i="14"/>
  <c r="Q573" i="14"/>
  <c r="Q597" i="14"/>
  <c r="Q621" i="14"/>
  <c r="Q645" i="14"/>
  <c r="Q669" i="14"/>
  <c r="Q693" i="14"/>
  <c r="Q717" i="14"/>
  <c r="Q115" i="14"/>
  <c r="Q148" i="14"/>
  <c r="Q187" i="14"/>
  <c r="Q219" i="14"/>
  <c r="Q232" i="14"/>
  <c r="Q258" i="14"/>
  <c r="Q269" i="14"/>
  <c r="Q280" i="14"/>
  <c r="Q291" i="14"/>
  <c r="Q341" i="14"/>
  <c r="Q370" i="14"/>
  <c r="Q399" i="14"/>
  <c r="Q442" i="14"/>
  <c r="Q471" i="14"/>
  <c r="Q557" i="14"/>
  <c r="Q24" i="14"/>
  <c r="Q63" i="14"/>
  <c r="Q94" i="14"/>
  <c r="Q159" i="14"/>
  <c r="Q172" i="14"/>
  <c r="Q198" i="14"/>
  <c r="Q211" i="14"/>
  <c r="Q237" i="14"/>
  <c r="Q250" i="14"/>
  <c r="Q284" i="14"/>
  <c r="Q295" i="14"/>
  <c r="Q306" i="14"/>
  <c r="Q326" i="14"/>
  <c r="Q355" i="14"/>
  <c r="Q384" i="14"/>
  <c r="Q470" i="14"/>
  <c r="Q499" i="14"/>
  <c r="Q528" i="14"/>
  <c r="Q581" i="14"/>
  <c r="Q605" i="14"/>
  <c r="Q629" i="14"/>
  <c r="Q665" i="14"/>
  <c r="Q689" i="14"/>
  <c r="Q713" i="14"/>
  <c r="Q725" i="14"/>
  <c r="Q322" i="14"/>
  <c r="Q331" i="14"/>
  <c r="Q351" i="14"/>
  <c r="Q360" i="14"/>
  <c r="Q437" i="14"/>
  <c r="Q446" i="14"/>
  <c r="Q466" i="14"/>
  <c r="Q475" i="14"/>
  <c r="Q495" i="14"/>
  <c r="Q504" i="14"/>
  <c r="Q561" i="14"/>
  <c r="Q585" i="14"/>
  <c r="Q609" i="14"/>
  <c r="Q633" i="14"/>
  <c r="Q657" i="14"/>
  <c r="Q681" i="14"/>
  <c r="Q705" i="14"/>
  <c r="Q729" i="14"/>
  <c r="Q45" i="14"/>
  <c r="Q76" i="14"/>
  <c r="Q141" i="14"/>
  <c r="Q154" i="14"/>
  <c r="Q180" i="14"/>
  <c r="Q193" i="14"/>
  <c r="Q213" i="14"/>
  <c r="Q226" i="14"/>
  <c r="Q252" i="14"/>
  <c r="Q275" i="14"/>
  <c r="Q286" i="14"/>
  <c r="Q297" i="14"/>
  <c r="Q327" i="14"/>
  <c r="Q413" i="14"/>
  <c r="Q485" i="14"/>
  <c r="Q514" i="14"/>
  <c r="Q543" i="14"/>
  <c r="Q734" i="14"/>
  <c r="R726" i="14"/>
  <c r="P714" i="14"/>
  <c r="Q707" i="14"/>
  <c r="R700" i="14"/>
  <c r="Q687" i="14"/>
  <c r="Q680" i="14"/>
  <c r="Q662" i="14"/>
  <c r="R654" i="14"/>
  <c r="P642" i="14"/>
  <c r="Q635" i="14"/>
  <c r="R628" i="14"/>
  <c r="Q615" i="14"/>
  <c r="Q608" i="14"/>
  <c r="Q590" i="14"/>
  <c r="R582" i="14"/>
  <c r="P570" i="14"/>
  <c r="Q563" i="14"/>
  <c r="R554" i="14"/>
  <c r="R548" i="14"/>
  <c r="Q539" i="14"/>
  <c r="Q531" i="14"/>
  <c r="Q524" i="14"/>
  <c r="P515" i="14"/>
  <c r="R506" i="14"/>
  <c r="R491" i="14"/>
  <c r="Q482" i="14"/>
  <c r="Q474" i="14"/>
  <c r="P467" i="14"/>
  <c r="R449" i="14"/>
  <c r="Q434" i="14"/>
  <c r="R426" i="14"/>
  <c r="Q419" i="14"/>
  <c r="P410" i="14"/>
  <c r="R401" i="14"/>
  <c r="R385" i="14"/>
  <c r="Q377" i="14"/>
  <c r="R370" i="14"/>
  <c r="P362" i="14"/>
  <c r="P353" i="14"/>
  <c r="P347" i="14"/>
  <c r="Q329" i="14"/>
  <c r="P320" i="14"/>
  <c r="Q313" i="14"/>
  <c r="Q287" i="14"/>
  <c r="Q277" i="14"/>
  <c r="R269" i="14"/>
  <c r="Q261" i="14"/>
  <c r="Q240" i="14"/>
  <c r="P228" i="14"/>
  <c r="P216" i="14"/>
  <c r="Q207" i="14"/>
  <c r="R187" i="14"/>
  <c r="R175" i="14"/>
  <c r="P164" i="14"/>
  <c r="P155" i="14"/>
  <c r="R144" i="14"/>
  <c r="Q124" i="14"/>
  <c r="P112" i="14"/>
  <c r="R103" i="14"/>
  <c r="R93" i="14"/>
  <c r="Q64" i="14"/>
  <c r="Q54" i="14"/>
  <c r="R33" i="14"/>
  <c r="R21" i="14"/>
  <c r="P8" i="14"/>
  <c r="P9" i="14"/>
  <c r="P16" i="14"/>
  <c r="P23" i="14"/>
  <c r="P27" i="14"/>
  <c r="P34" i="14"/>
  <c r="P41" i="14"/>
  <c r="P45" i="14"/>
  <c r="P52" i="14"/>
  <c r="P59" i="14"/>
  <c r="P63" i="14"/>
  <c r="P70" i="14"/>
  <c r="P77" i="14"/>
  <c r="P81" i="14"/>
  <c r="P88" i="14"/>
  <c r="P95" i="14"/>
  <c r="P99" i="14"/>
  <c r="P106" i="14"/>
  <c r="P113" i="14"/>
  <c r="P117" i="14"/>
  <c r="P124" i="14"/>
  <c r="P131" i="14"/>
  <c r="P135" i="14"/>
  <c r="P142" i="14"/>
  <c r="P149" i="14"/>
  <c r="P153" i="14"/>
  <c r="P160" i="14"/>
  <c r="P167" i="14"/>
  <c r="P171" i="14"/>
  <c r="P178" i="14"/>
  <c r="P185" i="14"/>
  <c r="P189" i="14"/>
  <c r="P196" i="14"/>
  <c r="P203" i="14"/>
  <c r="P207" i="14"/>
  <c r="P214" i="14"/>
  <c r="P221" i="14"/>
  <c r="P225" i="14"/>
  <c r="P232" i="14"/>
  <c r="P239" i="14"/>
  <c r="P243" i="14"/>
  <c r="P250" i="14"/>
  <c r="P257" i="14"/>
  <c r="P261" i="14"/>
  <c r="P264" i="14"/>
  <c r="P267" i="14"/>
  <c r="P270" i="14"/>
  <c r="P273" i="14"/>
  <c r="P276" i="14"/>
  <c r="P279" i="14"/>
  <c r="P282" i="14"/>
  <c r="P285" i="14"/>
  <c r="P288" i="14"/>
  <c r="P291" i="14"/>
  <c r="P294" i="14"/>
  <c r="P297" i="14"/>
  <c r="P300" i="14"/>
  <c r="P303" i="14"/>
  <c r="P306" i="14"/>
  <c r="P309" i="14"/>
  <c r="P312" i="14"/>
  <c r="P315" i="14"/>
  <c r="P318" i="14"/>
  <c r="P321" i="14"/>
  <c r="P324" i="14"/>
  <c r="P327" i="14"/>
  <c r="P330" i="14"/>
  <c r="P333" i="14"/>
  <c r="P336" i="14"/>
  <c r="P339" i="14"/>
  <c r="P342" i="14"/>
  <c r="P345" i="14"/>
  <c r="P348" i="14"/>
  <c r="P351" i="14"/>
  <c r="P354" i="14"/>
  <c r="P357" i="14"/>
  <c r="P360" i="14"/>
  <c r="P363" i="14"/>
  <c r="P366" i="14"/>
  <c r="P369" i="14"/>
  <c r="P372" i="14"/>
  <c r="P375" i="14"/>
  <c r="P378" i="14"/>
  <c r="P381" i="14"/>
  <c r="P384" i="14"/>
  <c r="P387" i="14"/>
  <c r="P390" i="14"/>
  <c r="P393" i="14"/>
  <c r="P396" i="14"/>
  <c r="P399" i="14"/>
  <c r="P402" i="14"/>
  <c r="P405" i="14"/>
  <c r="P408" i="14"/>
  <c r="P411" i="14"/>
  <c r="P414" i="14"/>
  <c r="P417" i="14"/>
  <c r="P420" i="14"/>
  <c r="P423" i="14"/>
  <c r="P426" i="14"/>
  <c r="P429" i="14"/>
  <c r="P432" i="14"/>
  <c r="P435" i="14"/>
  <c r="P438" i="14"/>
  <c r="P441" i="14"/>
  <c r="P444" i="14"/>
  <c r="P447" i="14"/>
  <c r="P450" i="14"/>
  <c r="P453" i="14"/>
  <c r="P456" i="14"/>
  <c r="P459" i="14"/>
  <c r="P462" i="14"/>
  <c r="P465" i="14"/>
  <c r="P468" i="14"/>
  <c r="P471" i="14"/>
  <c r="P474" i="14"/>
  <c r="P477" i="14"/>
  <c r="P480" i="14"/>
  <c r="P483" i="14"/>
  <c r="P486" i="14"/>
  <c r="P489" i="14"/>
  <c r="P492" i="14"/>
  <c r="P495" i="14"/>
  <c r="P498" i="14"/>
  <c r="P501" i="14"/>
  <c r="P504" i="14"/>
  <c r="P507" i="14"/>
  <c r="P510" i="14"/>
  <c r="P513" i="14"/>
  <c r="P516" i="14"/>
  <c r="P519" i="14"/>
  <c r="P522" i="14"/>
  <c r="P525" i="14"/>
  <c r="P528" i="14"/>
  <c r="P531" i="14"/>
  <c r="P534" i="14"/>
  <c r="P537" i="14"/>
  <c r="P540" i="14"/>
  <c r="P543" i="14"/>
  <c r="P546" i="14"/>
  <c r="P549" i="14"/>
  <c r="P552" i="14"/>
  <c r="P555" i="14"/>
  <c r="P558" i="14"/>
  <c r="P10" i="14"/>
  <c r="P36" i="14"/>
  <c r="P44" i="14"/>
  <c r="P53" i="14"/>
  <c r="P79" i="14"/>
  <c r="P105" i="14"/>
  <c r="P114" i="14"/>
  <c r="P122" i="14"/>
  <c r="P148" i="14"/>
  <c r="P157" i="14"/>
  <c r="P174" i="14"/>
  <c r="P183" i="14"/>
  <c r="P191" i="14"/>
  <c r="P200" i="14"/>
  <c r="P217" i="14"/>
  <c r="P226" i="14"/>
  <c r="P252" i="14"/>
  <c r="P260" i="14"/>
  <c r="P268" i="14"/>
  <c r="P304" i="14"/>
  <c r="P311" i="14"/>
  <c r="P18" i="14"/>
  <c r="P22" i="14"/>
  <c r="P26" i="14"/>
  <c r="P31" i="14"/>
  <c r="P35" i="14"/>
  <c r="P48" i="14"/>
  <c r="P57" i="14"/>
  <c r="P61" i="14"/>
  <c r="P65" i="14"/>
  <c r="P74" i="14"/>
  <c r="P87" i="14"/>
  <c r="P91" i="14"/>
  <c r="P96" i="14"/>
  <c r="P100" i="14"/>
  <c r="P104" i="14"/>
  <c r="P126" i="14"/>
  <c r="P130" i="14"/>
  <c r="P134" i="14"/>
  <c r="P139" i="14"/>
  <c r="P143" i="14"/>
  <c r="P156" i="14"/>
  <c r="P165" i="14"/>
  <c r="P169" i="14"/>
  <c r="P173" i="14"/>
  <c r="P182" i="14"/>
  <c r="P195" i="14"/>
  <c r="P199" i="14"/>
  <c r="P204" i="14"/>
  <c r="P208" i="14"/>
  <c r="P212" i="14"/>
  <c r="P234" i="14"/>
  <c r="P238" i="14"/>
  <c r="P242" i="14"/>
  <c r="P247" i="14"/>
  <c r="P251" i="14"/>
  <c r="P271" i="14"/>
  <c r="P278" i="14"/>
  <c r="P289" i="14"/>
  <c r="P296" i="14"/>
  <c r="P307" i="14"/>
  <c r="P314" i="14"/>
  <c r="P325" i="14"/>
  <c r="P332" i="14"/>
  <c r="P343" i="14"/>
  <c r="P350" i="14"/>
  <c r="P361" i="14"/>
  <c r="P368" i="14"/>
  <c r="P379" i="14"/>
  <c r="P386" i="14"/>
  <c r="P397" i="14"/>
  <c r="P404" i="14"/>
  <c r="P415" i="14"/>
  <c r="P422" i="14"/>
  <c r="P433" i="14"/>
  <c r="P440" i="14"/>
  <c r="P451" i="14"/>
  <c r="P458" i="14"/>
  <c r="P469" i="14"/>
  <c r="P476" i="14"/>
  <c r="P487" i="14"/>
  <c r="P494" i="14"/>
  <c r="P505" i="14"/>
  <c r="P512" i="14"/>
  <c r="P523" i="14"/>
  <c r="P530" i="14"/>
  <c r="P541" i="14"/>
  <c r="P548" i="14"/>
  <c r="P559" i="14"/>
  <c r="P562" i="14"/>
  <c r="P565" i="14"/>
  <c r="P568" i="14"/>
  <c r="P571" i="14"/>
  <c r="P574" i="14"/>
  <c r="P577" i="14"/>
  <c r="P580" i="14"/>
  <c r="P583" i="14"/>
  <c r="P586" i="14"/>
  <c r="P589" i="14"/>
  <c r="P592" i="14"/>
  <c r="P595" i="14"/>
  <c r="P598" i="14"/>
  <c r="P601" i="14"/>
  <c r="P604" i="14"/>
  <c r="P607" i="14"/>
  <c r="P610" i="14"/>
  <c r="P613" i="14"/>
  <c r="P616" i="14"/>
  <c r="P619" i="14"/>
  <c r="P622" i="14"/>
  <c r="P625" i="14"/>
  <c r="P628" i="14"/>
  <c r="P631" i="14"/>
  <c r="P634" i="14"/>
  <c r="P637" i="14"/>
  <c r="P640" i="14"/>
  <c r="P643" i="14"/>
  <c r="P646" i="14"/>
  <c r="P649" i="14"/>
  <c r="P652" i="14"/>
  <c r="P655" i="14"/>
  <c r="P658" i="14"/>
  <c r="P661" i="14"/>
  <c r="P664" i="14"/>
  <c r="P667" i="14"/>
  <c r="P670" i="14"/>
  <c r="P673" i="14"/>
  <c r="P676" i="14"/>
  <c r="P679" i="14"/>
  <c r="P682" i="14"/>
  <c r="P685" i="14"/>
  <c r="P688" i="14"/>
  <c r="P691" i="14"/>
  <c r="P694" i="14"/>
  <c r="P697" i="14"/>
  <c r="P700" i="14"/>
  <c r="P703" i="14"/>
  <c r="P706" i="14"/>
  <c r="P709" i="14"/>
  <c r="P712" i="14"/>
  <c r="P715" i="14"/>
  <c r="P718" i="14"/>
  <c r="P721" i="14"/>
  <c r="P724" i="14"/>
  <c r="P727" i="14"/>
  <c r="P730" i="14"/>
  <c r="P733" i="14"/>
  <c r="P736" i="14"/>
  <c r="P14" i="14"/>
  <c r="P40" i="14"/>
  <c r="P49" i="14"/>
  <c r="P66" i="14"/>
  <c r="P75" i="14"/>
  <c r="P83" i="14"/>
  <c r="P92" i="14"/>
  <c r="P109" i="14"/>
  <c r="P118" i="14"/>
  <c r="P144" i="14"/>
  <c r="P152" i="14"/>
  <c r="P161" i="14"/>
  <c r="P187" i="14"/>
  <c r="P213" i="14"/>
  <c r="P222" i="14"/>
  <c r="P230" i="14"/>
  <c r="P256" i="14"/>
  <c r="P275" i="14"/>
  <c r="P286" i="14"/>
  <c r="P293" i="14"/>
  <c r="P316" i="14"/>
  <c r="P359" i="14"/>
  <c r="P388" i="14"/>
  <c r="P431" i="14"/>
  <c r="P460" i="14"/>
  <c r="P503" i="14"/>
  <c r="P532" i="14"/>
  <c r="P322" i="14"/>
  <c r="P331" i="14"/>
  <c r="P437" i="14"/>
  <c r="P446" i="14"/>
  <c r="P466" i="14"/>
  <c r="P475" i="14"/>
  <c r="P561" i="14"/>
  <c r="P585" i="14"/>
  <c r="P609" i="14"/>
  <c r="P633" i="14"/>
  <c r="P669" i="14"/>
  <c r="P693" i="14"/>
  <c r="P717" i="14"/>
  <c r="P729" i="14"/>
  <c r="P11" i="14"/>
  <c r="P43" i="14"/>
  <c r="P56" i="14"/>
  <c r="P69" i="14"/>
  <c r="P82" i="14"/>
  <c r="P108" i="14"/>
  <c r="P121" i="14"/>
  <c r="P147" i="14"/>
  <c r="P193" i="14"/>
  <c r="P219" i="14"/>
  <c r="P224" i="14"/>
  <c r="P263" i="14"/>
  <c r="P274" i="14"/>
  <c r="P413" i="14"/>
  <c r="P442" i="14"/>
  <c r="P557" i="14"/>
  <c r="P380" i="14"/>
  <c r="P389" i="14"/>
  <c r="P409" i="14"/>
  <c r="P418" i="14"/>
  <c r="P452" i="14"/>
  <c r="P461" i="14"/>
  <c r="P481" i="14"/>
  <c r="P490" i="14"/>
  <c r="P566" i="14"/>
  <c r="P590" i="14"/>
  <c r="P614" i="14"/>
  <c r="P638" i="14"/>
  <c r="P662" i="14"/>
  <c r="P674" i="14"/>
  <c r="P698" i="14"/>
  <c r="P722" i="14"/>
  <c r="P12" i="14"/>
  <c r="P25" i="14"/>
  <c r="P24" i="14"/>
  <c r="P29" i="14"/>
  <c r="P55" i="14"/>
  <c r="P62" i="14"/>
  <c r="P68" i="14"/>
  <c r="P94" i="14"/>
  <c r="P101" i="14"/>
  <c r="P107" i="14"/>
  <c r="P120" i="14"/>
  <c r="P127" i="14"/>
  <c r="P133" i="14"/>
  <c r="P140" i="14"/>
  <c r="P146" i="14"/>
  <c r="P159" i="14"/>
  <c r="P166" i="14"/>
  <c r="P172" i="14"/>
  <c r="P179" i="14"/>
  <c r="P192" i="14"/>
  <c r="P198" i="14"/>
  <c r="P205" i="14"/>
  <c r="P211" i="14"/>
  <c r="P218" i="14"/>
  <c r="P231" i="14"/>
  <c r="P237" i="14"/>
  <c r="P244" i="14"/>
  <c r="P284" i="14"/>
  <c r="P290" i="14"/>
  <c r="P295" i="14"/>
  <c r="P301" i="14"/>
  <c r="P326" i="14"/>
  <c r="P335" i="14"/>
  <c r="P355" i="14"/>
  <c r="P364" i="14"/>
  <c r="P398" i="14"/>
  <c r="P407" i="14"/>
  <c r="P427" i="14"/>
  <c r="P436" i="14"/>
  <c r="P470" i="14"/>
  <c r="P479" i="14"/>
  <c r="P499" i="14"/>
  <c r="P508" i="14"/>
  <c r="P542" i="14"/>
  <c r="P551" i="14"/>
  <c r="P569" i="14"/>
  <c r="P581" i="14"/>
  <c r="P593" i="14"/>
  <c r="P605" i="14"/>
  <c r="P617" i="14"/>
  <c r="P629" i="14"/>
  <c r="P641" i="14"/>
  <c r="P653" i="14"/>
  <c r="P665" i="14"/>
  <c r="P677" i="14"/>
  <c r="P689" i="14"/>
  <c r="P701" i="14"/>
  <c r="P713" i="14"/>
  <c r="P725" i="14"/>
  <c r="P737" i="14"/>
  <c r="P365" i="14"/>
  <c r="P374" i="14"/>
  <c r="P394" i="14"/>
  <c r="P403" i="14"/>
  <c r="P509" i="14"/>
  <c r="P518" i="14"/>
  <c r="P538" i="14"/>
  <c r="P547" i="14"/>
  <c r="P573" i="14"/>
  <c r="P597" i="14"/>
  <c r="P621" i="14"/>
  <c r="P645" i="14"/>
  <c r="P657" i="14"/>
  <c r="P681" i="14"/>
  <c r="P705" i="14"/>
  <c r="P17" i="14"/>
  <c r="P30" i="14"/>
  <c r="P37" i="14"/>
  <c r="P50" i="14"/>
  <c r="P76" i="14"/>
  <c r="P89" i="14"/>
  <c r="P102" i="14"/>
  <c r="P115" i="14"/>
  <c r="P128" i="14"/>
  <c r="P141" i="14"/>
  <c r="P154" i="14"/>
  <c r="P180" i="14"/>
  <c r="P186" i="14"/>
  <c r="P258" i="14"/>
  <c r="P269" i="14"/>
  <c r="P280" i="14"/>
  <c r="P341" i="14"/>
  <c r="P370" i="14"/>
  <c r="P485" i="14"/>
  <c r="P514" i="14"/>
  <c r="P317" i="14"/>
  <c r="P337" i="14"/>
  <c r="P346" i="14"/>
  <c r="P524" i="14"/>
  <c r="P533" i="14"/>
  <c r="P553" i="14"/>
  <c r="P578" i="14"/>
  <c r="P602" i="14"/>
  <c r="P626" i="14"/>
  <c r="P650" i="14"/>
  <c r="P686" i="14"/>
  <c r="P710" i="14"/>
  <c r="P734" i="14"/>
  <c r="P19" i="14"/>
  <c r="P32" i="14"/>
  <c r="P702" i="14"/>
  <c r="P428" i="14"/>
  <c r="P371" i="14"/>
  <c r="P323" i="14"/>
  <c r="P229" i="14"/>
  <c r="P188" i="14"/>
  <c r="P176" i="14"/>
  <c r="P145" i="14"/>
  <c r="P97" i="14"/>
  <c r="R727" i="14"/>
  <c r="P695" i="14"/>
  <c r="R682" i="14"/>
  <c r="P668" i="14"/>
  <c r="R655" i="14"/>
  <c r="P648" i="14"/>
  <c r="R635" i="14"/>
  <c r="P623" i="14"/>
  <c r="R615" i="14"/>
  <c r="R610" i="14"/>
  <c r="P603" i="14"/>
  <c r="P596" i="14"/>
  <c r="R590" i="14"/>
  <c r="R583" i="14"/>
  <c r="P576" i="14"/>
  <c r="P556" i="14"/>
  <c r="R539" i="14"/>
  <c r="R524" i="14"/>
  <c r="R476" i="14"/>
  <c r="P443" i="14"/>
  <c r="P395" i="14"/>
  <c r="R377" i="14"/>
  <c r="R329" i="14"/>
  <c r="P305" i="14"/>
  <c r="R287" i="14"/>
  <c r="P249" i="14"/>
  <c r="R219" i="14"/>
  <c r="P197" i="14"/>
  <c r="P136" i="14"/>
  <c r="R124" i="14"/>
  <c r="P73" i="14"/>
  <c r="R64" i="14"/>
  <c r="P46" i="14"/>
  <c r="R458" i="14"/>
  <c r="P732" i="14"/>
  <c r="Q726" i="14"/>
  <c r="R719" i="14"/>
  <c r="P707" i="14"/>
  <c r="R699" i="14"/>
  <c r="R694" i="14"/>
  <c r="P687" i="14"/>
  <c r="P680" i="14"/>
  <c r="R674" i="14"/>
  <c r="R667" i="14"/>
  <c r="P660" i="14"/>
  <c r="Q654" i="14"/>
  <c r="R647" i="14"/>
  <c r="P635" i="14"/>
  <c r="R627" i="14"/>
  <c r="R622" i="14"/>
  <c r="P615" i="14"/>
  <c r="P608" i="14"/>
  <c r="R602" i="14"/>
  <c r="R595" i="14"/>
  <c r="P588" i="14"/>
  <c r="Q582" i="14"/>
  <c r="R575" i="14"/>
  <c r="P563" i="14"/>
  <c r="Q554" i="14"/>
  <c r="Q546" i="14"/>
  <c r="P539" i="14"/>
  <c r="R530" i="14"/>
  <c r="R521" i="14"/>
  <c r="Q506" i="14"/>
  <c r="R498" i="14"/>
  <c r="Q491" i="14"/>
  <c r="P482" i="14"/>
  <c r="R473" i="14"/>
  <c r="R457" i="14"/>
  <c r="Q449" i="14"/>
  <c r="R442" i="14"/>
  <c r="P434" i="14"/>
  <c r="P425" i="14"/>
  <c r="P419" i="14"/>
  <c r="Q401" i="14"/>
  <c r="P392" i="14"/>
  <c r="Q385" i="14"/>
  <c r="P377" i="14"/>
  <c r="R368" i="14"/>
  <c r="Q344" i="14"/>
  <c r="R337" i="14"/>
  <c r="P329" i="14"/>
  <c r="P313" i="14"/>
  <c r="R304" i="14"/>
  <c r="R297" i="14"/>
  <c r="P287" i="14"/>
  <c r="P277" i="14"/>
  <c r="R266" i="14"/>
  <c r="P259" i="14"/>
  <c r="P248" i="14"/>
  <c r="P240" i="14"/>
  <c r="P206" i="14"/>
  <c r="R196" i="14"/>
  <c r="P184" i="14"/>
  <c r="Q175" i="14"/>
  <c r="Q144" i="14"/>
  <c r="R132" i="14"/>
  <c r="R123" i="14"/>
  <c r="Q103" i="14"/>
  <c r="Q93" i="14"/>
  <c r="R72" i="14"/>
  <c r="P64" i="14"/>
  <c r="P54" i="14"/>
  <c r="R45" i="14"/>
  <c r="Q33" i="14"/>
  <c r="Q21" i="14"/>
  <c r="O722" i="14"/>
  <c r="O698" i="14"/>
  <c r="O674" i="14"/>
  <c r="O650" i="14"/>
  <c r="O626" i="14"/>
  <c r="O602" i="14"/>
  <c r="O578" i="14"/>
  <c r="O553" i="14"/>
  <c r="O533" i="14"/>
  <c r="O524" i="14"/>
  <c r="O418" i="14"/>
  <c r="O409" i="14"/>
  <c r="O389" i="14"/>
  <c r="O380" i="14"/>
  <c r="O557" i="14"/>
  <c r="O442" i="14"/>
  <c r="O413" i="14"/>
  <c r="O274" i="14"/>
  <c r="O263" i="14"/>
  <c r="O224" i="14"/>
  <c r="O186" i="14"/>
  <c r="O147" i="14"/>
  <c r="O141" i="14"/>
  <c r="O128" i="14"/>
  <c r="O108" i="14"/>
  <c r="O82" i="14"/>
  <c r="O50" i="14"/>
  <c r="O11" i="14"/>
  <c r="R11" i="14"/>
  <c r="R14" i="14"/>
  <c r="R17" i="14"/>
  <c r="R20" i="14"/>
  <c r="R23" i="14"/>
  <c r="R26" i="14"/>
  <c r="R29" i="14"/>
  <c r="R32" i="14"/>
  <c r="R35" i="14"/>
  <c r="R38" i="14"/>
  <c r="R41" i="14"/>
  <c r="R44" i="14"/>
  <c r="R47" i="14"/>
  <c r="R50" i="14"/>
  <c r="R53" i="14"/>
  <c r="R56" i="14"/>
  <c r="R59" i="14"/>
  <c r="R62" i="14"/>
  <c r="R65" i="14"/>
  <c r="R68" i="14"/>
  <c r="R71" i="14"/>
  <c r="R74" i="14"/>
  <c r="R77" i="14"/>
  <c r="R80" i="14"/>
  <c r="R83" i="14"/>
  <c r="R86" i="14"/>
  <c r="R89" i="14"/>
  <c r="R92" i="14"/>
  <c r="R95" i="14"/>
  <c r="R98" i="14"/>
  <c r="R101" i="14"/>
  <c r="R104" i="14"/>
  <c r="R107" i="14"/>
  <c r="R110" i="14"/>
  <c r="R113" i="14"/>
  <c r="R116" i="14"/>
  <c r="R119" i="14"/>
  <c r="R122" i="14"/>
  <c r="R125" i="14"/>
  <c r="R128" i="14"/>
  <c r="R131" i="14"/>
  <c r="R134" i="14"/>
  <c r="R137" i="14"/>
  <c r="R140" i="14"/>
  <c r="R143" i="14"/>
  <c r="R146" i="14"/>
  <c r="R149" i="14"/>
  <c r="R152" i="14"/>
  <c r="R155" i="14"/>
  <c r="R158" i="14"/>
  <c r="R161" i="14"/>
  <c r="R164" i="14"/>
  <c r="R167" i="14"/>
  <c r="R170" i="14"/>
  <c r="R173" i="14"/>
  <c r="R176" i="14"/>
  <c r="R179" i="14"/>
  <c r="R182" i="14"/>
  <c r="R185" i="14"/>
  <c r="R188" i="14"/>
  <c r="R191" i="14"/>
  <c r="R194" i="14"/>
  <c r="R197" i="14"/>
  <c r="R200" i="14"/>
  <c r="R203" i="14"/>
  <c r="R206" i="14"/>
  <c r="R209" i="14"/>
  <c r="R212" i="14"/>
  <c r="R215" i="14"/>
  <c r="R218" i="14"/>
  <c r="R221" i="14"/>
  <c r="R224" i="14"/>
  <c r="R227" i="14"/>
  <c r="R230" i="14"/>
  <c r="R233" i="14"/>
  <c r="R236" i="14"/>
  <c r="R239" i="14"/>
  <c r="R242" i="14"/>
  <c r="R245" i="14"/>
  <c r="R248" i="14"/>
  <c r="R251" i="14"/>
  <c r="R254" i="14"/>
  <c r="R257" i="14"/>
  <c r="R260" i="14"/>
  <c r="R12" i="14"/>
  <c r="R19" i="14"/>
  <c r="R30" i="14"/>
  <c r="R37" i="14"/>
  <c r="R48" i="14"/>
  <c r="R55" i="14"/>
  <c r="R66" i="14"/>
  <c r="R73" i="14"/>
  <c r="R84" i="14"/>
  <c r="R91" i="14"/>
  <c r="R102" i="14"/>
  <c r="R109" i="14"/>
  <c r="R120" i="14"/>
  <c r="R127" i="14"/>
  <c r="R138" i="14"/>
  <c r="R145" i="14"/>
  <c r="R156" i="14"/>
  <c r="R163" i="14"/>
  <c r="R174" i="14"/>
  <c r="R181" i="14"/>
  <c r="R192" i="14"/>
  <c r="R199" i="14"/>
  <c r="R210" i="14"/>
  <c r="R217" i="14"/>
  <c r="R228" i="14"/>
  <c r="R235" i="14"/>
  <c r="R246" i="14"/>
  <c r="R253" i="14"/>
  <c r="R8" i="14"/>
  <c r="R18" i="14"/>
  <c r="R27" i="14"/>
  <c r="R61" i="14"/>
  <c r="R70" i="14"/>
  <c r="R87" i="14"/>
  <c r="R96" i="14"/>
  <c r="R130" i="14"/>
  <c r="R139" i="14"/>
  <c r="R165" i="14"/>
  <c r="R208" i="14"/>
  <c r="R234" i="14"/>
  <c r="R243" i="14"/>
  <c r="R278" i="14"/>
  <c r="R289" i="14"/>
  <c r="R296" i="14"/>
  <c r="R9" i="14"/>
  <c r="R13" i="14"/>
  <c r="R39" i="14"/>
  <c r="R43" i="14"/>
  <c r="R52" i="14"/>
  <c r="R69" i="14"/>
  <c r="R78" i="14"/>
  <c r="R82" i="14"/>
  <c r="R108" i="14"/>
  <c r="R112" i="14"/>
  <c r="R117" i="14"/>
  <c r="R121" i="14"/>
  <c r="R147" i="14"/>
  <c r="R151" i="14"/>
  <c r="R160" i="14"/>
  <c r="R177" i="14"/>
  <c r="R186" i="14"/>
  <c r="R190" i="14"/>
  <c r="R216" i="14"/>
  <c r="R220" i="14"/>
  <c r="R225" i="14"/>
  <c r="R229" i="14"/>
  <c r="R255" i="14"/>
  <c r="R259" i="14"/>
  <c r="R263" i="14"/>
  <c r="R267" i="14"/>
  <c r="R274" i="14"/>
  <c r="R281" i="14"/>
  <c r="R285" i="14"/>
  <c r="R292" i="14"/>
  <c r="R299" i="14"/>
  <c r="R303" i="14"/>
  <c r="R310" i="14"/>
  <c r="R317" i="14"/>
  <c r="R321" i="14"/>
  <c r="R328" i="14"/>
  <c r="R335" i="14"/>
  <c r="R339" i="14"/>
  <c r="R346" i="14"/>
  <c r="R353" i="14"/>
  <c r="R357" i="14"/>
  <c r="R364" i="14"/>
  <c r="R371" i="14"/>
  <c r="R375" i="14"/>
  <c r="R382" i="14"/>
  <c r="R389" i="14"/>
  <c r="R393" i="14"/>
  <c r="R400" i="14"/>
  <c r="R407" i="14"/>
  <c r="R411" i="14"/>
  <c r="R418" i="14"/>
  <c r="R425" i="14"/>
  <c r="R429" i="14"/>
  <c r="R436" i="14"/>
  <c r="R443" i="14"/>
  <c r="R447" i="14"/>
  <c r="R454" i="14"/>
  <c r="R461" i="14"/>
  <c r="R465" i="14"/>
  <c r="R472" i="14"/>
  <c r="R479" i="14"/>
  <c r="R483" i="14"/>
  <c r="R490" i="14"/>
  <c r="R497" i="14"/>
  <c r="R501" i="14"/>
  <c r="R508" i="14"/>
  <c r="R515" i="14"/>
  <c r="R519" i="14"/>
  <c r="R526" i="14"/>
  <c r="R533" i="14"/>
  <c r="R537" i="14"/>
  <c r="R544" i="14"/>
  <c r="R551" i="14"/>
  <c r="R555" i="14"/>
  <c r="R22" i="14"/>
  <c r="R31" i="14"/>
  <c r="R57" i="14"/>
  <c r="R100" i="14"/>
  <c r="R126" i="14"/>
  <c r="R135" i="14"/>
  <c r="R169" i="14"/>
  <c r="R178" i="14"/>
  <c r="R195" i="14"/>
  <c r="R204" i="14"/>
  <c r="R238" i="14"/>
  <c r="R247" i="14"/>
  <c r="R264" i="14"/>
  <c r="R271" i="14"/>
  <c r="R282" i="14"/>
  <c r="R300" i="14"/>
  <c r="R307" i="14"/>
  <c r="R732" i="14"/>
  <c r="O729" i="14"/>
  <c r="R720" i="14"/>
  <c r="O717" i="14"/>
  <c r="R708" i="14"/>
  <c r="O705" i="14"/>
  <c r="R696" i="14"/>
  <c r="O693" i="14"/>
  <c r="R684" i="14"/>
  <c r="O681" i="14"/>
  <c r="R672" i="14"/>
  <c r="O669" i="14"/>
  <c r="R660" i="14"/>
  <c r="O657" i="14"/>
  <c r="R648" i="14"/>
  <c r="O645" i="14"/>
  <c r="R636" i="14"/>
  <c r="O633" i="14"/>
  <c r="R624" i="14"/>
  <c r="O621" i="14"/>
  <c r="R612" i="14"/>
  <c r="O609" i="14"/>
  <c r="R600" i="14"/>
  <c r="O597" i="14"/>
  <c r="R588" i="14"/>
  <c r="O585" i="14"/>
  <c r="R576" i="14"/>
  <c r="O573" i="14"/>
  <c r="R564" i="14"/>
  <c r="O561" i="14"/>
  <c r="R556" i="14"/>
  <c r="O547" i="14"/>
  <c r="R536" i="14"/>
  <c r="Q532" i="14"/>
  <c r="R527" i="14"/>
  <c r="R522" i="14"/>
  <c r="O518" i="14"/>
  <c r="R513" i="14"/>
  <c r="Q503" i="14"/>
  <c r="R493" i="14"/>
  <c r="Q489" i="14"/>
  <c r="R484" i="14"/>
  <c r="O475" i="14"/>
  <c r="R464" i="14"/>
  <c r="Q460" i="14"/>
  <c r="R455" i="14"/>
  <c r="R450" i="14"/>
  <c r="O446" i="14"/>
  <c r="R441" i="14"/>
  <c r="Q431" i="14"/>
  <c r="R421" i="14"/>
  <c r="Q417" i="14"/>
  <c r="R412" i="14"/>
  <c r="O403" i="14"/>
  <c r="R392" i="14"/>
  <c r="Q388" i="14"/>
  <c r="R383" i="14"/>
  <c r="R378" i="14"/>
  <c r="O374" i="14"/>
  <c r="R369" i="14"/>
  <c r="Q359" i="14"/>
  <c r="R349" i="14"/>
  <c r="Q345" i="14"/>
  <c r="R340" i="14"/>
  <c r="R320" i="14"/>
  <c r="R311" i="14"/>
  <c r="R305" i="14"/>
  <c r="R279" i="14"/>
  <c r="R273" i="14"/>
  <c r="R268" i="14"/>
  <c r="R262" i="14"/>
  <c r="R256" i="14"/>
  <c r="R249" i="14"/>
  <c r="R223" i="14"/>
  <c r="R184" i="14"/>
  <c r="R153" i="14"/>
  <c r="R114" i="14"/>
  <c r="R88" i="14"/>
  <c r="R81" i="14"/>
  <c r="R75" i="14"/>
  <c r="R49" i="14"/>
  <c r="R42" i="14"/>
  <c r="R36" i="14"/>
  <c r="R16" i="14"/>
  <c r="R10" i="14"/>
  <c r="O9" i="14"/>
  <c r="O16" i="14"/>
  <c r="O23" i="14"/>
  <c r="O27" i="14"/>
  <c r="O34" i="14"/>
  <c r="O41" i="14"/>
  <c r="O45" i="14"/>
  <c r="O52" i="14"/>
  <c r="O59" i="14"/>
  <c r="O63" i="14"/>
  <c r="O70" i="14"/>
  <c r="O77" i="14"/>
  <c r="O81" i="14"/>
  <c r="O88" i="14"/>
  <c r="O95" i="14"/>
  <c r="O99" i="14"/>
  <c r="O106" i="14"/>
  <c r="O113" i="14"/>
  <c r="O117" i="14"/>
  <c r="O124" i="14"/>
  <c r="O131" i="14"/>
  <c r="O135" i="14"/>
  <c r="O142" i="14"/>
  <c r="O149" i="14"/>
  <c r="O153" i="14"/>
  <c r="O160" i="14"/>
  <c r="O167" i="14"/>
  <c r="O171" i="14"/>
  <c r="O178" i="14"/>
  <c r="O185" i="14"/>
  <c r="O189" i="14"/>
  <c r="O196" i="14"/>
  <c r="O203" i="14"/>
  <c r="O207" i="14"/>
  <c r="O214" i="14"/>
  <c r="O221" i="14"/>
  <c r="O225" i="14"/>
  <c r="O232" i="14"/>
  <c r="O239" i="14"/>
  <c r="O243" i="14"/>
  <c r="O250" i="14"/>
  <c r="O257" i="14"/>
  <c r="O261" i="14"/>
  <c r="O264" i="14"/>
  <c r="O267" i="14"/>
  <c r="O270" i="14"/>
  <c r="O273" i="14"/>
  <c r="O276" i="14"/>
  <c r="O279" i="14"/>
  <c r="O282" i="14"/>
  <c r="O285" i="14"/>
  <c r="O288" i="14"/>
  <c r="O291" i="14"/>
  <c r="O294" i="14"/>
  <c r="O297" i="14"/>
  <c r="O300" i="14"/>
  <c r="O303" i="14"/>
  <c r="O306" i="14"/>
  <c r="O309" i="14"/>
  <c r="O312" i="14"/>
  <c r="O315" i="14"/>
  <c r="O318" i="14"/>
  <c r="O321" i="14"/>
  <c r="O324" i="14"/>
  <c r="O327" i="14"/>
  <c r="O330" i="14"/>
  <c r="O333" i="14"/>
  <c r="O336" i="14"/>
  <c r="O339" i="14"/>
  <c r="O342" i="14"/>
  <c r="O345" i="14"/>
  <c r="O348" i="14"/>
  <c r="O351" i="14"/>
  <c r="O354" i="14"/>
  <c r="O357" i="14"/>
  <c r="O360" i="14"/>
  <c r="O363" i="14"/>
  <c r="O366" i="14"/>
  <c r="O369" i="14"/>
  <c r="O372" i="14"/>
  <c r="O375" i="14"/>
  <c r="O378" i="14"/>
  <c r="O381" i="14"/>
  <c r="O384" i="14"/>
  <c r="O387" i="14"/>
  <c r="O390" i="14"/>
  <c r="O393" i="14"/>
  <c r="O396" i="14"/>
  <c r="O399" i="14"/>
  <c r="O402" i="14"/>
  <c r="O405" i="14"/>
  <c r="O408" i="14"/>
  <c r="O411" i="14"/>
  <c r="O414" i="14"/>
  <c r="O417" i="14"/>
  <c r="O420" i="14"/>
  <c r="O423" i="14"/>
  <c r="O426" i="14"/>
  <c r="O429" i="14"/>
  <c r="O432" i="14"/>
  <c r="O435" i="14"/>
  <c r="O438" i="14"/>
  <c r="O441" i="14"/>
  <c r="O444" i="14"/>
  <c r="O447" i="14"/>
  <c r="O450" i="14"/>
  <c r="O453" i="14"/>
  <c r="O456" i="14"/>
  <c r="O459" i="14"/>
  <c r="O462" i="14"/>
  <c r="O465" i="14"/>
  <c r="O468" i="14"/>
  <c r="O471" i="14"/>
  <c r="O474" i="14"/>
  <c r="O477" i="14"/>
  <c r="O480" i="14"/>
  <c r="O483" i="14"/>
  <c r="O486" i="14"/>
  <c r="O489" i="14"/>
  <c r="O492" i="14"/>
  <c r="O495" i="14"/>
  <c r="O498" i="14"/>
  <c r="O501" i="14"/>
  <c r="O504" i="14"/>
  <c r="O507" i="14"/>
  <c r="O510" i="14"/>
  <c r="O513" i="14"/>
  <c r="O516" i="14"/>
  <c r="O519" i="14"/>
  <c r="O522" i="14"/>
  <c r="O525" i="14"/>
  <c r="O528" i="14"/>
  <c r="O531" i="14"/>
  <c r="O534" i="14"/>
  <c r="O537" i="14"/>
  <c r="O540" i="14"/>
  <c r="O543" i="14"/>
  <c r="O546" i="14"/>
  <c r="O549" i="14"/>
  <c r="O552" i="14"/>
  <c r="O555" i="14"/>
  <c r="O558" i="14"/>
  <c r="O18" i="14"/>
  <c r="O22" i="14"/>
  <c r="O26" i="14"/>
  <c r="O31" i="14"/>
  <c r="O35" i="14"/>
  <c r="O48" i="14"/>
  <c r="O57" i="14"/>
  <c r="O61" i="14"/>
  <c r="O65" i="14"/>
  <c r="O74" i="14"/>
  <c r="O87" i="14"/>
  <c r="O91" i="14"/>
  <c r="O96" i="14"/>
  <c r="O100" i="14"/>
  <c r="O104" i="14"/>
  <c r="O126" i="14"/>
  <c r="O130" i="14"/>
  <c r="O134" i="14"/>
  <c r="O139" i="14"/>
  <c r="O143" i="14"/>
  <c r="O156" i="14"/>
  <c r="O165" i="14"/>
  <c r="O169" i="14"/>
  <c r="O173" i="14"/>
  <c r="O182" i="14"/>
  <c r="O195" i="14"/>
  <c r="O199" i="14"/>
  <c r="O204" i="14"/>
  <c r="O208" i="14"/>
  <c r="O212" i="14"/>
  <c r="O234" i="14"/>
  <c r="O238" i="14"/>
  <c r="O242" i="14"/>
  <c r="O247" i="14"/>
  <c r="O251" i="14"/>
  <c r="O271" i="14"/>
  <c r="O278" i="14"/>
  <c r="O289" i="14"/>
  <c r="O296" i="14"/>
  <c r="O307" i="14"/>
  <c r="O314" i="14"/>
  <c r="O325" i="14"/>
  <c r="O332" i="14"/>
  <c r="O343" i="14"/>
  <c r="O350" i="14"/>
  <c r="O361" i="14"/>
  <c r="O368" i="14"/>
  <c r="O379" i="14"/>
  <c r="O386" i="14"/>
  <c r="O397" i="14"/>
  <c r="O404" i="14"/>
  <c r="O415" i="14"/>
  <c r="O422" i="14"/>
  <c r="O433" i="14"/>
  <c r="O440" i="14"/>
  <c r="O451" i="14"/>
  <c r="O458" i="14"/>
  <c r="O469" i="14"/>
  <c r="O476" i="14"/>
  <c r="O487" i="14"/>
  <c r="O494" i="14"/>
  <c r="O505" i="14"/>
  <c r="O512" i="14"/>
  <c r="O523" i="14"/>
  <c r="O530" i="14"/>
  <c r="O541" i="14"/>
  <c r="O548" i="14"/>
  <c r="O559" i="14"/>
  <c r="O562" i="14"/>
  <c r="O565" i="14"/>
  <c r="O568" i="14"/>
  <c r="O571" i="14"/>
  <c r="O574" i="14"/>
  <c r="O577" i="14"/>
  <c r="O580" i="14"/>
  <c r="O583" i="14"/>
  <c r="O586" i="14"/>
  <c r="O589" i="14"/>
  <c r="O592" i="14"/>
  <c r="O595" i="14"/>
  <c r="O598" i="14"/>
  <c r="O601" i="14"/>
  <c r="O604" i="14"/>
  <c r="O607" i="14"/>
  <c r="O610" i="14"/>
  <c r="O613" i="14"/>
  <c r="O616" i="14"/>
  <c r="O619" i="14"/>
  <c r="O622" i="14"/>
  <c r="O625" i="14"/>
  <c r="O628" i="14"/>
  <c r="O631" i="14"/>
  <c r="O634" i="14"/>
  <c r="O637" i="14"/>
  <c r="O640" i="14"/>
  <c r="O643" i="14"/>
  <c r="O646" i="14"/>
  <c r="O649" i="14"/>
  <c r="O652" i="14"/>
  <c r="O655" i="14"/>
  <c r="O658" i="14"/>
  <c r="O661" i="14"/>
  <c r="O664" i="14"/>
  <c r="O667" i="14"/>
  <c r="O670" i="14"/>
  <c r="O673" i="14"/>
  <c r="O676" i="14"/>
  <c r="O679" i="14"/>
  <c r="O682" i="14"/>
  <c r="O685" i="14"/>
  <c r="O688" i="14"/>
  <c r="O691" i="14"/>
  <c r="O694" i="14"/>
  <c r="O697" i="14"/>
  <c r="O700" i="14"/>
  <c r="O703" i="14"/>
  <c r="O706" i="14"/>
  <c r="O709" i="14"/>
  <c r="O712" i="14"/>
  <c r="O715" i="14"/>
  <c r="O718" i="14"/>
  <c r="O721" i="14"/>
  <c r="O724" i="14"/>
  <c r="O727" i="14"/>
  <c r="O730" i="14"/>
  <c r="O733" i="14"/>
  <c r="O736" i="14"/>
  <c r="O14" i="14"/>
  <c r="O36" i="14"/>
  <c r="O44" i="14"/>
  <c r="O53" i="14"/>
  <c r="O79" i="14"/>
  <c r="O114" i="14"/>
  <c r="O122" i="14"/>
  <c r="O148" i="14"/>
  <c r="O157" i="14"/>
  <c r="O187" i="14"/>
  <c r="O222" i="14"/>
  <c r="O230" i="14"/>
  <c r="O256" i="14"/>
  <c r="O293" i="14"/>
  <c r="O322" i="14"/>
  <c r="O329" i="14"/>
  <c r="O340" i="14"/>
  <c r="O347" i="14"/>
  <c r="O376" i="14"/>
  <c r="O383" i="14"/>
  <c r="O401" i="14"/>
  <c r="O412" i="14"/>
  <c r="O419" i="14"/>
  <c r="O448" i="14"/>
  <c r="O455" i="14"/>
  <c r="O484" i="14"/>
  <c r="O491" i="14"/>
  <c r="O520" i="14"/>
  <c r="O527" i="14"/>
  <c r="O545" i="14"/>
  <c r="O8" i="14"/>
  <c r="O10" i="14"/>
  <c r="O40" i="14"/>
  <c r="O49" i="14"/>
  <c r="O66" i="14"/>
  <c r="O75" i="14"/>
  <c r="O83" i="14"/>
  <c r="O92" i="14"/>
  <c r="O105" i="14"/>
  <c r="O109" i="14"/>
  <c r="O118" i="14"/>
  <c r="O144" i="14"/>
  <c r="O152" i="14"/>
  <c r="O161" i="14"/>
  <c r="O174" i="14"/>
  <c r="O183" i="14"/>
  <c r="O191" i="14"/>
  <c r="O200" i="14"/>
  <c r="O213" i="14"/>
  <c r="O217" i="14"/>
  <c r="O226" i="14"/>
  <c r="O252" i="14"/>
  <c r="O260" i="14"/>
  <c r="O268" i="14"/>
  <c r="O275" i="14"/>
  <c r="O286" i="14"/>
  <c r="O304" i="14"/>
  <c r="O311" i="14"/>
  <c r="O358" i="14"/>
  <c r="O365" i="14"/>
  <c r="O394" i="14"/>
  <c r="O430" i="14"/>
  <c r="O437" i="14"/>
  <c r="O466" i="14"/>
  <c r="O473" i="14"/>
  <c r="O502" i="14"/>
  <c r="O509" i="14"/>
  <c r="O538" i="14"/>
  <c r="O556" i="14"/>
  <c r="O734" i="14"/>
  <c r="O710" i="14"/>
  <c r="O686" i="14"/>
  <c r="O662" i="14"/>
  <c r="O638" i="14"/>
  <c r="O614" i="14"/>
  <c r="O590" i="14"/>
  <c r="O566" i="14"/>
  <c r="O490" i="14"/>
  <c r="O481" i="14"/>
  <c r="O461" i="14"/>
  <c r="O452" i="14"/>
  <c r="O346" i="14"/>
  <c r="O337" i="14"/>
  <c r="O317" i="14"/>
  <c r="O514" i="14"/>
  <c r="O485" i="14"/>
  <c r="O370" i="14"/>
  <c r="O341" i="14"/>
  <c r="O280" i="14"/>
  <c r="O269" i="14"/>
  <c r="O258" i="14"/>
  <c r="O219" i="14"/>
  <c r="O193" i="14"/>
  <c r="O180" i="14"/>
  <c r="O154" i="14"/>
  <c r="O121" i="14"/>
  <c r="O115" i="14"/>
  <c r="O102" i="14"/>
  <c r="O89" i="14"/>
  <c r="O76" i="14"/>
  <c r="O69" i="14"/>
  <c r="O56" i="14"/>
  <c r="O43" i="14"/>
  <c r="O37" i="14"/>
  <c r="O30" i="14"/>
  <c r="O17" i="14"/>
  <c r="Q8" i="14"/>
  <c r="Q11" i="14"/>
  <c r="Q14" i="14"/>
  <c r="Q17" i="14"/>
  <c r="Q20" i="14"/>
  <c r="Q23" i="14"/>
  <c r="Q26" i="14"/>
  <c r="Q29" i="14"/>
  <c r="Q32" i="14"/>
  <c r="Q35" i="14"/>
  <c r="Q38" i="14"/>
  <c r="Q41" i="14"/>
  <c r="Q44" i="14"/>
  <c r="Q47" i="14"/>
  <c r="Q50" i="14"/>
  <c r="Q53" i="14"/>
  <c r="Q56" i="14"/>
  <c r="Q59" i="14"/>
  <c r="Q62" i="14"/>
  <c r="Q65" i="14"/>
  <c r="Q68" i="14"/>
  <c r="Q71" i="14"/>
  <c r="Q74" i="14"/>
  <c r="Q77" i="14"/>
  <c r="Q80" i="14"/>
  <c r="Q83" i="14"/>
  <c r="Q86" i="14"/>
  <c r="Q89" i="14"/>
  <c r="Q92" i="14"/>
  <c r="Q95" i="14"/>
  <c r="Q98" i="14"/>
  <c r="Q101" i="14"/>
  <c r="Q104" i="14"/>
  <c r="Q107" i="14"/>
  <c r="Q110" i="14"/>
  <c r="Q113" i="14"/>
  <c r="Q116" i="14"/>
  <c r="Q119" i="14"/>
  <c r="Q122" i="14"/>
  <c r="Q125" i="14"/>
  <c r="Q128" i="14"/>
  <c r="Q131" i="14"/>
  <c r="Q134" i="14"/>
  <c r="Q137" i="14"/>
  <c r="Q140" i="14"/>
  <c r="Q143" i="14"/>
  <c r="Q146" i="14"/>
  <c r="Q149" i="14"/>
  <c r="Q152" i="14"/>
  <c r="Q155" i="14"/>
  <c r="Q158" i="14"/>
  <c r="Q161" i="14"/>
  <c r="Q164" i="14"/>
  <c r="Q167" i="14"/>
  <c r="Q170" i="14"/>
  <c r="Q173" i="14"/>
  <c r="Q176" i="14"/>
  <c r="Q179" i="14"/>
  <c r="Q182" i="14"/>
  <c r="Q185" i="14"/>
  <c r="Q188" i="14"/>
  <c r="Q191" i="14"/>
  <c r="Q194" i="14"/>
  <c r="Q197" i="14"/>
  <c r="Q200" i="14"/>
  <c r="Q203" i="14"/>
  <c r="Q206" i="14"/>
  <c r="Q209" i="14"/>
  <c r="Q212" i="14"/>
  <c r="Q215" i="14"/>
  <c r="Q218" i="14"/>
  <c r="Q221" i="14"/>
  <c r="Q224" i="14"/>
  <c r="Q227" i="14"/>
  <c r="Q230" i="14"/>
  <c r="Q233" i="14"/>
  <c r="Q236" i="14"/>
  <c r="Q239" i="14"/>
  <c r="Q242" i="14"/>
  <c r="Q245" i="14"/>
  <c r="Q248" i="14"/>
  <c r="Q251" i="14"/>
  <c r="Q254" i="14"/>
  <c r="Q257" i="14"/>
  <c r="Q260" i="14"/>
  <c r="Q12" i="14"/>
  <c r="Q19" i="14"/>
  <c r="Q30" i="14"/>
  <c r="Q37" i="14"/>
  <c r="Q48" i="14"/>
  <c r="Q55" i="14"/>
  <c r="Q66" i="14"/>
  <c r="Q73" i="14"/>
  <c r="Q84" i="14"/>
  <c r="Q91" i="14"/>
  <c r="Q102" i="14"/>
  <c r="Q109" i="14"/>
  <c r="Q120" i="14"/>
  <c r="Q127" i="14"/>
  <c r="Q138" i="14"/>
  <c r="Q145" i="14"/>
  <c r="Q156" i="14"/>
  <c r="Q163" i="14"/>
  <c r="Q174" i="14"/>
  <c r="Q181" i="14"/>
  <c r="Q192" i="14"/>
  <c r="Q199" i="14"/>
  <c r="Q210" i="14"/>
  <c r="Q217" i="14"/>
  <c r="Q228" i="14"/>
  <c r="Q235" i="14"/>
  <c r="Q246" i="14"/>
  <c r="Q253" i="14"/>
  <c r="Q9" i="14"/>
  <c r="Q13" i="14"/>
  <c r="Q39" i="14"/>
  <c r="Q43" i="14"/>
  <c r="Q52" i="14"/>
  <c r="Q69" i="14"/>
  <c r="Q78" i="14"/>
  <c r="Q82" i="14"/>
  <c r="Q108" i="14"/>
  <c r="Q112" i="14"/>
  <c r="Q117" i="14"/>
  <c r="Q121" i="14"/>
  <c r="Q147" i="14"/>
  <c r="Q151" i="14"/>
  <c r="Q160" i="14"/>
  <c r="Q177" i="14"/>
  <c r="Q186" i="14"/>
  <c r="Q190" i="14"/>
  <c r="Q216" i="14"/>
  <c r="Q220" i="14"/>
  <c r="Q225" i="14"/>
  <c r="Q229" i="14"/>
  <c r="Q255" i="14"/>
  <c r="Q259" i="14"/>
  <c r="Q263" i="14"/>
  <c r="Q267" i="14"/>
  <c r="Q274" i="14"/>
  <c r="Q281" i="14"/>
  <c r="Q285" i="14"/>
  <c r="Q292" i="14"/>
  <c r="Q299" i="14"/>
  <c r="Q303" i="14"/>
  <c r="Q310" i="14"/>
  <c r="Q317" i="14"/>
  <c r="Q321" i="14"/>
  <c r="Q328" i="14"/>
  <c r="Q335" i="14"/>
  <c r="Q339" i="14"/>
  <c r="Q346" i="14"/>
  <c r="Q353" i="14"/>
  <c r="Q357" i="14"/>
  <c r="Q364" i="14"/>
  <c r="Q371" i="14"/>
  <c r="Q375" i="14"/>
  <c r="Q382" i="14"/>
  <c r="Q389" i="14"/>
  <c r="Q393" i="14"/>
  <c r="Q400" i="14"/>
  <c r="Q407" i="14"/>
  <c r="Q411" i="14"/>
  <c r="Q418" i="14"/>
  <c r="Q425" i="14"/>
  <c r="Q429" i="14"/>
  <c r="Q436" i="14"/>
  <c r="Q443" i="14"/>
  <c r="Q447" i="14"/>
  <c r="Q454" i="14"/>
  <c r="Q461" i="14"/>
  <c r="Q465" i="14"/>
  <c r="Q472" i="14"/>
  <c r="Q479" i="14"/>
  <c r="Q483" i="14"/>
  <c r="Q490" i="14"/>
  <c r="Q497" i="14"/>
  <c r="Q501" i="14"/>
  <c r="Q508" i="14"/>
  <c r="Q515" i="14"/>
  <c r="Q519" i="14"/>
  <c r="Q526" i="14"/>
  <c r="Q533" i="14"/>
  <c r="Q537" i="14"/>
  <c r="Q544" i="14"/>
  <c r="Q551" i="14"/>
  <c r="Q555" i="14"/>
  <c r="Q18" i="14"/>
  <c r="Q61" i="14"/>
  <c r="Q87" i="14"/>
  <c r="Q96" i="14"/>
  <c r="Q130" i="14"/>
  <c r="Q139" i="14"/>
  <c r="Q169" i="14"/>
  <c r="Q178" i="14"/>
  <c r="Q195" i="14"/>
  <c r="Q208" i="14"/>
  <c r="Q238" i="14"/>
  <c r="Q247" i="14"/>
  <c r="Q264" i="14"/>
  <c r="Q271" i="14"/>
  <c r="Q278" i="14"/>
  <c r="Q282" i="14"/>
  <c r="Q300" i="14"/>
  <c r="Q307" i="14"/>
  <c r="Q314" i="14"/>
  <c r="Q336" i="14"/>
  <c r="Q354" i="14"/>
  <c r="Q361" i="14"/>
  <c r="Q368" i="14"/>
  <c r="Q390" i="14"/>
  <c r="Q404" i="14"/>
  <c r="Q415" i="14"/>
  <c r="Q426" i="14"/>
  <c r="Q433" i="14"/>
  <c r="Q440" i="14"/>
  <c r="Q462" i="14"/>
  <c r="Q469" i="14"/>
  <c r="Q476" i="14"/>
  <c r="Q498" i="14"/>
  <c r="Q505" i="14"/>
  <c r="Q512" i="14"/>
  <c r="Q534" i="14"/>
  <c r="Q541" i="14"/>
  <c r="Q552" i="14"/>
  <c r="Q559" i="14"/>
  <c r="Q565" i="14"/>
  <c r="Q571" i="14"/>
  <c r="Q577" i="14"/>
  <c r="Q583" i="14"/>
  <c r="Q589" i="14"/>
  <c r="Q595" i="14"/>
  <c r="Q601" i="14"/>
  <c r="Q607" i="14"/>
  <c r="Q613" i="14"/>
  <c r="Q619" i="14"/>
  <c r="Q625" i="14"/>
  <c r="Q631" i="14"/>
  <c r="Q637" i="14"/>
  <c r="Q643" i="14"/>
  <c r="Q649" i="14"/>
  <c r="Q655" i="14"/>
  <c r="Q661" i="14"/>
  <c r="Q667" i="14"/>
  <c r="Q673" i="14"/>
  <c r="Q679" i="14"/>
  <c r="Q685" i="14"/>
  <c r="Q691" i="14"/>
  <c r="Q697" i="14"/>
  <c r="Q703" i="14"/>
  <c r="Q709" i="14"/>
  <c r="Q715" i="14"/>
  <c r="Q721" i="14"/>
  <c r="Q727" i="14"/>
  <c r="Q733" i="14"/>
  <c r="Q736" i="14"/>
  <c r="Q22" i="14"/>
  <c r="Q27" i="14"/>
  <c r="Q31" i="14"/>
  <c r="Q57" i="14"/>
  <c r="Q70" i="14"/>
  <c r="Q100" i="14"/>
  <c r="Q126" i="14"/>
  <c r="Q135" i="14"/>
  <c r="Q165" i="14"/>
  <c r="Q204" i="14"/>
  <c r="Q234" i="14"/>
  <c r="Q243" i="14"/>
  <c r="Q289" i="14"/>
  <c r="Q296" i="14"/>
  <c r="Q318" i="14"/>
  <c r="Q325" i="14"/>
  <c r="Q332" i="14"/>
  <c r="Q343" i="14"/>
  <c r="Q350" i="14"/>
  <c r="Q372" i="14"/>
  <c r="Q379" i="14"/>
  <c r="Q386" i="14"/>
  <c r="Q397" i="14"/>
  <c r="Q408" i="14"/>
  <c r="Q422" i="14"/>
  <c r="Q444" i="14"/>
  <c r="Q451" i="14"/>
  <c r="Q458" i="14"/>
  <c r="Q480" i="14"/>
  <c r="Q487" i="14"/>
  <c r="Q494" i="14"/>
  <c r="Q516" i="14"/>
  <c r="Q523" i="14"/>
  <c r="Q530" i="14"/>
  <c r="Q548" i="14"/>
  <c r="Q562" i="14"/>
  <c r="Q568" i="14"/>
  <c r="Q574" i="14"/>
  <c r="Q580" i="14"/>
  <c r="Q586" i="14"/>
  <c r="Q592" i="14"/>
  <c r="Q598" i="14"/>
  <c r="Q604" i="14"/>
  <c r="Q610" i="14"/>
  <c r="Q616" i="14"/>
  <c r="Q622" i="14"/>
  <c r="Q628" i="14"/>
  <c r="Q634" i="14"/>
  <c r="Q640" i="14"/>
  <c r="Q646" i="14"/>
  <c r="Q652" i="14"/>
  <c r="Q658" i="14"/>
  <c r="Q664" i="14"/>
  <c r="Q670" i="14"/>
  <c r="Q676" i="14"/>
  <c r="Q682" i="14"/>
  <c r="Q688" i="14"/>
  <c r="Q694" i="14"/>
  <c r="Q700" i="14"/>
  <c r="Q706" i="14"/>
  <c r="Q712" i="14"/>
  <c r="Q718" i="14"/>
  <c r="Q724" i="14"/>
  <c r="Q730" i="14"/>
  <c r="O737" i="14"/>
  <c r="Q732" i="14"/>
  <c r="R728" i="14"/>
  <c r="O725" i="14"/>
  <c r="Q720" i="14"/>
  <c r="R716" i="14"/>
  <c r="O713" i="14"/>
  <c r="Q708" i="14"/>
  <c r="R704" i="14"/>
  <c r="O701" i="14"/>
  <c r="Q696" i="14"/>
  <c r="R692" i="14"/>
  <c r="O689" i="14"/>
  <c r="Q684" i="14"/>
  <c r="R680" i="14"/>
  <c r="O677" i="14"/>
  <c r="Q672" i="14"/>
  <c r="R668" i="14"/>
  <c r="O665" i="14"/>
  <c r="Q660" i="14"/>
  <c r="R656" i="14"/>
  <c r="O653" i="14"/>
  <c r="Q648" i="14"/>
  <c r="R644" i="14"/>
  <c r="O641" i="14"/>
  <c r="Q636" i="14"/>
  <c r="R632" i="14"/>
  <c r="O629" i="14"/>
  <c r="Q624" i="14"/>
  <c r="R620" i="14"/>
  <c r="O617" i="14"/>
  <c r="Q612" i="14"/>
  <c r="R608" i="14"/>
  <c r="O605" i="14"/>
  <c r="Q600" i="14"/>
  <c r="R596" i="14"/>
  <c r="O593" i="14"/>
  <c r="Q588" i="14"/>
  <c r="R584" i="14"/>
  <c r="O581" i="14"/>
  <c r="Q576" i="14"/>
  <c r="R572" i="14"/>
  <c r="O569" i="14"/>
  <c r="Q564" i="14"/>
  <c r="R560" i="14"/>
  <c r="Q556" i="14"/>
  <c r="O551" i="14"/>
  <c r="R546" i="14"/>
  <c r="O542" i="14"/>
  <c r="Q536" i="14"/>
  <c r="Q527" i="14"/>
  <c r="Q522" i="14"/>
  <c r="R517" i="14"/>
  <c r="Q513" i="14"/>
  <c r="O508" i="14"/>
  <c r="O499" i="14"/>
  <c r="Q493" i="14"/>
  <c r="R488" i="14"/>
  <c r="Q484" i="14"/>
  <c r="O479" i="14"/>
  <c r="R474" i="14"/>
  <c r="O470" i="14"/>
  <c r="Q464" i="14"/>
  <c r="Q455" i="14"/>
  <c r="Q450" i="14"/>
  <c r="R445" i="14"/>
  <c r="Q441" i="14"/>
  <c r="O436" i="14"/>
  <c r="O427" i="14"/>
  <c r="Q421" i="14"/>
  <c r="R416" i="14"/>
  <c r="Q412" i="14"/>
  <c r="O407" i="14"/>
  <c r="R402" i="14"/>
  <c r="O398" i="14"/>
  <c r="Q392" i="14"/>
  <c r="Q383" i="14"/>
  <c r="Q378" i="14"/>
  <c r="R373" i="14"/>
  <c r="Q369" i="14"/>
  <c r="O364" i="14"/>
  <c r="O355" i="14"/>
  <c r="Q349" i="14"/>
  <c r="R344" i="14"/>
  <c r="Q340" i="14"/>
  <c r="O335" i="14"/>
  <c r="R330" i="14"/>
  <c r="O326" i="14"/>
  <c r="Q320" i="14"/>
  <c r="Q311" i="14"/>
  <c r="Q305" i="14"/>
  <c r="O301" i="14"/>
  <c r="O295" i="14"/>
  <c r="O290" i="14"/>
  <c r="O284" i="14"/>
  <c r="Q279" i="14"/>
  <c r="Q273" i="14"/>
  <c r="Q268" i="14"/>
  <c r="Q262" i="14"/>
  <c r="Q256" i="14"/>
  <c r="Q249" i="14"/>
  <c r="O244" i="14"/>
  <c r="O237" i="14"/>
  <c r="O231" i="14"/>
  <c r="Q223" i="14"/>
  <c r="O218" i="14"/>
  <c r="O211" i="14"/>
  <c r="O205" i="14"/>
  <c r="O198" i="14"/>
  <c r="O192" i="14"/>
  <c r="Q184" i="14"/>
  <c r="O179" i="14"/>
  <c r="O172" i="14"/>
  <c r="O166" i="14"/>
  <c r="O159" i="14"/>
  <c r="Q153" i="14"/>
  <c r="O146" i="14"/>
  <c r="O140" i="14"/>
  <c r="O133" i="14"/>
  <c r="O127" i="14"/>
  <c r="O120" i="14"/>
  <c r="Q114" i="14"/>
  <c r="O107" i="14"/>
  <c r="O101" i="14"/>
  <c r="O94" i="14"/>
  <c r="Q88" i="14"/>
  <c r="Q81" i="14"/>
  <c r="Q75" i="14"/>
  <c r="O68" i="14"/>
  <c r="O62" i="14"/>
  <c r="O55" i="14"/>
  <c r="Q49" i="14"/>
  <c r="Q42" i="14"/>
  <c r="Q36" i="14"/>
  <c r="O29" i="14"/>
  <c r="O24" i="14"/>
  <c r="Q16" i="14"/>
  <c r="Q10" i="14"/>
  <c r="AP3" i="11" l="1"/>
  <c r="AQ3" i="11"/>
  <c r="AR3" i="11"/>
  <c r="AS3" i="11"/>
  <c r="AP4" i="11"/>
  <c r="AQ4" i="11"/>
  <c r="AR4" i="11"/>
  <c r="AS4" i="11"/>
  <c r="AP5" i="11"/>
  <c r="AQ5" i="11"/>
  <c r="AR5" i="11"/>
  <c r="AS5" i="11"/>
  <c r="AP6" i="11"/>
  <c r="AQ6" i="11"/>
  <c r="AR6" i="11"/>
  <c r="AS6" i="11"/>
  <c r="AP7" i="11"/>
  <c r="AQ7" i="11"/>
  <c r="AR7" i="11"/>
  <c r="AS7" i="11"/>
  <c r="AP8" i="11"/>
  <c r="AQ8" i="11"/>
  <c r="AR8" i="11"/>
  <c r="AS8" i="11"/>
  <c r="AP9" i="11"/>
  <c r="AQ9" i="11"/>
  <c r="AR9" i="11"/>
  <c r="AS9" i="11"/>
  <c r="AP10" i="11"/>
  <c r="AQ10" i="11"/>
  <c r="AR10" i="11"/>
  <c r="AS10" i="11"/>
  <c r="AP11" i="11"/>
  <c r="AQ11" i="11"/>
  <c r="AR11" i="11"/>
  <c r="AS11" i="11"/>
  <c r="AP12" i="11"/>
  <c r="AQ12" i="11"/>
  <c r="AR12" i="11"/>
  <c r="AS12" i="11"/>
  <c r="AP13" i="11"/>
  <c r="AQ13" i="11"/>
  <c r="AR13" i="11"/>
  <c r="AS13" i="11"/>
  <c r="AP14" i="11"/>
  <c r="AQ14" i="11"/>
  <c r="AR14" i="11"/>
  <c r="AS14" i="11"/>
  <c r="AP15" i="11"/>
  <c r="AQ15" i="11"/>
  <c r="AR15" i="11"/>
  <c r="AS15" i="11"/>
  <c r="AP16" i="11"/>
  <c r="AQ16" i="11"/>
  <c r="AR16" i="11"/>
  <c r="AS16" i="11"/>
  <c r="AP17" i="11"/>
  <c r="AQ17" i="11"/>
  <c r="AR17" i="11"/>
  <c r="AS17" i="11"/>
  <c r="AP18" i="11"/>
  <c r="AQ18" i="11"/>
  <c r="AR18" i="11"/>
  <c r="AS18" i="11"/>
  <c r="AP19" i="11"/>
  <c r="AQ19" i="11"/>
  <c r="AR19" i="11"/>
  <c r="AS19" i="11"/>
  <c r="AP20" i="11"/>
  <c r="AQ20" i="11"/>
  <c r="AR20" i="11"/>
  <c r="AS20" i="11"/>
  <c r="AP21" i="11"/>
  <c r="AQ21" i="11"/>
  <c r="AR21" i="11"/>
  <c r="AS21" i="11"/>
  <c r="AP22" i="11"/>
  <c r="AQ22" i="11"/>
  <c r="AR22" i="11"/>
  <c r="AS22" i="11"/>
  <c r="AP23" i="11"/>
  <c r="AQ23" i="11"/>
  <c r="AR23" i="11"/>
  <c r="AS23" i="11"/>
  <c r="AP24" i="11"/>
  <c r="AQ24" i="11"/>
  <c r="AR24" i="11"/>
  <c r="AS24" i="11"/>
  <c r="AP25" i="11"/>
  <c r="AQ25" i="11"/>
  <c r="AR25" i="11"/>
  <c r="AS25" i="11"/>
  <c r="AP26" i="11"/>
  <c r="AQ26" i="11"/>
  <c r="AR26" i="11"/>
  <c r="AS26" i="11"/>
  <c r="AP27" i="11"/>
  <c r="AQ27" i="11"/>
  <c r="AR27" i="11"/>
  <c r="AS27" i="11"/>
  <c r="AP28" i="11"/>
  <c r="AQ28" i="11"/>
  <c r="AR28" i="11"/>
  <c r="AS28" i="11"/>
  <c r="AP29" i="11"/>
  <c r="AQ29" i="11"/>
  <c r="AR29" i="11"/>
  <c r="AS29" i="11"/>
  <c r="AP30" i="11"/>
  <c r="AQ30" i="11"/>
  <c r="AR30" i="11"/>
  <c r="AS30" i="11"/>
  <c r="AP31" i="11"/>
  <c r="AQ31" i="11"/>
  <c r="AR31" i="11"/>
  <c r="AS31" i="11"/>
  <c r="AP32" i="11"/>
  <c r="AQ32" i="11"/>
  <c r="AR32" i="11"/>
  <c r="AS32" i="11"/>
  <c r="AP33" i="11"/>
  <c r="AQ33" i="11"/>
  <c r="AR33" i="11"/>
  <c r="AS33" i="11"/>
  <c r="AP34" i="11"/>
  <c r="AQ34" i="11"/>
  <c r="AR34" i="11"/>
  <c r="AS34" i="11"/>
  <c r="AP35" i="11"/>
  <c r="AQ35" i="11"/>
  <c r="AR35" i="11"/>
  <c r="AS35" i="11"/>
  <c r="AP36" i="11"/>
  <c r="AQ36" i="11"/>
  <c r="AR36" i="11"/>
  <c r="AS36" i="11"/>
  <c r="AP37" i="11"/>
  <c r="AQ37" i="11"/>
  <c r="AR37" i="11"/>
  <c r="AS37" i="11"/>
  <c r="AP38" i="11"/>
  <c r="AQ38" i="11"/>
  <c r="AR38" i="11"/>
  <c r="AS38" i="11"/>
  <c r="AP39" i="11"/>
  <c r="AQ39" i="11"/>
  <c r="AR39" i="11"/>
  <c r="AS39" i="11"/>
  <c r="AP40" i="11"/>
  <c r="AQ40" i="11"/>
  <c r="AR40" i="11"/>
  <c r="AS40" i="11"/>
  <c r="AP41" i="11"/>
  <c r="AQ41" i="11"/>
  <c r="AR41" i="11"/>
  <c r="AS41" i="11"/>
  <c r="AP42" i="11"/>
  <c r="AQ42" i="11"/>
  <c r="AR42" i="11"/>
  <c r="AS42" i="11"/>
  <c r="AP43" i="11"/>
  <c r="AQ43" i="11"/>
  <c r="AR43" i="11"/>
  <c r="AS43" i="11"/>
  <c r="AP44" i="11"/>
  <c r="AQ44" i="11"/>
  <c r="AR44" i="11"/>
  <c r="AS44" i="11"/>
  <c r="AP45" i="11"/>
  <c r="AQ45" i="11"/>
  <c r="AR45" i="11"/>
  <c r="AS45" i="11"/>
  <c r="AP46" i="11"/>
  <c r="AQ46" i="11"/>
  <c r="AR46" i="11"/>
  <c r="AS46" i="11"/>
  <c r="AP47" i="11"/>
  <c r="AQ47" i="11"/>
  <c r="AR47" i="11"/>
  <c r="AS47" i="11"/>
  <c r="AP48" i="11"/>
  <c r="AQ48" i="11"/>
  <c r="AR48" i="11"/>
  <c r="AS48" i="11"/>
  <c r="AP49" i="11"/>
  <c r="AQ49" i="11"/>
  <c r="AR49" i="11"/>
  <c r="AS49" i="11"/>
  <c r="AP50" i="11"/>
  <c r="AQ50" i="11"/>
  <c r="AR50" i="11"/>
  <c r="AS50" i="11"/>
  <c r="AP51" i="11"/>
  <c r="AQ51" i="11"/>
  <c r="AR51" i="11"/>
  <c r="AS51" i="11"/>
  <c r="AP52" i="11"/>
  <c r="AQ52" i="11"/>
  <c r="AR52" i="11"/>
  <c r="AS52" i="11"/>
  <c r="AP53" i="11"/>
  <c r="AQ53" i="11"/>
  <c r="AR53" i="11"/>
  <c r="AS53" i="11"/>
  <c r="AP54" i="11"/>
  <c r="AQ54" i="11"/>
  <c r="AR54" i="11"/>
  <c r="AS54" i="11"/>
  <c r="AP55" i="11"/>
  <c r="AQ55" i="11"/>
  <c r="AR55" i="11"/>
  <c r="AS55" i="11"/>
  <c r="AP56" i="11"/>
  <c r="AQ56" i="11"/>
  <c r="AR56" i="11"/>
  <c r="AS56" i="11"/>
  <c r="AP57" i="11"/>
  <c r="AQ57" i="11"/>
  <c r="AR57" i="11"/>
  <c r="AS57" i="11"/>
  <c r="AP58" i="11"/>
  <c r="AQ58" i="11"/>
  <c r="AR58" i="11"/>
  <c r="AS58" i="11"/>
  <c r="AP59" i="11"/>
  <c r="AQ59" i="11"/>
  <c r="AR59" i="11"/>
  <c r="AS59" i="11"/>
  <c r="AP60" i="11"/>
  <c r="AQ60" i="11"/>
  <c r="AR60" i="11"/>
  <c r="AS60" i="11"/>
  <c r="AP61" i="11"/>
  <c r="AQ61" i="11"/>
  <c r="AR61" i="11"/>
  <c r="AS61" i="11"/>
  <c r="AP62" i="11"/>
  <c r="AQ62" i="11"/>
  <c r="AR62" i="11"/>
  <c r="AS62" i="11"/>
  <c r="AP63" i="11"/>
  <c r="AQ63" i="11"/>
  <c r="AR63" i="11"/>
  <c r="AS63" i="11"/>
  <c r="AP64" i="11"/>
  <c r="AQ64" i="11"/>
  <c r="AR64" i="11"/>
  <c r="AS64" i="11"/>
  <c r="AP65" i="11"/>
  <c r="AQ65" i="11"/>
  <c r="AR65" i="11"/>
  <c r="AS65" i="11"/>
  <c r="AP66" i="11"/>
  <c r="AQ66" i="11"/>
  <c r="AR66" i="11"/>
  <c r="AS66" i="11"/>
  <c r="AP67" i="11"/>
  <c r="AQ67" i="11"/>
  <c r="AR67" i="11"/>
  <c r="AS67" i="11"/>
  <c r="AP68" i="11"/>
  <c r="AQ68" i="11"/>
  <c r="AR68" i="11"/>
  <c r="AS68" i="11"/>
  <c r="AP69" i="11"/>
  <c r="AQ69" i="11"/>
  <c r="AR69" i="11"/>
  <c r="AS69" i="11"/>
  <c r="AP70" i="11"/>
  <c r="AQ70" i="11"/>
  <c r="AR70" i="11"/>
  <c r="AS70" i="11"/>
  <c r="AP71" i="11"/>
  <c r="AQ71" i="11"/>
  <c r="AR71" i="11"/>
  <c r="AS71" i="11"/>
  <c r="AP72" i="11"/>
  <c r="AQ72" i="11"/>
  <c r="AR72" i="11"/>
  <c r="AS72" i="11"/>
  <c r="AP73" i="11"/>
  <c r="AQ73" i="11"/>
  <c r="AR73" i="11"/>
  <c r="AS73" i="11"/>
  <c r="AP74" i="11"/>
  <c r="AQ74" i="11"/>
  <c r="AR74" i="11"/>
  <c r="AS74" i="11"/>
  <c r="AP75" i="11"/>
  <c r="AQ75" i="11"/>
  <c r="AR75" i="11"/>
  <c r="AS75" i="11"/>
  <c r="AP76" i="11"/>
  <c r="AQ76" i="11"/>
  <c r="AR76" i="11"/>
  <c r="AS76" i="11"/>
  <c r="AP77" i="11"/>
  <c r="AQ77" i="11"/>
  <c r="AR77" i="11"/>
  <c r="AS77" i="11"/>
  <c r="AP78" i="11"/>
  <c r="AQ78" i="11"/>
  <c r="AR78" i="11"/>
  <c r="AS78" i="11"/>
  <c r="AP79" i="11"/>
  <c r="AQ79" i="11"/>
  <c r="AR79" i="11"/>
  <c r="AS79" i="11"/>
  <c r="AP80" i="11"/>
  <c r="AQ80" i="11"/>
  <c r="AR80" i="11"/>
  <c r="AS80" i="11"/>
  <c r="AP81" i="11"/>
  <c r="AQ81" i="11"/>
  <c r="AR81" i="11"/>
  <c r="AS81" i="11"/>
  <c r="AP82" i="11"/>
  <c r="AQ82" i="11"/>
  <c r="AR82" i="11"/>
  <c r="AS82" i="11"/>
  <c r="AP83" i="11"/>
  <c r="AQ83" i="11"/>
  <c r="AR83" i="11"/>
  <c r="AS83" i="11"/>
  <c r="AP84" i="11"/>
  <c r="AQ84" i="11"/>
  <c r="AR84" i="11"/>
  <c r="AS84" i="11"/>
  <c r="AP85" i="11"/>
  <c r="AQ85" i="11"/>
  <c r="AR85" i="11"/>
  <c r="AS85" i="11"/>
  <c r="AP86" i="11"/>
  <c r="AQ86" i="11"/>
  <c r="AR86" i="11"/>
  <c r="AS86" i="11"/>
  <c r="AP87" i="11"/>
  <c r="AQ87" i="11"/>
  <c r="AR87" i="11"/>
  <c r="AS87" i="11"/>
  <c r="AP88" i="11"/>
  <c r="AQ88" i="11"/>
  <c r="AR88" i="11"/>
  <c r="AS88" i="11"/>
  <c r="AP89" i="11"/>
  <c r="AQ89" i="11"/>
  <c r="AR89" i="11"/>
  <c r="AS89" i="11"/>
  <c r="AP90" i="11"/>
  <c r="AQ90" i="11"/>
  <c r="AR90" i="11"/>
  <c r="AS90" i="11"/>
  <c r="AP91" i="11"/>
  <c r="AQ91" i="11"/>
  <c r="AR91" i="11"/>
  <c r="AS91" i="11"/>
  <c r="AP92" i="11"/>
  <c r="AQ92" i="11"/>
  <c r="AR92" i="11"/>
  <c r="AS92" i="11"/>
  <c r="AP93" i="11"/>
  <c r="AQ93" i="11"/>
  <c r="AR93" i="11"/>
  <c r="AS93" i="11"/>
  <c r="AP94" i="11"/>
  <c r="AQ94" i="11"/>
  <c r="AR94" i="11"/>
  <c r="AS94" i="11"/>
  <c r="AP95" i="11"/>
  <c r="AQ95" i="11"/>
  <c r="AR95" i="11"/>
  <c r="AS95" i="11"/>
  <c r="AP96" i="11"/>
  <c r="AQ96" i="11"/>
  <c r="AR96" i="11"/>
  <c r="AS96" i="11"/>
  <c r="AP97" i="11"/>
  <c r="AQ97" i="11"/>
  <c r="AR97" i="11"/>
  <c r="AS97" i="11"/>
  <c r="AP98" i="11"/>
  <c r="AQ98" i="11"/>
  <c r="AR98" i="11"/>
  <c r="AS98" i="11"/>
  <c r="AP99" i="11"/>
  <c r="AQ99" i="11"/>
  <c r="AR99" i="11"/>
  <c r="AS99" i="11"/>
  <c r="AP100" i="11"/>
  <c r="AQ100" i="11"/>
  <c r="AR100" i="11"/>
  <c r="AS100" i="11"/>
  <c r="AP101" i="11"/>
  <c r="AQ101" i="11"/>
  <c r="AR101" i="11"/>
  <c r="AS101" i="11"/>
  <c r="AP102" i="11"/>
  <c r="AQ102" i="11"/>
  <c r="AR102" i="11"/>
  <c r="AS102" i="11"/>
  <c r="AP103" i="11"/>
  <c r="AQ103" i="11"/>
  <c r="AR103" i="11"/>
  <c r="AS103" i="11"/>
  <c r="AP104" i="11"/>
  <c r="AQ104" i="11"/>
  <c r="AR104" i="11"/>
  <c r="AS104" i="11"/>
  <c r="AP105" i="11"/>
  <c r="AQ105" i="11"/>
  <c r="AR105" i="11"/>
  <c r="AS105" i="11"/>
  <c r="AP106" i="11"/>
  <c r="AQ106" i="11"/>
  <c r="AR106" i="11"/>
  <c r="AS106" i="11"/>
  <c r="AP107" i="11"/>
  <c r="AQ107" i="11"/>
  <c r="AR107" i="11"/>
  <c r="AS107" i="11"/>
  <c r="AP108" i="11"/>
  <c r="AQ108" i="11"/>
  <c r="AR108" i="11"/>
  <c r="AS108" i="11"/>
  <c r="AP109" i="11"/>
  <c r="AQ109" i="11"/>
  <c r="AR109" i="11"/>
  <c r="AS109" i="11"/>
  <c r="AP110" i="11"/>
  <c r="AQ110" i="11"/>
  <c r="AR110" i="11"/>
  <c r="AS110" i="11"/>
  <c r="AP111" i="11"/>
  <c r="AQ111" i="11"/>
  <c r="AR111" i="11"/>
  <c r="AS111" i="11"/>
  <c r="AP112" i="11"/>
  <c r="AQ112" i="11"/>
  <c r="AR112" i="11"/>
  <c r="AS112" i="11"/>
  <c r="AP113" i="11"/>
  <c r="AQ113" i="11"/>
  <c r="AR113" i="11"/>
  <c r="AS113" i="11"/>
  <c r="AP114" i="11"/>
  <c r="AQ114" i="11"/>
  <c r="AR114" i="11"/>
  <c r="AS114" i="11"/>
  <c r="AP115" i="11"/>
  <c r="AQ115" i="11"/>
  <c r="AR115" i="11"/>
  <c r="AS115" i="11"/>
  <c r="AP116" i="11"/>
  <c r="AQ116" i="11"/>
  <c r="AR116" i="11"/>
  <c r="AS116" i="11"/>
  <c r="AP117" i="11"/>
  <c r="AQ117" i="11"/>
  <c r="AR117" i="11"/>
  <c r="AS117" i="11"/>
  <c r="AP118" i="11"/>
  <c r="AQ118" i="11"/>
  <c r="AR118" i="11"/>
  <c r="AS118" i="11"/>
  <c r="AP119" i="11"/>
  <c r="AQ119" i="11"/>
  <c r="AR119" i="11"/>
  <c r="AS119" i="11"/>
  <c r="AP120" i="11"/>
  <c r="AQ120" i="11"/>
  <c r="AR120" i="11"/>
  <c r="AS120" i="11"/>
  <c r="AP121" i="11"/>
  <c r="AQ121" i="11"/>
  <c r="AR121" i="11"/>
  <c r="AS121" i="11"/>
  <c r="AP122" i="11"/>
  <c r="AQ122" i="11"/>
  <c r="AR122" i="11"/>
  <c r="AS122" i="11"/>
  <c r="AP123" i="11"/>
  <c r="AQ123" i="11"/>
  <c r="AR123" i="11"/>
  <c r="AS123" i="11"/>
  <c r="AP124" i="11"/>
  <c r="AQ124" i="11"/>
  <c r="AR124" i="11"/>
  <c r="AS124" i="11"/>
  <c r="AP125" i="11"/>
  <c r="AQ125" i="11"/>
  <c r="AR125" i="11"/>
  <c r="AS125" i="11"/>
  <c r="AP126" i="11"/>
  <c r="AQ126" i="11"/>
  <c r="AR126" i="11"/>
  <c r="AS126" i="11"/>
  <c r="AP127" i="11"/>
  <c r="AQ127" i="11"/>
  <c r="AR127" i="11"/>
  <c r="AS127" i="11"/>
  <c r="AP128" i="11"/>
  <c r="AQ128" i="11"/>
  <c r="AR128" i="11"/>
  <c r="AS128" i="11"/>
  <c r="AP129" i="11"/>
  <c r="AQ129" i="11"/>
  <c r="AR129" i="11"/>
  <c r="AS129" i="11"/>
  <c r="AP130" i="11"/>
  <c r="AQ130" i="11"/>
  <c r="AR130" i="11"/>
  <c r="AS130" i="11"/>
  <c r="AP131" i="11"/>
  <c r="AQ131" i="11"/>
  <c r="AR131" i="11"/>
  <c r="AS131" i="11"/>
  <c r="AP132" i="11"/>
  <c r="AQ132" i="11"/>
  <c r="AR132" i="11"/>
  <c r="AS132" i="11"/>
  <c r="AP133" i="11"/>
  <c r="AQ133" i="11"/>
  <c r="AR133" i="11"/>
  <c r="AS133" i="11"/>
  <c r="AP134" i="11"/>
  <c r="AQ134" i="11"/>
  <c r="AR134" i="11"/>
  <c r="AS134" i="11"/>
  <c r="AP135" i="11"/>
  <c r="AQ135" i="11"/>
  <c r="AR135" i="11"/>
  <c r="AS135" i="11"/>
  <c r="AP136" i="11"/>
  <c r="AQ136" i="11"/>
  <c r="AR136" i="11"/>
  <c r="AS136" i="11"/>
  <c r="AP137" i="11"/>
  <c r="AQ137" i="11"/>
  <c r="AR137" i="11"/>
  <c r="AS137" i="11"/>
  <c r="AP138" i="11"/>
  <c r="AQ138" i="11"/>
  <c r="AR138" i="11"/>
  <c r="AS138" i="11"/>
  <c r="AP139" i="11"/>
  <c r="AQ139" i="11"/>
  <c r="AR139" i="11"/>
  <c r="AS139" i="11"/>
  <c r="AP140" i="11"/>
  <c r="AQ140" i="11"/>
  <c r="AR140" i="11"/>
  <c r="AS140" i="11"/>
  <c r="AP141" i="11"/>
  <c r="AQ141" i="11"/>
  <c r="AR141" i="11"/>
  <c r="AS141" i="11"/>
  <c r="AP142" i="11"/>
  <c r="AQ142" i="11"/>
  <c r="AR142" i="11"/>
  <c r="AS142" i="11"/>
  <c r="AP143" i="11"/>
  <c r="AQ143" i="11"/>
  <c r="AR143" i="11"/>
  <c r="AS143" i="11"/>
  <c r="AP144" i="11"/>
  <c r="AQ144" i="11"/>
  <c r="AR144" i="11"/>
  <c r="AS144" i="11"/>
  <c r="AP145" i="11"/>
  <c r="AQ145" i="11"/>
  <c r="AR145" i="11"/>
  <c r="AS145" i="11"/>
  <c r="AP146" i="11"/>
  <c r="AQ146" i="11"/>
  <c r="AR146" i="11"/>
  <c r="AS146" i="11"/>
  <c r="AP147" i="11"/>
  <c r="AQ147" i="11"/>
  <c r="AR147" i="11"/>
  <c r="AS147" i="11"/>
  <c r="AP148" i="11"/>
  <c r="AQ148" i="11"/>
  <c r="AR148" i="11"/>
  <c r="AS148" i="11"/>
  <c r="AP149" i="11"/>
  <c r="AQ149" i="11"/>
  <c r="AR149" i="11"/>
  <c r="AS149" i="11"/>
  <c r="AP150" i="11"/>
  <c r="AQ150" i="11"/>
  <c r="AR150" i="11"/>
  <c r="AS150" i="11"/>
  <c r="AP151" i="11"/>
  <c r="AQ151" i="11"/>
  <c r="AR151" i="11"/>
  <c r="AS151" i="11"/>
  <c r="AP152" i="11"/>
  <c r="AQ152" i="11"/>
  <c r="AR152" i="11"/>
  <c r="AS152" i="11"/>
  <c r="AP153" i="11"/>
  <c r="AQ153" i="11"/>
  <c r="AR153" i="11"/>
  <c r="AS153" i="11"/>
  <c r="AP154" i="11"/>
  <c r="AQ154" i="11"/>
  <c r="AR154" i="11"/>
  <c r="AS154" i="11"/>
  <c r="AP155" i="11"/>
  <c r="AQ155" i="11"/>
  <c r="AR155" i="11"/>
  <c r="AS155" i="11"/>
  <c r="AP156" i="11"/>
  <c r="AQ156" i="11"/>
  <c r="AR156" i="11"/>
  <c r="AS156" i="11"/>
  <c r="AP157" i="11"/>
  <c r="AQ157" i="11"/>
  <c r="AR157" i="11"/>
  <c r="AS157" i="11"/>
  <c r="AP158" i="11"/>
  <c r="AQ158" i="11"/>
  <c r="AR158" i="11"/>
  <c r="AS158" i="11"/>
  <c r="AP159" i="11"/>
  <c r="AQ159" i="11"/>
  <c r="AR159" i="11"/>
  <c r="AS159" i="11"/>
  <c r="AP160" i="11"/>
  <c r="AQ160" i="11"/>
  <c r="AR160" i="11"/>
  <c r="AS160" i="11"/>
  <c r="AP161" i="11"/>
  <c r="AQ161" i="11"/>
  <c r="AR161" i="11"/>
  <c r="AS161" i="11"/>
  <c r="AP162" i="11"/>
  <c r="AQ162" i="11"/>
  <c r="AR162" i="11"/>
  <c r="AS162" i="11"/>
  <c r="AP163" i="11"/>
  <c r="AQ163" i="11"/>
  <c r="AR163" i="11"/>
  <c r="AS163" i="11"/>
  <c r="AP164" i="11"/>
  <c r="AQ164" i="11"/>
  <c r="AR164" i="11"/>
  <c r="AS164" i="11"/>
  <c r="AP165" i="11"/>
  <c r="AQ165" i="11"/>
  <c r="AR165" i="11"/>
  <c r="AS165" i="11"/>
  <c r="AP166" i="11"/>
  <c r="AQ166" i="11"/>
  <c r="AR166" i="11"/>
  <c r="AS166" i="11"/>
  <c r="AP167" i="11"/>
  <c r="AQ167" i="11"/>
  <c r="AR167" i="11"/>
  <c r="AS167" i="11"/>
  <c r="AP168" i="11"/>
  <c r="AQ168" i="11"/>
  <c r="AR168" i="11"/>
  <c r="AS168" i="11"/>
  <c r="AP169" i="11"/>
  <c r="AQ169" i="11"/>
  <c r="AR169" i="11"/>
  <c r="AS169" i="11"/>
  <c r="AP170" i="11"/>
  <c r="AQ170" i="11"/>
  <c r="AR170" i="11"/>
  <c r="AS170" i="11"/>
  <c r="AP171" i="11"/>
  <c r="AQ171" i="11"/>
  <c r="AR171" i="11"/>
  <c r="AS171" i="11"/>
  <c r="AP172" i="11"/>
  <c r="AQ172" i="11"/>
  <c r="AR172" i="11"/>
  <c r="AS172" i="11"/>
  <c r="AP173" i="11"/>
  <c r="AQ173" i="11"/>
  <c r="AR173" i="11"/>
  <c r="AS173" i="11"/>
  <c r="AP174" i="11"/>
  <c r="AQ174" i="11"/>
  <c r="AR174" i="11"/>
  <c r="AS174" i="11"/>
  <c r="AP175" i="11"/>
  <c r="AQ175" i="11"/>
  <c r="AR175" i="11"/>
  <c r="AS175" i="11"/>
  <c r="AP176" i="11"/>
  <c r="AQ176" i="11"/>
  <c r="AR176" i="11"/>
  <c r="AS176" i="11"/>
  <c r="AP177" i="11"/>
  <c r="AQ177" i="11"/>
  <c r="AR177" i="11"/>
  <c r="AS177" i="11"/>
  <c r="AP178" i="11"/>
  <c r="AQ178" i="11"/>
  <c r="AR178" i="11"/>
  <c r="AS178" i="11"/>
  <c r="AP179" i="11"/>
  <c r="AQ179" i="11"/>
  <c r="AR179" i="11"/>
  <c r="AS179" i="11"/>
  <c r="AP180" i="11"/>
  <c r="AQ180" i="11"/>
  <c r="AR180" i="11"/>
  <c r="AS180" i="11"/>
  <c r="AP181" i="11"/>
  <c r="AQ181" i="11"/>
  <c r="AR181" i="11"/>
  <c r="AS181" i="11"/>
  <c r="AP182" i="11"/>
  <c r="AQ182" i="11"/>
  <c r="AR182" i="11"/>
  <c r="AS182" i="11"/>
  <c r="AP183" i="11"/>
  <c r="AQ183" i="11"/>
  <c r="AR183" i="11"/>
  <c r="AS183" i="11"/>
  <c r="AP184" i="11"/>
  <c r="AQ184" i="11"/>
  <c r="AR184" i="11"/>
  <c r="AS184" i="11"/>
  <c r="AP185" i="11"/>
  <c r="AQ185" i="11"/>
  <c r="AR185" i="11"/>
  <c r="AS185" i="11"/>
  <c r="AP186" i="11"/>
  <c r="AQ186" i="11"/>
  <c r="AR186" i="11"/>
  <c r="AS186" i="11"/>
  <c r="AP187" i="11"/>
  <c r="AQ187" i="11"/>
  <c r="AR187" i="11"/>
  <c r="AS187" i="11"/>
  <c r="AP188" i="11"/>
  <c r="AQ188" i="11"/>
  <c r="AR188" i="11"/>
  <c r="AS188" i="11"/>
  <c r="AP189" i="11"/>
  <c r="AQ189" i="11"/>
  <c r="AR189" i="11"/>
  <c r="AS189" i="11"/>
  <c r="AP190" i="11"/>
  <c r="AQ190" i="11"/>
  <c r="AR190" i="11"/>
  <c r="AS190" i="11"/>
  <c r="AP191" i="11"/>
  <c r="AQ191" i="11"/>
  <c r="AR191" i="11"/>
  <c r="AS191" i="11"/>
  <c r="AP192" i="11"/>
  <c r="AQ192" i="11"/>
  <c r="AR192" i="11"/>
  <c r="AS192" i="11"/>
  <c r="AP193" i="11"/>
  <c r="AQ193" i="11"/>
  <c r="AR193" i="11"/>
  <c r="AS193" i="11"/>
  <c r="AP194" i="11"/>
  <c r="AQ194" i="11"/>
  <c r="AR194" i="11"/>
  <c r="AS194" i="11"/>
  <c r="AP195" i="11"/>
  <c r="AQ195" i="11"/>
  <c r="AR195" i="11"/>
  <c r="AS195" i="11"/>
  <c r="AP196" i="11"/>
  <c r="AQ196" i="11"/>
  <c r="AR196" i="11"/>
  <c r="AS196" i="11"/>
  <c r="AP197" i="11"/>
  <c r="AQ197" i="11"/>
  <c r="AR197" i="11"/>
  <c r="AS197" i="11"/>
  <c r="AP198" i="11"/>
  <c r="AQ198" i="11"/>
  <c r="AR198" i="11"/>
  <c r="AS198" i="11"/>
  <c r="AP199" i="11"/>
  <c r="AQ199" i="11"/>
  <c r="AR199" i="11"/>
  <c r="AS199" i="11"/>
  <c r="AP200" i="11"/>
  <c r="AQ200" i="11"/>
  <c r="AR200" i="11"/>
  <c r="AS200" i="11"/>
  <c r="AP201" i="11"/>
  <c r="AQ201" i="11"/>
  <c r="AR201" i="11"/>
  <c r="AS201" i="11"/>
  <c r="AP202" i="11"/>
  <c r="AQ202" i="11"/>
  <c r="AR202" i="11"/>
  <c r="AS202" i="11"/>
  <c r="AP203" i="11"/>
  <c r="AQ203" i="11"/>
  <c r="AR203" i="11"/>
  <c r="AS203" i="11"/>
  <c r="AP204" i="11"/>
  <c r="AQ204" i="11"/>
  <c r="AR204" i="11"/>
  <c r="AS204" i="11"/>
  <c r="AP205" i="11"/>
  <c r="AQ205" i="11"/>
  <c r="AR205" i="11"/>
  <c r="AS205" i="11"/>
  <c r="AP206" i="11"/>
  <c r="AQ206" i="11"/>
  <c r="AR206" i="11"/>
  <c r="AS206" i="11"/>
  <c r="AP207" i="11"/>
  <c r="AQ207" i="11"/>
  <c r="AR207" i="11"/>
  <c r="AS207" i="11"/>
  <c r="AP208" i="11"/>
  <c r="AQ208" i="11"/>
  <c r="AR208" i="11"/>
  <c r="AS208" i="11"/>
  <c r="AP209" i="11"/>
  <c r="AQ209" i="11"/>
  <c r="AR209" i="11"/>
  <c r="AS209" i="11"/>
  <c r="AP210" i="11"/>
  <c r="AQ210" i="11"/>
  <c r="AR210" i="11"/>
  <c r="AS210" i="11"/>
  <c r="AP211" i="11"/>
  <c r="AQ211" i="11"/>
  <c r="AR211" i="11"/>
  <c r="AS211" i="11"/>
  <c r="AP212" i="11"/>
  <c r="AQ212" i="11"/>
  <c r="AR212" i="11"/>
  <c r="AS212" i="11"/>
  <c r="AP213" i="11"/>
  <c r="AQ213" i="11"/>
  <c r="AR213" i="11"/>
  <c r="AS213" i="11"/>
  <c r="AP214" i="11"/>
  <c r="AQ214" i="11"/>
  <c r="AR214" i="11"/>
  <c r="AS214" i="11"/>
  <c r="AP215" i="11"/>
  <c r="AQ215" i="11"/>
  <c r="AR215" i="11"/>
  <c r="AS215" i="11"/>
  <c r="AP216" i="11"/>
  <c r="AQ216" i="11"/>
  <c r="AR216" i="11"/>
  <c r="AS216" i="11"/>
  <c r="AP217" i="11"/>
  <c r="AQ217" i="11"/>
  <c r="AR217" i="11"/>
  <c r="AS217" i="11"/>
  <c r="AP218" i="11"/>
  <c r="AQ218" i="11"/>
  <c r="AR218" i="11"/>
  <c r="AS218" i="11"/>
  <c r="AP219" i="11"/>
  <c r="AQ219" i="11"/>
  <c r="AR219" i="11"/>
  <c r="AS219" i="11"/>
  <c r="AP220" i="11"/>
  <c r="AQ220" i="11"/>
  <c r="AR220" i="11"/>
  <c r="AS220" i="11"/>
  <c r="AP221" i="11"/>
  <c r="AQ221" i="11"/>
  <c r="AR221" i="11"/>
  <c r="AS221" i="11"/>
  <c r="AP222" i="11"/>
  <c r="AQ222" i="11"/>
  <c r="AR222" i="11"/>
  <c r="AS222" i="11"/>
  <c r="AP223" i="11"/>
  <c r="AQ223" i="11"/>
  <c r="AR223" i="11"/>
  <c r="AS223" i="11"/>
  <c r="AP224" i="11"/>
  <c r="AQ224" i="11"/>
  <c r="AR224" i="11"/>
  <c r="AS224" i="11"/>
  <c r="AP225" i="11"/>
  <c r="AQ225" i="11"/>
  <c r="AR225" i="11"/>
  <c r="AS225" i="11"/>
  <c r="AP226" i="11"/>
  <c r="AQ226" i="11"/>
  <c r="AR226" i="11"/>
  <c r="AS226" i="11"/>
  <c r="AP227" i="11"/>
  <c r="AQ227" i="11"/>
  <c r="AR227" i="11"/>
  <c r="AS227" i="11"/>
  <c r="AP228" i="11"/>
  <c r="AQ228" i="11"/>
  <c r="AR228" i="11"/>
  <c r="AS228" i="11"/>
  <c r="AP229" i="11"/>
  <c r="AQ229" i="11"/>
  <c r="AR229" i="11"/>
  <c r="AS229" i="11"/>
  <c r="AP230" i="11"/>
  <c r="AQ230" i="11"/>
  <c r="AR230" i="11"/>
  <c r="AS230" i="11"/>
  <c r="AP231" i="11"/>
  <c r="AQ231" i="11"/>
  <c r="AR231" i="11"/>
  <c r="AS231" i="11"/>
  <c r="AP232" i="11"/>
  <c r="AQ232" i="11"/>
  <c r="AR232" i="11"/>
  <c r="AS232" i="11"/>
  <c r="AP233" i="11"/>
  <c r="AQ233" i="11"/>
  <c r="AR233" i="11"/>
  <c r="AS233" i="11"/>
  <c r="AP234" i="11"/>
  <c r="AQ234" i="11"/>
  <c r="AR234" i="11"/>
  <c r="AS234" i="11"/>
  <c r="AP235" i="11"/>
  <c r="AQ235" i="11"/>
  <c r="AR235" i="11"/>
  <c r="AS235" i="11"/>
  <c r="AP236" i="11"/>
  <c r="AQ236" i="11"/>
  <c r="AR236" i="11"/>
  <c r="AS236" i="11"/>
  <c r="AP237" i="11"/>
  <c r="AQ237" i="11"/>
  <c r="AR237" i="11"/>
  <c r="AS237" i="11"/>
  <c r="AP238" i="11"/>
  <c r="AQ238" i="11"/>
  <c r="AR238" i="11"/>
  <c r="AS238" i="11"/>
  <c r="AP239" i="11"/>
  <c r="AQ239" i="11"/>
  <c r="AR239" i="11"/>
  <c r="AS239" i="11"/>
  <c r="AP240" i="11"/>
  <c r="AQ240" i="11"/>
  <c r="AR240" i="11"/>
  <c r="AS240" i="11"/>
  <c r="AP241" i="11"/>
  <c r="AQ241" i="11"/>
  <c r="AR241" i="11"/>
  <c r="AS241" i="11"/>
  <c r="AP242" i="11"/>
  <c r="AQ242" i="11"/>
  <c r="AR242" i="11"/>
  <c r="AS242" i="11"/>
  <c r="AP243" i="11"/>
  <c r="AQ243" i="11"/>
  <c r="AR243" i="11"/>
  <c r="AS243" i="11"/>
  <c r="AP244" i="11"/>
  <c r="AQ244" i="11"/>
  <c r="AR244" i="11"/>
  <c r="AS244" i="11"/>
  <c r="AP245" i="11"/>
  <c r="AQ245" i="11"/>
  <c r="AR245" i="11"/>
  <c r="AS245" i="11"/>
  <c r="AP246" i="11"/>
  <c r="AQ246" i="11"/>
  <c r="AR246" i="11"/>
  <c r="AS246" i="11"/>
  <c r="AP247" i="11"/>
  <c r="AQ247" i="11"/>
  <c r="AR247" i="11"/>
  <c r="AS247" i="11"/>
  <c r="AP248" i="11"/>
  <c r="AQ248" i="11"/>
  <c r="AR248" i="11"/>
  <c r="AS248" i="11"/>
  <c r="AP249" i="11"/>
  <c r="AQ249" i="11"/>
  <c r="AR249" i="11"/>
  <c r="AS249" i="11"/>
  <c r="AP250" i="11"/>
  <c r="AQ250" i="11"/>
  <c r="AR250" i="11"/>
  <c r="AS250" i="11"/>
  <c r="AP251" i="11"/>
  <c r="AQ251" i="11"/>
  <c r="AR251" i="11"/>
  <c r="AS251" i="11"/>
  <c r="AP252" i="11"/>
  <c r="AQ252" i="11"/>
  <c r="AR252" i="11"/>
  <c r="AS252" i="11"/>
  <c r="AP253" i="11"/>
  <c r="AQ253" i="11"/>
  <c r="AR253" i="11"/>
  <c r="AS253" i="11"/>
  <c r="AP254" i="11"/>
  <c r="AQ254" i="11"/>
  <c r="AR254" i="11"/>
  <c r="AS254" i="11"/>
  <c r="AP255" i="11"/>
  <c r="AQ255" i="11"/>
  <c r="AR255" i="11"/>
  <c r="AS255" i="11"/>
  <c r="AP256" i="11"/>
  <c r="AQ256" i="11"/>
  <c r="AR256" i="11"/>
  <c r="AS256" i="11"/>
  <c r="AP257" i="11"/>
  <c r="AQ257" i="11"/>
  <c r="AR257" i="11"/>
  <c r="AS257" i="11"/>
  <c r="AP258" i="11"/>
  <c r="AQ258" i="11"/>
  <c r="AR258" i="11"/>
  <c r="AS258" i="11"/>
  <c r="AP259" i="11"/>
  <c r="AQ259" i="11"/>
  <c r="AR259" i="11"/>
  <c r="AS259" i="11"/>
  <c r="AP260" i="11"/>
  <c r="AQ260" i="11"/>
  <c r="AR260" i="11"/>
  <c r="AS260" i="11"/>
  <c r="AP261" i="11"/>
  <c r="AQ261" i="11"/>
  <c r="AR261" i="11"/>
  <c r="AS261" i="11"/>
  <c r="AP262" i="11"/>
  <c r="AQ262" i="11"/>
  <c r="AR262" i="11"/>
  <c r="AS262" i="11"/>
  <c r="AP263" i="11"/>
  <c r="AQ263" i="11"/>
  <c r="AR263" i="11"/>
  <c r="AS263" i="11"/>
  <c r="AP264" i="11"/>
  <c r="AQ264" i="11"/>
  <c r="AR264" i="11"/>
  <c r="AS264" i="11"/>
  <c r="AP265" i="11"/>
  <c r="AQ265" i="11"/>
  <c r="AR265" i="11"/>
  <c r="AS265" i="11"/>
  <c r="AP266" i="11"/>
  <c r="AQ266" i="11"/>
  <c r="AR266" i="11"/>
  <c r="AS266" i="11"/>
  <c r="AP267" i="11"/>
  <c r="AQ267" i="11"/>
  <c r="AR267" i="11"/>
  <c r="AS267" i="11"/>
  <c r="AP268" i="11"/>
  <c r="AQ268" i="11"/>
  <c r="AR268" i="11"/>
  <c r="AS268" i="11"/>
  <c r="AP269" i="11"/>
  <c r="AQ269" i="11"/>
  <c r="AR269" i="11"/>
  <c r="AS269" i="11"/>
  <c r="AP270" i="11"/>
  <c r="AQ270" i="11"/>
  <c r="AR270" i="11"/>
  <c r="AS270" i="11"/>
  <c r="AP271" i="11"/>
  <c r="AQ271" i="11"/>
  <c r="AR271" i="11"/>
  <c r="AS271" i="11"/>
  <c r="AP272" i="11"/>
  <c r="AQ272" i="11"/>
  <c r="AR272" i="11"/>
  <c r="AS272" i="11"/>
  <c r="AP273" i="11"/>
  <c r="AQ273" i="11"/>
  <c r="AR273" i="11"/>
  <c r="AS273" i="11"/>
  <c r="AP274" i="11"/>
  <c r="AQ274" i="11"/>
  <c r="AR274" i="11"/>
  <c r="AS274" i="11"/>
  <c r="AP275" i="11"/>
  <c r="AQ275" i="11"/>
  <c r="AR275" i="11"/>
  <c r="AS275" i="11"/>
  <c r="AP276" i="11"/>
  <c r="AQ276" i="11"/>
  <c r="AR276" i="11"/>
  <c r="AS276" i="11"/>
  <c r="AP277" i="11"/>
  <c r="AQ277" i="11"/>
  <c r="AR277" i="11"/>
  <c r="AS277" i="11"/>
  <c r="AP278" i="11"/>
  <c r="AQ278" i="11"/>
  <c r="AR278" i="11"/>
  <c r="AS278" i="11"/>
  <c r="AP279" i="11"/>
  <c r="AQ279" i="11"/>
  <c r="AR279" i="11"/>
  <c r="AS279" i="11"/>
  <c r="AP280" i="11"/>
  <c r="AQ280" i="11"/>
  <c r="AR280" i="11"/>
  <c r="AS280" i="11"/>
  <c r="AP281" i="11"/>
  <c r="AQ281" i="11"/>
  <c r="AR281" i="11"/>
  <c r="AS281" i="11"/>
  <c r="AP282" i="11"/>
  <c r="AQ282" i="11"/>
  <c r="AR282" i="11"/>
  <c r="AS282" i="11"/>
  <c r="AP283" i="11"/>
  <c r="AQ283" i="11"/>
  <c r="AR283" i="11"/>
  <c r="AS283" i="11"/>
  <c r="AP284" i="11"/>
  <c r="AQ284" i="11"/>
  <c r="AR284" i="11"/>
  <c r="AS284" i="11"/>
  <c r="AP285" i="11"/>
  <c r="AQ285" i="11"/>
  <c r="AR285" i="11"/>
  <c r="AS285" i="11"/>
  <c r="AP286" i="11"/>
  <c r="AQ286" i="11"/>
  <c r="AR286" i="11"/>
  <c r="AS286" i="11"/>
  <c r="AP287" i="11"/>
  <c r="AQ287" i="11"/>
  <c r="AR287" i="11"/>
  <c r="AS287" i="11"/>
  <c r="AP288" i="11"/>
  <c r="AQ288" i="11"/>
  <c r="AR288" i="11"/>
  <c r="AS288" i="11"/>
  <c r="AP289" i="11"/>
  <c r="AQ289" i="11"/>
  <c r="AR289" i="11"/>
  <c r="AS289" i="11"/>
  <c r="AP290" i="11"/>
  <c r="AQ290" i="11"/>
  <c r="AR290" i="11"/>
  <c r="AS290" i="11"/>
  <c r="AP291" i="11"/>
  <c r="AQ291" i="11"/>
  <c r="AR291" i="11"/>
  <c r="AS291" i="11"/>
  <c r="AP292" i="11"/>
  <c r="AQ292" i="11"/>
  <c r="AR292" i="11"/>
  <c r="AS292" i="11"/>
  <c r="AP293" i="11"/>
  <c r="AQ293" i="11"/>
  <c r="AR293" i="11"/>
  <c r="AS293" i="11"/>
  <c r="AP294" i="11"/>
  <c r="AQ294" i="11"/>
  <c r="AR294" i="11"/>
  <c r="AS294" i="11"/>
  <c r="AP295" i="11"/>
  <c r="AQ295" i="11"/>
  <c r="AR295" i="11"/>
  <c r="AS295" i="11"/>
  <c r="AP296" i="11"/>
  <c r="AQ296" i="11"/>
  <c r="AR296" i="11"/>
  <c r="AS296" i="11"/>
  <c r="AP297" i="11"/>
  <c r="AQ297" i="11"/>
  <c r="AR297" i="11"/>
  <c r="AS297" i="11"/>
  <c r="AP298" i="11"/>
  <c r="AQ298" i="11"/>
  <c r="AR298" i="11"/>
  <c r="AS298" i="11"/>
  <c r="AP299" i="11"/>
  <c r="AQ299" i="11"/>
  <c r="AR299" i="11"/>
  <c r="AS299" i="11"/>
  <c r="AP300" i="11"/>
  <c r="AQ300" i="11"/>
  <c r="AR300" i="11"/>
  <c r="AS300" i="11"/>
  <c r="AP301" i="11"/>
  <c r="AQ301" i="11"/>
  <c r="AR301" i="11"/>
  <c r="AS301" i="11"/>
  <c r="AP302" i="11"/>
  <c r="AQ302" i="11"/>
  <c r="AR302" i="11"/>
  <c r="AS302" i="11"/>
  <c r="AP303" i="11"/>
  <c r="AQ303" i="11"/>
  <c r="AR303" i="11"/>
  <c r="AS303" i="11"/>
  <c r="AP304" i="11"/>
  <c r="AQ304" i="11"/>
  <c r="AR304" i="11"/>
  <c r="AS304" i="11"/>
  <c r="AP305" i="11"/>
  <c r="AQ305" i="11"/>
  <c r="AR305" i="11"/>
  <c r="AS305" i="11"/>
  <c r="AP306" i="11"/>
  <c r="AQ306" i="11"/>
  <c r="AR306" i="11"/>
  <c r="AS306" i="11"/>
  <c r="AP307" i="11"/>
  <c r="AQ307" i="11"/>
  <c r="AR307" i="11"/>
  <c r="AS307" i="11"/>
  <c r="AP308" i="11"/>
  <c r="AQ308" i="11"/>
  <c r="AR308" i="11"/>
  <c r="AS308" i="11"/>
  <c r="AP309" i="11"/>
  <c r="AQ309" i="11"/>
  <c r="AR309" i="11"/>
  <c r="AS309" i="11"/>
  <c r="AP310" i="11"/>
  <c r="AQ310" i="11"/>
  <c r="AR310" i="11"/>
  <c r="AS310" i="11"/>
  <c r="AP311" i="11"/>
  <c r="AQ311" i="11"/>
  <c r="AR311" i="11"/>
  <c r="AS311" i="11"/>
  <c r="AP312" i="11"/>
  <c r="AQ312" i="11"/>
  <c r="AR312" i="11"/>
  <c r="AS312" i="11"/>
  <c r="AP313" i="11"/>
  <c r="AQ313" i="11"/>
  <c r="AR313" i="11"/>
  <c r="AS313" i="11"/>
  <c r="AP314" i="11"/>
  <c r="AQ314" i="11"/>
  <c r="AR314" i="11"/>
  <c r="AS314" i="11"/>
  <c r="AP315" i="11"/>
  <c r="AQ315" i="11"/>
  <c r="AR315" i="11"/>
  <c r="AS315" i="11"/>
  <c r="AP316" i="11"/>
  <c r="AQ316" i="11"/>
  <c r="AR316" i="11"/>
  <c r="AS316" i="11"/>
  <c r="AP317" i="11"/>
  <c r="AQ317" i="11"/>
  <c r="AR317" i="11"/>
  <c r="AS317" i="11"/>
  <c r="AP318" i="11"/>
  <c r="AQ318" i="11"/>
  <c r="AR318" i="11"/>
  <c r="AS318" i="11"/>
  <c r="AP319" i="11"/>
  <c r="AQ319" i="11"/>
  <c r="AR319" i="11"/>
  <c r="AS319" i="11"/>
  <c r="AP320" i="11"/>
  <c r="AQ320" i="11"/>
  <c r="AR320" i="11"/>
  <c r="AS320" i="11"/>
  <c r="AP321" i="11"/>
  <c r="AQ321" i="11"/>
  <c r="AR321" i="11"/>
  <c r="AS321" i="11"/>
  <c r="AP322" i="11"/>
  <c r="AQ322" i="11"/>
  <c r="AR322" i="11"/>
  <c r="AS322" i="11"/>
  <c r="AP323" i="11"/>
  <c r="AQ323" i="11"/>
  <c r="AR323" i="11"/>
  <c r="AS323" i="11"/>
  <c r="AP324" i="11"/>
  <c r="AQ324" i="11"/>
  <c r="AR324" i="11"/>
  <c r="AS324" i="11"/>
  <c r="AP325" i="11"/>
  <c r="AQ325" i="11"/>
  <c r="AR325" i="11"/>
  <c r="AS325" i="11"/>
  <c r="AP326" i="11"/>
  <c r="AQ326" i="11"/>
  <c r="AR326" i="11"/>
  <c r="AS326" i="11"/>
  <c r="AP327" i="11"/>
  <c r="AQ327" i="11"/>
  <c r="AR327" i="11"/>
  <c r="AS327" i="11"/>
  <c r="AP328" i="11"/>
  <c r="AQ328" i="11"/>
  <c r="AR328" i="11"/>
  <c r="AS328" i="11"/>
  <c r="AP329" i="11"/>
  <c r="AQ329" i="11"/>
  <c r="AR329" i="11"/>
  <c r="AS329" i="11"/>
  <c r="AP330" i="11"/>
  <c r="AQ330" i="11"/>
  <c r="AR330" i="11"/>
  <c r="AS330" i="11"/>
  <c r="AP331" i="11"/>
  <c r="AQ331" i="11"/>
  <c r="AR331" i="11"/>
  <c r="AS331" i="11"/>
  <c r="AP332" i="11"/>
  <c r="AQ332" i="11"/>
  <c r="AR332" i="11"/>
  <c r="AS332" i="11"/>
  <c r="AP333" i="11"/>
  <c r="AQ333" i="11"/>
  <c r="AR333" i="11"/>
  <c r="AS333" i="11"/>
  <c r="AP334" i="11"/>
  <c r="AQ334" i="11"/>
  <c r="AR334" i="11"/>
  <c r="AS334" i="11"/>
  <c r="AP335" i="11"/>
  <c r="AQ335" i="11"/>
  <c r="AR335" i="11"/>
  <c r="AS335" i="11"/>
  <c r="AP336" i="11"/>
  <c r="AQ336" i="11"/>
  <c r="AR336" i="11"/>
  <c r="AS336" i="11"/>
  <c r="AP337" i="11"/>
  <c r="AQ337" i="11"/>
  <c r="AR337" i="11"/>
  <c r="AS337" i="11"/>
  <c r="AP338" i="11"/>
  <c r="AQ338" i="11"/>
  <c r="AR338" i="11"/>
  <c r="AS338" i="11"/>
  <c r="AP339" i="11"/>
  <c r="AQ339" i="11"/>
  <c r="AR339" i="11"/>
  <c r="AS339" i="11"/>
  <c r="AP340" i="11"/>
  <c r="AQ340" i="11"/>
  <c r="AR340" i="11"/>
  <c r="AS340" i="11"/>
  <c r="AP341" i="11"/>
  <c r="AQ341" i="11"/>
  <c r="AR341" i="11"/>
  <c r="AS341" i="11"/>
  <c r="AP342" i="11"/>
  <c r="AQ342" i="11"/>
  <c r="AR342" i="11"/>
  <c r="AS342" i="11"/>
  <c r="AP343" i="11"/>
  <c r="AQ343" i="11"/>
  <c r="AR343" i="11"/>
  <c r="AS343" i="11"/>
  <c r="AP344" i="11"/>
  <c r="AQ344" i="11"/>
  <c r="AR344" i="11"/>
  <c r="AS344" i="11"/>
  <c r="AP345" i="11"/>
  <c r="AQ345" i="11"/>
  <c r="AR345" i="11"/>
  <c r="AS345" i="11"/>
  <c r="AP346" i="11"/>
  <c r="AQ346" i="11"/>
  <c r="AR346" i="11"/>
  <c r="AS346" i="11"/>
  <c r="AP347" i="11"/>
  <c r="AQ347" i="11"/>
  <c r="AR347" i="11"/>
  <c r="AS347" i="11"/>
  <c r="AP348" i="11"/>
  <c r="AQ348" i="11"/>
  <c r="AR348" i="11"/>
  <c r="AS348" i="11"/>
  <c r="AP349" i="11"/>
  <c r="AQ349" i="11"/>
  <c r="AR349" i="11"/>
  <c r="AS349" i="11"/>
  <c r="AP350" i="11"/>
  <c r="AQ350" i="11"/>
  <c r="AR350" i="11"/>
  <c r="AS350" i="11"/>
  <c r="AP351" i="11"/>
  <c r="AQ351" i="11"/>
  <c r="AR351" i="11"/>
  <c r="AS351" i="11"/>
  <c r="AP352" i="11"/>
  <c r="AQ352" i="11"/>
  <c r="AR352" i="11"/>
  <c r="AS352" i="11"/>
  <c r="AP353" i="11"/>
  <c r="AQ353" i="11"/>
  <c r="AR353" i="11"/>
  <c r="AS353" i="11"/>
  <c r="AP354" i="11"/>
  <c r="AQ354" i="11"/>
  <c r="AR354" i="11"/>
  <c r="AS354" i="11"/>
  <c r="AP355" i="11"/>
  <c r="AQ355" i="11"/>
  <c r="AR355" i="11"/>
  <c r="AS355" i="11"/>
  <c r="AP356" i="11"/>
  <c r="AQ356" i="11"/>
  <c r="AR356" i="11"/>
  <c r="AS356" i="11"/>
  <c r="AP357" i="11"/>
  <c r="AQ357" i="11"/>
  <c r="AR357" i="11"/>
  <c r="AS357" i="11"/>
  <c r="AP358" i="11"/>
  <c r="AQ358" i="11"/>
  <c r="AR358" i="11"/>
  <c r="AS358" i="11"/>
  <c r="AP359" i="11"/>
  <c r="AQ359" i="11"/>
  <c r="AR359" i="11"/>
  <c r="AS359" i="11"/>
  <c r="AP360" i="11"/>
  <c r="AQ360" i="11"/>
  <c r="AR360" i="11"/>
  <c r="AS360" i="11"/>
  <c r="AP361" i="11"/>
  <c r="AQ361" i="11"/>
  <c r="AR361" i="11"/>
  <c r="AS361" i="11"/>
  <c r="AP362" i="11"/>
  <c r="AQ362" i="11"/>
  <c r="AR362" i="11"/>
  <c r="AS362" i="11"/>
  <c r="AP363" i="11"/>
  <c r="AQ363" i="11"/>
  <c r="AR363" i="11"/>
  <c r="AS363" i="11"/>
  <c r="AP364" i="11"/>
  <c r="AQ364" i="11"/>
  <c r="AR364" i="11"/>
  <c r="AS364" i="11"/>
  <c r="AP365" i="11"/>
  <c r="AQ365" i="11"/>
  <c r="AR365" i="11"/>
  <c r="AS365" i="11"/>
  <c r="AP366" i="11"/>
  <c r="AQ366" i="11"/>
  <c r="AR366" i="11"/>
  <c r="AS366" i="11"/>
  <c r="AP367" i="11"/>
  <c r="AQ367" i="11"/>
  <c r="AR367" i="11"/>
  <c r="AS367" i="11"/>
  <c r="AP368" i="11"/>
  <c r="AQ368" i="11"/>
  <c r="AR368" i="11"/>
  <c r="AS368" i="11"/>
  <c r="AP369" i="11"/>
  <c r="AQ369" i="11"/>
  <c r="AR369" i="11"/>
  <c r="AS369" i="11"/>
  <c r="AP370" i="11"/>
  <c r="AQ370" i="11"/>
  <c r="AR370" i="11"/>
  <c r="AS370" i="11"/>
  <c r="AP371" i="11"/>
  <c r="AQ371" i="11"/>
  <c r="AR371" i="11"/>
  <c r="AS371" i="11"/>
  <c r="AP372" i="11"/>
  <c r="AQ372" i="11"/>
  <c r="AR372" i="11"/>
  <c r="AS372" i="11"/>
  <c r="AP373" i="11"/>
  <c r="AQ373" i="11"/>
  <c r="AR373" i="11"/>
  <c r="AS373" i="11"/>
  <c r="AP374" i="11"/>
  <c r="AQ374" i="11"/>
  <c r="AR374" i="11"/>
  <c r="AS374" i="11"/>
  <c r="AP375" i="11"/>
  <c r="AQ375" i="11"/>
  <c r="AR375" i="11"/>
  <c r="AS375" i="11"/>
  <c r="AP376" i="11"/>
  <c r="AQ376" i="11"/>
  <c r="AR376" i="11"/>
  <c r="AS376" i="11"/>
  <c r="AP377" i="11"/>
  <c r="AQ377" i="11"/>
  <c r="AR377" i="11"/>
  <c r="AS377" i="11"/>
  <c r="AP378" i="11"/>
  <c r="AQ378" i="11"/>
  <c r="AR378" i="11"/>
  <c r="AS378" i="11"/>
  <c r="AP379" i="11"/>
  <c r="AQ379" i="11"/>
  <c r="AR379" i="11"/>
  <c r="AS379" i="11"/>
  <c r="AP380" i="11"/>
  <c r="AQ380" i="11"/>
  <c r="AR380" i="11"/>
  <c r="AS380" i="11"/>
  <c r="AP381" i="11"/>
  <c r="AQ381" i="11"/>
  <c r="AR381" i="11"/>
  <c r="AS381" i="11"/>
  <c r="AP382" i="11"/>
  <c r="AQ382" i="11"/>
  <c r="AR382" i="11"/>
  <c r="AS382" i="11"/>
  <c r="AP383" i="11"/>
  <c r="AQ383" i="11"/>
  <c r="AR383" i="11"/>
  <c r="AS383" i="11"/>
  <c r="AP384" i="11"/>
  <c r="AQ384" i="11"/>
  <c r="AR384" i="11"/>
  <c r="AS384" i="11"/>
  <c r="AP385" i="11"/>
  <c r="AQ385" i="11"/>
  <c r="AR385" i="11"/>
  <c r="AS385" i="11"/>
  <c r="AP386" i="11"/>
  <c r="AQ386" i="11"/>
  <c r="AR386" i="11"/>
  <c r="AS386" i="11"/>
  <c r="AP387" i="11"/>
  <c r="AQ387" i="11"/>
  <c r="AR387" i="11"/>
  <c r="AS387" i="11"/>
  <c r="AP388" i="11"/>
  <c r="AQ388" i="11"/>
  <c r="AR388" i="11"/>
  <c r="AS388" i="11"/>
  <c r="AP389" i="11"/>
  <c r="AQ389" i="11"/>
  <c r="AR389" i="11"/>
  <c r="AS389" i="11"/>
  <c r="AP390" i="11"/>
  <c r="AQ390" i="11"/>
  <c r="AR390" i="11"/>
  <c r="AS390" i="11"/>
  <c r="AP391" i="11"/>
  <c r="AQ391" i="11"/>
  <c r="AR391" i="11"/>
  <c r="AS391" i="11"/>
  <c r="AP392" i="11"/>
  <c r="AQ392" i="11"/>
  <c r="AR392" i="11"/>
  <c r="AS392" i="11"/>
  <c r="AP393" i="11"/>
  <c r="AQ393" i="11"/>
  <c r="AR393" i="11"/>
  <c r="AS393" i="11"/>
  <c r="AP394" i="11"/>
  <c r="AQ394" i="11"/>
  <c r="AR394" i="11"/>
  <c r="AS394" i="11"/>
  <c r="AP395" i="11"/>
  <c r="AQ395" i="11"/>
  <c r="AR395" i="11"/>
  <c r="AS395" i="11"/>
  <c r="AP396" i="11"/>
  <c r="AQ396" i="11"/>
  <c r="AR396" i="11"/>
  <c r="AS396" i="11"/>
  <c r="AP397" i="11"/>
  <c r="AQ397" i="11"/>
  <c r="AR397" i="11"/>
  <c r="AS397" i="11"/>
  <c r="AP398" i="11"/>
  <c r="AQ398" i="11"/>
  <c r="AR398" i="11"/>
  <c r="AS398" i="11"/>
  <c r="AP399" i="11"/>
  <c r="AQ399" i="11"/>
  <c r="AR399" i="11"/>
  <c r="AS399" i="11"/>
  <c r="AP400" i="11"/>
  <c r="AQ400" i="11"/>
  <c r="AR400" i="11"/>
  <c r="AS400" i="11"/>
  <c r="AP401" i="11"/>
  <c r="AQ401" i="11"/>
  <c r="AR401" i="11"/>
  <c r="AS401" i="11"/>
  <c r="AP402" i="11"/>
  <c r="AQ402" i="11"/>
  <c r="AR402" i="11"/>
  <c r="AS402" i="11"/>
  <c r="AP403" i="11"/>
  <c r="AQ403" i="11"/>
  <c r="AR403" i="11"/>
  <c r="AS403" i="11"/>
  <c r="AP404" i="11"/>
  <c r="AQ404" i="11"/>
  <c r="AR404" i="11"/>
  <c r="AS404" i="11"/>
  <c r="AP405" i="11"/>
  <c r="AQ405" i="11"/>
  <c r="AR405" i="11"/>
  <c r="AS405" i="11"/>
  <c r="AP406" i="11"/>
  <c r="AQ406" i="11"/>
  <c r="AR406" i="11"/>
  <c r="AS406" i="11"/>
  <c r="AP407" i="11"/>
  <c r="AQ407" i="11"/>
  <c r="AR407" i="11"/>
  <c r="AS407" i="11"/>
  <c r="AP408" i="11"/>
  <c r="AQ408" i="11"/>
  <c r="AR408" i="11"/>
  <c r="AS408" i="11"/>
  <c r="AP409" i="11"/>
  <c r="AQ409" i="11"/>
  <c r="AR409" i="11"/>
  <c r="AS409" i="11"/>
  <c r="AP410" i="11"/>
  <c r="AQ410" i="11"/>
  <c r="AR410" i="11"/>
  <c r="AS410" i="11"/>
  <c r="AP411" i="11"/>
  <c r="AQ411" i="11"/>
  <c r="AR411" i="11"/>
  <c r="AS411" i="11"/>
  <c r="AP412" i="11"/>
  <c r="AQ412" i="11"/>
  <c r="AR412" i="11"/>
  <c r="AS412" i="11"/>
  <c r="AP413" i="11"/>
  <c r="AQ413" i="11"/>
  <c r="AR413" i="11"/>
  <c r="AS413" i="11"/>
  <c r="AP414" i="11"/>
  <c r="AQ414" i="11"/>
  <c r="AR414" i="11"/>
  <c r="AS414" i="11"/>
  <c r="AP415" i="11"/>
  <c r="AQ415" i="11"/>
  <c r="AR415" i="11"/>
  <c r="AS415" i="11"/>
  <c r="AP416" i="11"/>
  <c r="AQ416" i="11"/>
  <c r="AR416" i="11"/>
  <c r="AS416" i="11"/>
  <c r="AP417" i="11"/>
  <c r="AQ417" i="11"/>
  <c r="AR417" i="11"/>
  <c r="AS417" i="11"/>
  <c r="AP418" i="11"/>
  <c r="AQ418" i="11"/>
  <c r="AR418" i="11"/>
  <c r="AS418" i="11"/>
  <c r="AP419" i="11"/>
  <c r="AQ419" i="11"/>
  <c r="AR419" i="11"/>
  <c r="AS419" i="11"/>
  <c r="AP420" i="11"/>
  <c r="AQ420" i="11"/>
  <c r="AR420" i="11"/>
  <c r="AS420" i="11"/>
  <c r="AP421" i="11"/>
  <c r="AQ421" i="11"/>
  <c r="AR421" i="11"/>
  <c r="AS421" i="11"/>
  <c r="AP422" i="11"/>
  <c r="AQ422" i="11"/>
  <c r="AR422" i="11"/>
  <c r="AS422" i="11"/>
  <c r="AP423" i="11"/>
  <c r="AQ423" i="11"/>
  <c r="AR423" i="11"/>
  <c r="AS423" i="11"/>
  <c r="AP424" i="11"/>
  <c r="AQ424" i="11"/>
  <c r="AR424" i="11"/>
  <c r="AS424" i="11"/>
  <c r="AP425" i="11"/>
  <c r="AQ425" i="11"/>
  <c r="AR425" i="11"/>
  <c r="AS425" i="11"/>
  <c r="AP426" i="11"/>
  <c r="AQ426" i="11"/>
  <c r="AR426" i="11"/>
  <c r="AS426" i="11"/>
  <c r="AP427" i="11"/>
  <c r="AQ427" i="11"/>
  <c r="AR427" i="11"/>
  <c r="AS427" i="11"/>
  <c r="AP428" i="11"/>
  <c r="AQ428" i="11"/>
  <c r="AR428" i="11"/>
  <c r="AS428" i="11"/>
  <c r="AP429" i="11"/>
  <c r="AQ429" i="11"/>
  <c r="AR429" i="11"/>
  <c r="AS429" i="11"/>
  <c r="AP430" i="11"/>
  <c r="AQ430" i="11"/>
  <c r="AR430" i="11"/>
  <c r="AS430" i="11"/>
  <c r="AP431" i="11"/>
  <c r="AQ431" i="11"/>
  <c r="AR431" i="11"/>
  <c r="AS431" i="11"/>
  <c r="AP432" i="11"/>
  <c r="AQ432" i="11"/>
  <c r="AR432" i="11"/>
  <c r="AS432" i="11"/>
  <c r="AP433" i="11"/>
  <c r="AQ433" i="11"/>
  <c r="AR433" i="11"/>
  <c r="AS433" i="11"/>
  <c r="AP434" i="11"/>
  <c r="AQ434" i="11"/>
  <c r="AR434" i="11"/>
  <c r="AS434" i="11"/>
  <c r="AP435" i="11"/>
  <c r="AQ435" i="11"/>
  <c r="AR435" i="11"/>
  <c r="AS435" i="11"/>
  <c r="AP436" i="11"/>
  <c r="AQ436" i="11"/>
  <c r="AR436" i="11"/>
  <c r="AS436" i="11"/>
  <c r="AP437" i="11"/>
  <c r="AQ437" i="11"/>
  <c r="AR437" i="11"/>
  <c r="AS437" i="11"/>
  <c r="AP438" i="11"/>
  <c r="AQ438" i="11"/>
  <c r="AR438" i="11"/>
  <c r="AS438" i="11"/>
  <c r="AP439" i="11"/>
  <c r="AQ439" i="11"/>
  <c r="AR439" i="11"/>
  <c r="AS439" i="11"/>
  <c r="AP440" i="11"/>
  <c r="AQ440" i="11"/>
  <c r="AR440" i="11"/>
  <c r="AS440" i="11"/>
  <c r="AP441" i="11"/>
  <c r="AQ441" i="11"/>
  <c r="AR441" i="11"/>
  <c r="AS441" i="11"/>
  <c r="AP442" i="11"/>
  <c r="AQ442" i="11"/>
  <c r="AR442" i="11"/>
  <c r="AS442" i="11"/>
  <c r="AP443" i="11"/>
  <c r="AQ443" i="11"/>
  <c r="AR443" i="11"/>
  <c r="AS443" i="11"/>
  <c r="AP444" i="11"/>
  <c r="AQ444" i="11"/>
  <c r="AR444" i="11"/>
  <c r="AS444" i="11"/>
  <c r="AP445" i="11"/>
  <c r="AQ445" i="11"/>
  <c r="AR445" i="11"/>
  <c r="AS445" i="11"/>
  <c r="AP446" i="11"/>
  <c r="AQ446" i="11"/>
  <c r="AR446" i="11"/>
  <c r="AS446" i="11"/>
  <c r="AP447" i="11"/>
  <c r="AQ447" i="11"/>
  <c r="AR447" i="11"/>
  <c r="AS447" i="11"/>
  <c r="AP448" i="11"/>
  <c r="AQ448" i="11"/>
  <c r="AR448" i="11"/>
  <c r="AS448" i="11"/>
  <c r="AP449" i="11"/>
  <c r="AQ449" i="11"/>
  <c r="AR449" i="11"/>
  <c r="AS449" i="11"/>
  <c r="AP450" i="11"/>
  <c r="AQ450" i="11"/>
  <c r="AR450" i="11"/>
  <c r="AS450" i="11"/>
  <c r="AP451" i="11"/>
  <c r="AQ451" i="11"/>
  <c r="AR451" i="11"/>
  <c r="AS451" i="11"/>
  <c r="AP452" i="11"/>
  <c r="AQ452" i="11"/>
  <c r="AR452" i="11"/>
  <c r="AS452" i="11"/>
  <c r="AP453" i="11"/>
  <c r="AQ453" i="11"/>
  <c r="AR453" i="11"/>
  <c r="AS453" i="11"/>
  <c r="AP454" i="11"/>
  <c r="AQ454" i="11"/>
  <c r="AR454" i="11"/>
  <c r="AS454" i="11"/>
  <c r="AP455" i="11"/>
  <c r="AQ455" i="11"/>
  <c r="AR455" i="11"/>
  <c r="AS455" i="11"/>
  <c r="AP456" i="11"/>
  <c r="AQ456" i="11"/>
  <c r="AR456" i="11"/>
  <c r="AS456" i="11"/>
  <c r="AP457" i="11"/>
  <c r="AQ457" i="11"/>
  <c r="AR457" i="11"/>
  <c r="AS457" i="11"/>
  <c r="AP458" i="11"/>
  <c r="AQ458" i="11"/>
  <c r="AR458" i="11"/>
  <c r="AS458" i="11"/>
  <c r="AP459" i="11"/>
  <c r="AQ459" i="11"/>
  <c r="AR459" i="11"/>
  <c r="AS459" i="11"/>
  <c r="AP460" i="11"/>
  <c r="AQ460" i="11"/>
  <c r="AR460" i="11"/>
  <c r="AS460" i="11"/>
  <c r="AP461" i="11"/>
  <c r="AQ461" i="11"/>
  <c r="AR461" i="11"/>
  <c r="AS461" i="11"/>
  <c r="AP462" i="11"/>
  <c r="AQ462" i="11"/>
  <c r="AR462" i="11"/>
  <c r="AS462" i="11"/>
  <c r="AP463" i="11"/>
  <c r="AQ463" i="11"/>
  <c r="AR463" i="11"/>
  <c r="AS463" i="11"/>
  <c r="AP464" i="11"/>
  <c r="AQ464" i="11"/>
  <c r="AR464" i="11"/>
  <c r="AS464" i="11"/>
  <c r="AP465" i="11"/>
  <c r="AQ465" i="11"/>
  <c r="AR465" i="11"/>
  <c r="AS465" i="11"/>
  <c r="AP466" i="11"/>
  <c r="AQ466" i="11"/>
  <c r="AR466" i="11"/>
  <c r="AS466" i="11"/>
  <c r="AP467" i="11"/>
  <c r="AQ467" i="11"/>
  <c r="AR467" i="11"/>
  <c r="AS467" i="11"/>
  <c r="AP468" i="11"/>
  <c r="AQ468" i="11"/>
  <c r="AR468" i="11"/>
  <c r="AS468" i="11"/>
  <c r="AP469" i="11"/>
  <c r="AQ469" i="11"/>
  <c r="AR469" i="11"/>
  <c r="AS469" i="11"/>
  <c r="AP470" i="11"/>
  <c r="AQ470" i="11"/>
  <c r="AR470" i="11"/>
  <c r="AS470" i="11"/>
  <c r="AP471" i="11"/>
  <c r="AQ471" i="11"/>
  <c r="AR471" i="11"/>
  <c r="AS471" i="11"/>
  <c r="AP472" i="11"/>
  <c r="AQ472" i="11"/>
  <c r="AR472" i="11"/>
  <c r="AS472" i="11"/>
  <c r="AP473" i="11"/>
  <c r="AQ473" i="11"/>
  <c r="AR473" i="11"/>
  <c r="AS473" i="11"/>
  <c r="AP474" i="11"/>
  <c r="AQ474" i="11"/>
  <c r="AR474" i="11"/>
  <c r="AS474" i="11"/>
  <c r="AP475" i="11"/>
  <c r="AQ475" i="11"/>
  <c r="AR475" i="11"/>
  <c r="AS475" i="11"/>
  <c r="AP476" i="11"/>
  <c r="AQ476" i="11"/>
  <c r="AR476" i="11"/>
  <c r="AS476" i="11"/>
  <c r="AP477" i="11"/>
  <c r="AQ477" i="11"/>
  <c r="AR477" i="11"/>
  <c r="AS477" i="11"/>
  <c r="AP478" i="11"/>
  <c r="AQ478" i="11"/>
  <c r="AR478" i="11"/>
  <c r="AS478" i="11"/>
  <c r="AP479" i="11"/>
  <c r="AQ479" i="11"/>
  <c r="AR479" i="11"/>
  <c r="AS479" i="11"/>
  <c r="AP480" i="11"/>
  <c r="AQ480" i="11"/>
  <c r="AR480" i="11"/>
  <c r="AS480" i="11"/>
  <c r="AP481" i="11"/>
  <c r="AQ481" i="11"/>
  <c r="AR481" i="11"/>
  <c r="AS481" i="11"/>
  <c r="AP482" i="11"/>
  <c r="AQ482" i="11"/>
  <c r="AR482" i="11"/>
  <c r="AS482" i="11"/>
  <c r="AP483" i="11"/>
  <c r="AQ483" i="11"/>
  <c r="AR483" i="11"/>
  <c r="AS483" i="11"/>
  <c r="AP484" i="11"/>
  <c r="AQ484" i="11"/>
  <c r="AR484" i="11"/>
  <c r="AS484" i="11"/>
  <c r="AP485" i="11"/>
  <c r="AQ485" i="11"/>
  <c r="AR485" i="11"/>
  <c r="AS485" i="11"/>
  <c r="AP486" i="11"/>
  <c r="AQ486" i="11"/>
  <c r="AR486" i="11"/>
  <c r="AS486" i="11"/>
  <c r="AP487" i="11"/>
  <c r="AQ487" i="11"/>
  <c r="AR487" i="11"/>
  <c r="AS487" i="11"/>
  <c r="AP488" i="11"/>
  <c r="AQ488" i="11"/>
  <c r="AR488" i="11"/>
  <c r="AS488" i="11"/>
  <c r="AP489" i="11"/>
  <c r="AQ489" i="11"/>
  <c r="AR489" i="11"/>
  <c r="AS489" i="11"/>
  <c r="AP490" i="11"/>
  <c r="AQ490" i="11"/>
  <c r="AR490" i="11"/>
  <c r="AS490" i="11"/>
  <c r="AP491" i="11"/>
  <c r="AQ491" i="11"/>
  <c r="AR491" i="11"/>
  <c r="AS491" i="11"/>
  <c r="AP492" i="11"/>
  <c r="AQ492" i="11"/>
  <c r="AR492" i="11"/>
  <c r="AS492" i="11"/>
  <c r="AP493" i="11"/>
  <c r="AQ493" i="11"/>
  <c r="AR493" i="11"/>
  <c r="AS493" i="11"/>
  <c r="AP494" i="11"/>
  <c r="AQ494" i="11"/>
  <c r="AR494" i="11"/>
  <c r="AS494" i="11"/>
  <c r="AP495" i="11"/>
  <c r="AQ495" i="11"/>
  <c r="AR495" i="11"/>
  <c r="AS495" i="11"/>
  <c r="AP496" i="11"/>
  <c r="AQ496" i="11"/>
  <c r="AR496" i="11"/>
  <c r="AS496" i="11"/>
  <c r="AP497" i="11"/>
  <c r="AQ497" i="11"/>
  <c r="AR497" i="11"/>
  <c r="AS497" i="11"/>
  <c r="AP498" i="11"/>
  <c r="AQ498" i="11"/>
  <c r="AR498" i="11"/>
  <c r="AS498" i="11"/>
  <c r="AP499" i="11"/>
  <c r="AQ499" i="11"/>
  <c r="AR499" i="11"/>
  <c r="AS499" i="11"/>
  <c r="AP500" i="11"/>
  <c r="AQ500" i="11"/>
  <c r="AR500" i="11"/>
  <c r="AS500" i="11"/>
  <c r="AP501" i="11"/>
  <c r="AQ501" i="11"/>
  <c r="AR501" i="11"/>
  <c r="AS501" i="11"/>
  <c r="AP502" i="11"/>
  <c r="AQ502" i="11"/>
  <c r="AR502" i="11"/>
  <c r="AS502" i="11"/>
  <c r="AP503" i="11"/>
  <c r="AQ503" i="11"/>
  <c r="AR503" i="11"/>
  <c r="AS503" i="11"/>
  <c r="AP504" i="11"/>
  <c r="AQ504" i="11"/>
  <c r="AR504" i="11"/>
  <c r="AS504" i="11"/>
  <c r="AP505" i="11"/>
  <c r="AQ505" i="11"/>
  <c r="AR505" i="11"/>
  <c r="AS505" i="11"/>
  <c r="AP506" i="11"/>
  <c r="AQ506" i="11"/>
  <c r="AR506" i="11"/>
  <c r="AS506" i="11"/>
  <c r="AP507" i="11"/>
  <c r="AQ507" i="11"/>
  <c r="AR507" i="11"/>
  <c r="AS507" i="11"/>
  <c r="AP508" i="11"/>
  <c r="AQ508" i="11"/>
  <c r="AR508" i="11"/>
  <c r="AS508" i="11"/>
  <c r="AP509" i="11"/>
  <c r="AQ509" i="11"/>
  <c r="AR509" i="11"/>
  <c r="AS509" i="11"/>
  <c r="AP510" i="11"/>
  <c r="AQ510" i="11"/>
  <c r="AR510" i="11"/>
  <c r="AS510" i="11"/>
  <c r="AP511" i="11"/>
  <c r="AQ511" i="11"/>
  <c r="AR511" i="11"/>
  <c r="AS511" i="11"/>
  <c r="AP512" i="11"/>
  <c r="AQ512" i="11"/>
  <c r="AR512" i="11"/>
  <c r="AS512" i="11"/>
  <c r="AP513" i="11"/>
  <c r="AQ513" i="11"/>
  <c r="AR513" i="11"/>
  <c r="AS513" i="11"/>
  <c r="AP514" i="11"/>
  <c r="AQ514" i="11"/>
  <c r="AR514" i="11"/>
  <c r="AS514" i="11"/>
  <c r="AP515" i="11"/>
  <c r="AQ515" i="11"/>
  <c r="AR515" i="11"/>
  <c r="AS515" i="11"/>
  <c r="AP516" i="11"/>
  <c r="AQ516" i="11"/>
  <c r="AR516" i="11"/>
  <c r="AS516" i="11"/>
  <c r="AP517" i="11"/>
  <c r="AQ517" i="11"/>
  <c r="AR517" i="11"/>
  <c r="AS517" i="11"/>
  <c r="AP518" i="11"/>
  <c r="AQ518" i="11"/>
  <c r="AR518" i="11"/>
  <c r="AS518" i="11"/>
  <c r="AP519" i="11"/>
  <c r="AQ519" i="11"/>
  <c r="AR519" i="11"/>
  <c r="AS519" i="11"/>
  <c r="AP520" i="11"/>
  <c r="AQ520" i="11"/>
  <c r="AR520" i="11"/>
  <c r="AS520" i="11"/>
  <c r="AP521" i="11"/>
  <c r="AQ521" i="11"/>
  <c r="AR521" i="11"/>
  <c r="AS521" i="11"/>
  <c r="AP522" i="11"/>
  <c r="AQ522" i="11"/>
  <c r="AR522" i="11"/>
  <c r="AS522" i="11"/>
  <c r="AP523" i="11"/>
  <c r="AQ523" i="11"/>
  <c r="AR523" i="11"/>
  <c r="AS523" i="11"/>
  <c r="AP524" i="11"/>
  <c r="AQ524" i="11"/>
  <c r="AR524" i="11"/>
  <c r="AS524" i="11"/>
  <c r="AP525" i="11"/>
  <c r="AQ525" i="11"/>
  <c r="AR525" i="11"/>
  <c r="AS525" i="11"/>
  <c r="AP526" i="11"/>
  <c r="AQ526" i="11"/>
  <c r="AR526" i="11"/>
  <c r="AS526" i="11"/>
  <c r="AP527" i="11"/>
  <c r="AQ527" i="11"/>
  <c r="AR527" i="11"/>
  <c r="AS527" i="11"/>
  <c r="AP528" i="11"/>
  <c r="AQ528" i="11"/>
  <c r="AR528" i="11"/>
  <c r="AS528" i="11"/>
  <c r="AP529" i="11"/>
  <c r="AQ529" i="11"/>
  <c r="AR529" i="11"/>
  <c r="AS529" i="11"/>
  <c r="AP530" i="11"/>
  <c r="AQ530" i="11"/>
  <c r="AR530" i="11"/>
  <c r="AS530" i="11"/>
  <c r="AP531" i="11"/>
  <c r="AQ531" i="11"/>
  <c r="AR531" i="11"/>
  <c r="AS531" i="11"/>
  <c r="AP532" i="11"/>
  <c r="AQ532" i="11"/>
  <c r="AR532" i="11"/>
  <c r="AS532" i="11"/>
  <c r="AP533" i="11"/>
  <c r="AQ533" i="11"/>
  <c r="AR533" i="11"/>
  <c r="AS533" i="11"/>
  <c r="AP534" i="11"/>
  <c r="AQ534" i="11"/>
  <c r="AR534" i="11"/>
  <c r="AS534" i="11"/>
  <c r="AP535" i="11"/>
  <c r="AQ535" i="11"/>
  <c r="AR535" i="11"/>
  <c r="AS535" i="11"/>
  <c r="AP536" i="11"/>
  <c r="AQ536" i="11"/>
  <c r="AR536" i="11"/>
  <c r="AS536" i="11"/>
  <c r="AP537" i="11"/>
  <c r="AQ537" i="11"/>
  <c r="AR537" i="11"/>
  <c r="AS537" i="11"/>
  <c r="AP538" i="11"/>
  <c r="AQ538" i="11"/>
  <c r="AR538" i="11"/>
  <c r="AS538" i="11"/>
  <c r="AP539" i="11"/>
  <c r="AQ539" i="11"/>
  <c r="AR539" i="11"/>
  <c r="AS539" i="11"/>
  <c r="AP540" i="11"/>
  <c r="AQ540" i="11"/>
  <c r="AR540" i="11"/>
  <c r="AS540" i="11"/>
  <c r="AP541" i="11"/>
  <c r="AQ541" i="11"/>
  <c r="AR541" i="11"/>
  <c r="AS541" i="11"/>
  <c r="AP542" i="11"/>
  <c r="AQ542" i="11"/>
  <c r="AR542" i="11"/>
  <c r="AS542" i="11"/>
  <c r="AP543" i="11"/>
  <c r="AQ543" i="11"/>
  <c r="AR543" i="11"/>
  <c r="AS543" i="11"/>
  <c r="AP544" i="11"/>
  <c r="AQ544" i="11"/>
  <c r="AR544" i="11"/>
  <c r="AS544" i="11"/>
  <c r="AP545" i="11"/>
  <c r="AQ545" i="11"/>
  <c r="AR545" i="11"/>
  <c r="AS545" i="11"/>
  <c r="AP546" i="11"/>
  <c r="AQ546" i="11"/>
  <c r="AR546" i="11"/>
  <c r="AS546" i="11"/>
  <c r="AP547" i="11"/>
  <c r="AQ547" i="11"/>
  <c r="AR547" i="11"/>
  <c r="AS547" i="11"/>
  <c r="AP548" i="11"/>
  <c r="AQ548" i="11"/>
  <c r="AR548" i="11"/>
  <c r="AS548" i="11"/>
  <c r="AP549" i="11"/>
  <c r="AQ549" i="11"/>
  <c r="AR549" i="11"/>
  <c r="AS549" i="11"/>
  <c r="AP550" i="11"/>
  <c r="AQ550" i="11"/>
  <c r="AR550" i="11"/>
  <c r="AS550" i="11"/>
  <c r="AP551" i="11"/>
  <c r="AQ551" i="11"/>
  <c r="AR551" i="11"/>
  <c r="AS551" i="11"/>
  <c r="AP552" i="11"/>
  <c r="AQ552" i="11"/>
  <c r="AR552" i="11"/>
  <c r="AS552" i="11"/>
  <c r="AP553" i="11"/>
  <c r="AQ553" i="11"/>
  <c r="AR553" i="11"/>
  <c r="AS553" i="11"/>
  <c r="AP554" i="11"/>
  <c r="AQ554" i="11"/>
  <c r="AR554" i="11"/>
  <c r="AS554" i="11"/>
  <c r="AP555" i="11"/>
  <c r="AQ555" i="11"/>
  <c r="AR555" i="11"/>
  <c r="AS555" i="11"/>
  <c r="AP556" i="11"/>
  <c r="AQ556" i="11"/>
  <c r="AR556" i="11"/>
  <c r="AS556" i="11"/>
  <c r="AP557" i="11"/>
  <c r="AQ557" i="11"/>
  <c r="AR557" i="11"/>
  <c r="AS557" i="11"/>
  <c r="AP558" i="11"/>
  <c r="AQ558" i="11"/>
  <c r="AR558" i="11"/>
  <c r="AS558" i="11"/>
  <c r="AP559" i="11"/>
  <c r="AQ559" i="11"/>
  <c r="AR559" i="11"/>
  <c r="AS559" i="11"/>
  <c r="AP560" i="11"/>
  <c r="AQ560" i="11"/>
  <c r="AR560" i="11"/>
  <c r="AS560" i="11"/>
  <c r="AP561" i="11"/>
  <c r="AQ561" i="11"/>
  <c r="AR561" i="11"/>
  <c r="AS561" i="11"/>
  <c r="AP562" i="11"/>
  <c r="AQ562" i="11"/>
  <c r="AR562" i="11"/>
  <c r="AS562" i="11"/>
  <c r="AP563" i="11"/>
  <c r="AQ563" i="11"/>
  <c r="AR563" i="11"/>
  <c r="AS563" i="11"/>
  <c r="AP564" i="11"/>
  <c r="AQ564" i="11"/>
  <c r="AR564" i="11"/>
  <c r="AS564" i="11"/>
  <c r="AP565" i="11"/>
  <c r="AQ565" i="11"/>
  <c r="AR565" i="11"/>
  <c r="AS565" i="11"/>
  <c r="AP566" i="11"/>
  <c r="AQ566" i="11"/>
  <c r="AR566" i="11"/>
  <c r="AS566" i="11"/>
  <c r="AP567" i="11"/>
  <c r="AQ567" i="11"/>
  <c r="AR567" i="11"/>
  <c r="AS567" i="11"/>
  <c r="AP568" i="11"/>
  <c r="AQ568" i="11"/>
  <c r="AR568" i="11"/>
  <c r="AS568" i="11"/>
  <c r="AP569" i="11"/>
  <c r="AQ569" i="11"/>
  <c r="AR569" i="11"/>
  <c r="AS569" i="11"/>
  <c r="AP570" i="11"/>
  <c r="AQ570" i="11"/>
  <c r="AR570" i="11"/>
  <c r="AS570" i="11"/>
  <c r="AP571" i="11"/>
  <c r="AQ571" i="11"/>
  <c r="AR571" i="11"/>
  <c r="AS571" i="11"/>
  <c r="AP572" i="11"/>
  <c r="AQ572" i="11"/>
  <c r="AR572" i="11"/>
  <c r="AS572" i="11"/>
  <c r="AP573" i="11"/>
  <c r="AQ573" i="11"/>
  <c r="AR573" i="11"/>
  <c r="AS573" i="11"/>
  <c r="AP574" i="11"/>
  <c r="AQ574" i="11"/>
  <c r="AR574" i="11"/>
  <c r="AS574" i="11"/>
  <c r="AP575" i="11"/>
  <c r="AQ575" i="11"/>
  <c r="AR575" i="11"/>
  <c r="AS575" i="11"/>
  <c r="AP576" i="11"/>
  <c r="AQ576" i="11"/>
  <c r="AR576" i="11"/>
  <c r="AS576" i="11"/>
  <c r="AP577" i="11"/>
  <c r="AQ577" i="11"/>
  <c r="AR577" i="11"/>
  <c r="AS577" i="11"/>
  <c r="AP578" i="11"/>
  <c r="AQ578" i="11"/>
  <c r="AR578" i="11"/>
  <c r="AS578" i="11"/>
  <c r="AP579" i="11"/>
  <c r="AQ579" i="11"/>
  <c r="AR579" i="11"/>
  <c r="AS579" i="11"/>
  <c r="AP580" i="11"/>
  <c r="AQ580" i="11"/>
  <c r="AR580" i="11"/>
  <c r="AS580" i="11"/>
  <c r="AP581" i="11"/>
  <c r="AQ581" i="11"/>
  <c r="AR581" i="11"/>
  <c r="AS581" i="11"/>
  <c r="AP582" i="11"/>
  <c r="AQ582" i="11"/>
  <c r="AR582" i="11"/>
  <c r="AS582" i="11"/>
  <c r="AP583" i="11"/>
  <c r="AQ583" i="11"/>
  <c r="AR583" i="11"/>
  <c r="AS583" i="11"/>
  <c r="AP584" i="11"/>
  <c r="AQ584" i="11"/>
  <c r="AR584" i="11"/>
  <c r="AS584" i="11"/>
  <c r="AP585" i="11"/>
  <c r="AQ585" i="11"/>
  <c r="AR585" i="11"/>
  <c r="AS585" i="11"/>
  <c r="AP586" i="11"/>
  <c r="AQ586" i="11"/>
  <c r="AR586" i="11"/>
  <c r="AS586" i="11"/>
  <c r="AP587" i="11"/>
  <c r="AQ587" i="11"/>
  <c r="AR587" i="11"/>
  <c r="AS587" i="11"/>
  <c r="AP588" i="11"/>
  <c r="AQ588" i="11"/>
  <c r="AR588" i="11"/>
  <c r="AS588" i="11"/>
  <c r="AP589" i="11"/>
  <c r="AQ589" i="11"/>
  <c r="AR589" i="11"/>
  <c r="AS589" i="11"/>
  <c r="AP590" i="11"/>
  <c r="AQ590" i="11"/>
  <c r="AR590" i="11"/>
  <c r="AS590" i="11"/>
  <c r="AP591" i="11"/>
  <c r="AQ591" i="11"/>
  <c r="AR591" i="11"/>
  <c r="AS591" i="11"/>
  <c r="AP592" i="11"/>
  <c r="AQ592" i="11"/>
  <c r="AR592" i="11"/>
  <c r="AS592" i="11"/>
  <c r="AP593" i="11"/>
  <c r="AQ593" i="11"/>
  <c r="AR593" i="11"/>
  <c r="AS593" i="11"/>
  <c r="AP594" i="11"/>
  <c r="AQ594" i="11"/>
  <c r="AR594" i="11"/>
  <c r="AS594" i="11"/>
  <c r="AP595" i="11"/>
  <c r="AQ595" i="11"/>
  <c r="AR595" i="11"/>
  <c r="AS595" i="11"/>
  <c r="AP596" i="11"/>
  <c r="AQ596" i="11"/>
  <c r="AR596" i="11"/>
  <c r="AS596" i="11"/>
  <c r="AP597" i="11"/>
  <c r="AQ597" i="11"/>
  <c r="AR597" i="11"/>
  <c r="AS597" i="11"/>
  <c r="AP598" i="11"/>
  <c r="AQ598" i="11"/>
  <c r="AR598" i="11"/>
  <c r="AS598" i="11"/>
  <c r="AP599" i="11"/>
  <c r="AQ599" i="11"/>
  <c r="AR599" i="11"/>
  <c r="AS599" i="11"/>
  <c r="AP600" i="11"/>
  <c r="AQ600" i="11"/>
  <c r="AR600" i="11"/>
  <c r="AS600" i="11"/>
  <c r="AP601" i="11"/>
  <c r="AQ601" i="11"/>
  <c r="AR601" i="11"/>
  <c r="AS601" i="11"/>
  <c r="AP602" i="11"/>
  <c r="AQ602" i="11"/>
  <c r="AR602" i="11"/>
  <c r="AS602" i="11"/>
  <c r="AP603" i="11"/>
  <c r="AQ603" i="11"/>
  <c r="AR603" i="11"/>
  <c r="AS603" i="11"/>
  <c r="AP604" i="11"/>
  <c r="AQ604" i="11"/>
  <c r="AR604" i="11"/>
  <c r="AS604" i="11"/>
  <c r="AP605" i="11"/>
  <c r="AQ605" i="11"/>
  <c r="AR605" i="11"/>
  <c r="AS605" i="11"/>
  <c r="AP606" i="11"/>
  <c r="AQ606" i="11"/>
  <c r="AR606" i="11"/>
  <c r="AS606" i="11"/>
  <c r="AP607" i="11"/>
  <c r="AQ607" i="11"/>
  <c r="AR607" i="11"/>
  <c r="AS607" i="11"/>
  <c r="AP608" i="11"/>
  <c r="AQ608" i="11"/>
  <c r="AR608" i="11"/>
  <c r="AS608" i="11"/>
  <c r="AP609" i="11"/>
  <c r="AQ609" i="11"/>
  <c r="AR609" i="11"/>
  <c r="AS609" i="11"/>
  <c r="AP610" i="11"/>
  <c r="AQ610" i="11"/>
  <c r="AR610" i="11"/>
  <c r="AS610" i="11"/>
  <c r="AP611" i="11"/>
  <c r="AQ611" i="11"/>
  <c r="AR611" i="11"/>
  <c r="AS611" i="11"/>
  <c r="AP612" i="11"/>
  <c r="AQ612" i="11"/>
  <c r="AR612" i="11"/>
  <c r="AS612" i="11"/>
  <c r="AP613" i="11"/>
  <c r="AQ613" i="11"/>
  <c r="AR613" i="11"/>
  <c r="AS613" i="11"/>
  <c r="AP614" i="11"/>
  <c r="AQ614" i="11"/>
  <c r="AR614" i="11"/>
  <c r="AS614" i="11"/>
  <c r="AP615" i="11"/>
  <c r="AQ615" i="11"/>
  <c r="AR615" i="11"/>
  <c r="AS615" i="11"/>
  <c r="AP616" i="11"/>
  <c r="AQ616" i="11"/>
  <c r="AR616" i="11"/>
  <c r="AS616" i="11"/>
  <c r="AP617" i="11"/>
  <c r="AQ617" i="11"/>
  <c r="AR617" i="11"/>
  <c r="AS617" i="11"/>
  <c r="AP618" i="11"/>
  <c r="AQ618" i="11"/>
  <c r="AR618" i="11"/>
  <c r="AS618" i="11"/>
  <c r="AP619" i="11"/>
  <c r="AQ619" i="11"/>
  <c r="AR619" i="11"/>
  <c r="AS619" i="11"/>
  <c r="AP620" i="11"/>
  <c r="AQ620" i="11"/>
  <c r="AR620" i="11"/>
  <c r="AS620" i="11"/>
  <c r="AP621" i="11"/>
  <c r="AQ621" i="11"/>
  <c r="AR621" i="11"/>
  <c r="AS621" i="11"/>
  <c r="AP622" i="11"/>
  <c r="AQ622" i="11"/>
  <c r="AR622" i="11"/>
  <c r="AS622" i="11"/>
  <c r="AP623" i="11"/>
  <c r="AQ623" i="11"/>
  <c r="AR623" i="11"/>
  <c r="AS623" i="11"/>
  <c r="AP624" i="11"/>
  <c r="AQ624" i="11"/>
  <c r="AR624" i="11"/>
  <c r="AS624" i="11"/>
  <c r="AP625" i="11"/>
  <c r="AQ625" i="11"/>
  <c r="AR625" i="11"/>
  <c r="AS625" i="11"/>
  <c r="AP626" i="11"/>
  <c r="AQ626" i="11"/>
  <c r="AR626" i="11"/>
  <c r="AS626" i="11"/>
  <c r="AP627" i="11"/>
  <c r="AQ627" i="11"/>
  <c r="AR627" i="11"/>
  <c r="AS627" i="11"/>
  <c r="AP628" i="11"/>
  <c r="AQ628" i="11"/>
  <c r="AR628" i="11"/>
  <c r="AS628" i="11"/>
  <c r="AP629" i="11"/>
  <c r="AQ629" i="11"/>
  <c r="AR629" i="11"/>
  <c r="AS629" i="11"/>
  <c r="AP630" i="11"/>
  <c r="AQ630" i="11"/>
  <c r="AR630" i="11"/>
  <c r="AS630" i="11"/>
  <c r="AP631" i="11"/>
  <c r="AQ631" i="11"/>
  <c r="AR631" i="11"/>
  <c r="AS631" i="11"/>
  <c r="AP632" i="11"/>
  <c r="AQ632" i="11"/>
  <c r="AR632" i="11"/>
  <c r="AS632" i="11"/>
  <c r="AP633" i="11"/>
  <c r="AQ633" i="11"/>
  <c r="AR633" i="11"/>
  <c r="AS633" i="11"/>
  <c r="AP634" i="11"/>
  <c r="AQ634" i="11"/>
  <c r="AR634" i="11"/>
  <c r="AS634" i="11"/>
  <c r="AP635" i="11"/>
  <c r="AQ635" i="11"/>
  <c r="AR635" i="11"/>
  <c r="AS635" i="11"/>
  <c r="AP636" i="11"/>
  <c r="AQ636" i="11"/>
  <c r="AR636" i="11"/>
  <c r="AS636" i="11"/>
  <c r="AP637" i="11"/>
  <c r="AQ637" i="11"/>
  <c r="AR637" i="11"/>
  <c r="AS637" i="11"/>
  <c r="AP638" i="11"/>
  <c r="AQ638" i="11"/>
  <c r="AR638" i="11"/>
  <c r="AS638" i="11"/>
  <c r="AP639" i="11"/>
  <c r="AQ639" i="11"/>
  <c r="AR639" i="11"/>
  <c r="AS639" i="11"/>
  <c r="AP640" i="11"/>
  <c r="AQ640" i="11"/>
  <c r="AR640" i="11"/>
  <c r="AS640" i="11"/>
  <c r="AP641" i="11"/>
  <c r="AQ641" i="11"/>
  <c r="AR641" i="11"/>
  <c r="AS641" i="11"/>
  <c r="AP642" i="11"/>
  <c r="AQ642" i="11"/>
  <c r="AR642" i="11"/>
  <c r="AS642" i="11"/>
  <c r="AP643" i="11"/>
  <c r="AQ643" i="11"/>
  <c r="AR643" i="11"/>
  <c r="AS643" i="11"/>
  <c r="AP644" i="11"/>
  <c r="AQ644" i="11"/>
  <c r="AR644" i="11"/>
  <c r="AS644" i="11"/>
  <c r="AP645" i="11"/>
  <c r="AQ645" i="11"/>
  <c r="AR645" i="11"/>
  <c r="AS645" i="11"/>
  <c r="AP646" i="11"/>
  <c r="AQ646" i="11"/>
  <c r="AR646" i="11"/>
  <c r="AS646" i="11"/>
  <c r="AP647" i="11"/>
  <c r="AQ647" i="11"/>
  <c r="AR647" i="11"/>
  <c r="AS647" i="11"/>
  <c r="AP648" i="11"/>
  <c r="AQ648" i="11"/>
  <c r="AR648" i="11"/>
  <c r="AS648" i="11"/>
  <c r="AP649" i="11"/>
  <c r="AQ649" i="11"/>
  <c r="AR649" i="11"/>
  <c r="AS649" i="11"/>
  <c r="AP650" i="11"/>
  <c r="AQ650" i="11"/>
  <c r="AR650" i="11"/>
  <c r="AS650" i="11"/>
  <c r="AP651" i="11"/>
  <c r="AQ651" i="11"/>
  <c r="AR651" i="11"/>
  <c r="AS651" i="11"/>
  <c r="AP652" i="11"/>
  <c r="AQ652" i="11"/>
  <c r="AR652" i="11"/>
  <c r="AS652" i="11"/>
  <c r="AP653" i="11"/>
  <c r="AQ653" i="11"/>
  <c r="AR653" i="11"/>
  <c r="AS653" i="11"/>
  <c r="AP654" i="11"/>
  <c r="AQ654" i="11"/>
  <c r="AR654" i="11"/>
  <c r="AS654" i="11"/>
  <c r="AP655" i="11"/>
  <c r="AQ655" i="11"/>
  <c r="AR655" i="11"/>
  <c r="AS655" i="11"/>
  <c r="AP656" i="11"/>
  <c r="AQ656" i="11"/>
  <c r="AR656" i="11"/>
  <c r="AS656" i="11"/>
  <c r="AP657" i="11"/>
  <c r="AQ657" i="11"/>
  <c r="AR657" i="11"/>
  <c r="AS657" i="11"/>
  <c r="AP658" i="11"/>
  <c r="AQ658" i="11"/>
  <c r="AR658" i="11"/>
  <c r="AS658" i="11"/>
  <c r="AP659" i="11"/>
  <c r="AQ659" i="11"/>
  <c r="AR659" i="11"/>
  <c r="AS659" i="11"/>
  <c r="AP660" i="11"/>
  <c r="AQ660" i="11"/>
  <c r="AR660" i="11"/>
  <c r="AS660" i="11"/>
  <c r="AP661" i="11"/>
  <c r="AQ661" i="11"/>
  <c r="AR661" i="11"/>
  <c r="AS661" i="11"/>
  <c r="AP662" i="11"/>
  <c r="AQ662" i="11"/>
  <c r="AR662" i="11"/>
  <c r="AS662" i="11"/>
  <c r="AP663" i="11"/>
  <c r="AQ663" i="11"/>
  <c r="AR663" i="11"/>
  <c r="AS663" i="11"/>
  <c r="AP664" i="11"/>
  <c r="AQ664" i="11"/>
  <c r="AR664" i="11"/>
  <c r="AS664" i="11"/>
  <c r="AP665" i="11"/>
  <c r="AQ665" i="11"/>
  <c r="AR665" i="11"/>
  <c r="AS665" i="11"/>
  <c r="AP666" i="11"/>
  <c r="AQ666" i="11"/>
  <c r="AR666" i="11"/>
  <c r="AS666" i="11"/>
  <c r="AP667" i="11"/>
  <c r="AQ667" i="11"/>
  <c r="AR667" i="11"/>
  <c r="AS667" i="11"/>
  <c r="AP668" i="11"/>
  <c r="AQ668" i="11"/>
  <c r="AR668" i="11"/>
  <c r="AS668" i="11"/>
  <c r="AP669" i="11"/>
  <c r="AQ669" i="11"/>
  <c r="AR669" i="11"/>
  <c r="AS669" i="11"/>
  <c r="AP670" i="11"/>
  <c r="AQ670" i="11"/>
  <c r="AR670" i="11"/>
  <c r="AS670" i="11"/>
  <c r="AP671" i="11"/>
  <c r="AQ671" i="11"/>
  <c r="AR671" i="11"/>
  <c r="AS671" i="11"/>
  <c r="AP672" i="11"/>
  <c r="AQ672" i="11"/>
  <c r="AR672" i="11"/>
  <c r="AS672" i="11"/>
  <c r="AP673" i="11"/>
  <c r="AQ673" i="11"/>
  <c r="AR673" i="11"/>
  <c r="AS673" i="11"/>
  <c r="AP674" i="11"/>
  <c r="AQ674" i="11"/>
  <c r="AR674" i="11"/>
  <c r="AS674" i="11"/>
  <c r="AP675" i="11"/>
  <c r="AQ675" i="11"/>
  <c r="AR675" i="11"/>
  <c r="AS675" i="11"/>
  <c r="AP676" i="11"/>
  <c r="AQ676" i="11"/>
  <c r="AR676" i="11"/>
  <c r="AS676" i="11"/>
  <c r="AP677" i="11"/>
  <c r="AQ677" i="11"/>
  <c r="AR677" i="11"/>
  <c r="AS677" i="11"/>
  <c r="AP678" i="11"/>
  <c r="AQ678" i="11"/>
  <c r="AR678" i="11"/>
  <c r="AS678" i="11"/>
  <c r="AP679" i="11"/>
  <c r="AQ679" i="11"/>
  <c r="AR679" i="11"/>
  <c r="AS679" i="11"/>
  <c r="AP680" i="11"/>
  <c r="AQ680" i="11"/>
  <c r="AR680" i="11"/>
  <c r="AS680" i="11"/>
  <c r="AP681" i="11"/>
  <c r="AQ681" i="11"/>
  <c r="AR681" i="11"/>
  <c r="AS681" i="11"/>
  <c r="AP682" i="11"/>
  <c r="AQ682" i="11"/>
  <c r="AR682" i="11"/>
  <c r="AS682" i="11"/>
  <c r="AP683" i="11"/>
  <c r="AQ683" i="11"/>
  <c r="AR683" i="11"/>
  <c r="AS683" i="11"/>
  <c r="AP684" i="11"/>
  <c r="AQ684" i="11"/>
  <c r="AR684" i="11"/>
  <c r="AS684" i="11"/>
  <c r="AP685" i="11"/>
  <c r="AQ685" i="11"/>
  <c r="AR685" i="11"/>
  <c r="AS685" i="11"/>
  <c r="AP686" i="11"/>
  <c r="AQ686" i="11"/>
  <c r="AR686" i="11"/>
  <c r="AS686" i="11"/>
  <c r="AP687" i="11"/>
  <c r="AQ687" i="11"/>
  <c r="AR687" i="11"/>
  <c r="AS687" i="11"/>
  <c r="AP688" i="11"/>
  <c r="AQ688" i="11"/>
  <c r="AR688" i="11"/>
  <c r="AS688" i="11"/>
  <c r="AP689" i="11"/>
  <c r="AQ689" i="11"/>
  <c r="AR689" i="11"/>
  <c r="AS689" i="11"/>
  <c r="AP690" i="11"/>
  <c r="AQ690" i="11"/>
  <c r="AR690" i="11"/>
  <c r="AS690" i="11"/>
  <c r="AP691" i="11"/>
  <c r="AQ691" i="11"/>
  <c r="AR691" i="11"/>
  <c r="AS691" i="11"/>
  <c r="AP692" i="11"/>
  <c r="AQ692" i="11"/>
  <c r="AR692" i="11"/>
  <c r="AS692" i="11"/>
  <c r="AP693" i="11"/>
  <c r="AQ693" i="11"/>
  <c r="AR693" i="11"/>
  <c r="AS693" i="11"/>
  <c r="AP694" i="11"/>
  <c r="AQ694" i="11"/>
  <c r="AR694" i="11"/>
  <c r="AS694" i="11"/>
  <c r="AP695" i="11"/>
  <c r="AQ695" i="11"/>
  <c r="AR695" i="11"/>
  <c r="AS695" i="11"/>
  <c r="AP696" i="11"/>
  <c r="AQ696" i="11"/>
  <c r="AR696" i="11"/>
  <c r="AS696" i="11"/>
  <c r="AP697" i="11"/>
  <c r="AQ697" i="11"/>
  <c r="AR697" i="11"/>
  <c r="AS697" i="11"/>
  <c r="AP698" i="11"/>
  <c r="AQ698" i="11"/>
  <c r="AR698" i="11"/>
  <c r="AS698" i="11"/>
  <c r="AP699" i="11"/>
  <c r="AQ699" i="11"/>
  <c r="AR699" i="11"/>
  <c r="AS699" i="11"/>
  <c r="AP700" i="11"/>
  <c r="AQ700" i="11"/>
  <c r="AR700" i="11"/>
  <c r="AS700" i="11"/>
  <c r="AP701" i="11"/>
  <c r="AQ701" i="11"/>
  <c r="AR701" i="11"/>
  <c r="AS701" i="11"/>
  <c r="AP702" i="11"/>
  <c r="AQ702" i="11"/>
  <c r="AR702" i="11"/>
  <c r="AS702" i="11"/>
  <c r="AP703" i="11"/>
  <c r="AQ703" i="11"/>
  <c r="AR703" i="11"/>
  <c r="AS703" i="11"/>
  <c r="AP704" i="11"/>
  <c r="AQ704" i="11"/>
  <c r="AR704" i="11"/>
  <c r="AS704" i="11"/>
  <c r="AP705" i="11"/>
  <c r="AQ705" i="11"/>
  <c r="AR705" i="11"/>
  <c r="AS705" i="11"/>
  <c r="AP706" i="11"/>
  <c r="AQ706" i="11"/>
  <c r="AR706" i="11"/>
  <c r="AS706" i="11"/>
  <c r="AP707" i="11"/>
  <c r="AQ707" i="11"/>
  <c r="AR707" i="11"/>
  <c r="AS707" i="11"/>
  <c r="AP708" i="11"/>
  <c r="AQ708" i="11"/>
  <c r="AR708" i="11"/>
  <c r="AS708" i="11"/>
  <c r="AP709" i="11"/>
  <c r="AQ709" i="11"/>
  <c r="AR709" i="11"/>
  <c r="AS709" i="11"/>
  <c r="AP710" i="11"/>
  <c r="AQ710" i="11"/>
  <c r="AR710" i="11"/>
  <c r="AS710" i="11"/>
  <c r="AP711" i="11"/>
  <c r="AQ711" i="11"/>
  <c r="AR711" i="11"/>
  <c r="AS711" i="11"/>
  <c r="AP712" i="11"/>
  <c r="AQ712" i="11"/>
  <c r="AR712" i="11"/>
  <c r="AS712" i="11"/>
  <c r="AP713" i="11"/>
  <c r="AQ713" i="11"/>
  <c r="AR713" i="11"/>
  <c r="AS713" i="11"/>
  <c r="AP714" i="11"/>
  <c r="AQ714" i="11"/>
  <c r="AR714" i="11"/>
  <c r="AS714" i="11"/>
  <c r="AP715" i="11"/>
  <c r="AQ715" i="11"/>
  <c r="AR715" i="11"/>
  <c r="AS715" i="11"/>
  <c r="AP716" i="11"/>
  <c r="AQ716" i="11"/>
  <c r="AR716" i="11"/>
  <c r="AS716" i="11"/>
  <c r="AP717" i="11"/>
  <c r="AQ717" i="11"/>
  <c r="AR717" i="11"/>
  <c r="AS717" i="11"/>
  <c r="AP718" i="11"/>
  <c r="AQ718" i="11"/>
  <c r="AR718" i="11"/>
  <c r="AS718" i="11"/>
  <c r="AP719" i="11"/>
  <c r="AQ719" i="11"/>
  <c r="AR719" i="11"/>
  <c r="AS719" i="11"/>
  <c r="AP720" i="11"/>
  <c r="AQ720" i="11"/>
  <c r="AR720" i="11"/>
  <c r="AS720" i="11"/>
  <c r="AP721" i="11"/>
  <c r="AQ721" i="11"/>
  <c r="AR721" i="11"/>
  <c r="AS721" i="11"/>
  <c r="AP722" i="11"/>
  <c r="AQ722" i="11"/>
  <c r="AR722" i="11"/>
  <c r="AS722" i="11"/>
  <c r="AP723" i="11"/>
  <c r="AQ723" i="11"/>
  <c r="AR723" i="11"/>
  <c r="AS723" i="11"/>
  <c r="AP724" i="11"/>
  <c r="AQ724" i="11"/>
  <c r="AR724" i="11"/>
  <c r="AS724" i="11"/>
  <c r="AP725" i="11"/>
  <c r="AQ725" i="11"/>
  <c r="AR725" i="11"/>
  <c r="AS725" i="11"/>
  <c r="AP726" i="11"/>
  <c r="AQ726" i="11"/>
  <c r="AR726" i="11"/>
  <c r="AS726" i="11"/>
  <c r="AP727" i="11"/>
  <c r="AQ727" i="11"/>
  <c r="AR727" i="11"/>
  <c r="AS727" i="11"/>
  <c r="AP728" i="11"/>
  <c r="AQ728" i="11"/>
  <c r="AR728" i="11"/>
  <c r="AS728" i="11"/>
  <c r="AP729" i="11"/>
  <c r="AQ729" i="11"/>
  <c r="AR729" i="11"/>
  <c r="AS729" i="11"/>
  <c r="AP730" i="11"/>
  <c r="AQ730" i="11"/>
  <c r="AR730" i="11"/>
  <c r="AS730" i="11"/>
  <c r="AP731" i="11"/>
  <c r="AQ731" i="11"/>
  <c r="AR731" i="11"/>
  <c r="AS731" i="11"/>
  <c r="AP732" i="11"/>
  <c r="AQ732" i="11"/>
  <c r="AR732" i="11"/>
  <c r="AS732" i="11"/>
  <c r="AS2" i="11"/>
  <c r="AR2" i="11"/>
  <c r="AQ2" i="11"/>
  <c r="AP2" i="11"/>
  <c r="AN3" i="11"/>
  <c r="AO3" i="11"/>
  <c r="AN4" i="11"/>
  <c r="AO4" i="11"/>
  <c r="AN5" i="11"/>
  <c r="AO5" i="11"/>
  <c r="AN6" i="11"/>
  <c r="AO6" i="11"/>
  <c r="AN7" i="11"/>
  <c r="AO7" i="11"/>
  <c r="AN8" i="11"/>
  <c r="AO8" i="11"/>
  <c r="AN9" i="11"/>
  <c r="AO9" i="11"/>
  <c r="AN10" i="11"/>
  <c r="AO10" i="11"/>
  <c r="AN11" i="11"/>
  <c r="AO11" i="11"/>
  <c r="AN12" i="11"/>
  <c r="AO12" i="11"/>
  <c r="AN13" i="11"/>
  <c r="AO13" i="11"/>
  <c r="AN14" i="11"/>
  <c r="AO14" i="11"/>
  <c r="AN15" i="11"/>
  <c r="AO15" i="11"/>
  <c r="AN16" i="11"/>
  <c r="AO16" i="11"/>
  <c r="AN17" i="11"/>
  <c r="AO17" i="11"/>
  <c r="AN18" i="11"/>
  <c r="AO18" i="11"/>
  <c r="AN19" i="11"/>
  <c r="AO19" i="11"/>
  <c r="AN20" i="11"/>
  <c r="AO20" i="11"/>
  <c r="AN21" i="11"/>
  <c r="AO21" i="11"/>
  <c r="AN22" i="11"/>
  <c r="AO22" i="11"/>
  <c r="AN23" i="11"/>
  <c r="AO23" i="11"/>
  <c r="AN24" i="11"/>
  <c r="AO24" i="11"/>
  <c r="AN25" i="11"/>
  <c r="AO25" i="11"/>
  <c r="AN26" i="11"/>
  <c r="AO26" i="11"/>
  <c r="AN27" i="11"/>
  <c r="AO27" i="11"/>
  <c r="AN28" i="11"/>
  <c r="AO28" i="11"/>
  <c r="AN29" i="11"/>
  <c r="AO29" i="11"/>
  <c r="AN30" i="11"/>
  <c r="AO30" i="11"/>
  <c r="AN31" i="11"/>
  <c r="AO31" i="11"/>
  <c r="AN32" i="11"/>
  <c r="AO32" i="11"/>
  <c r="AN33" i="11"/>
  <c r="AO33" i="11"/>
  <c r="AN34" i="11"/>
  <c r="AO34" i="11"/>
  <c r="AN35" i="11"/>
  <c r="AO35" i="11"/>
  <c r="AN36" i="11"/>
  <c r="AO36" i="11"/>
  <c r="AN37" i="11"/>
  <c r="AO37" i="11"/>
  <c r="AN38" i="11"/>
  <c r="AO38" i="11"/>
  <c r="AN39" i="11"/>
  <c r="AO39" i="11"/>
  <c r="AN40" i="11"/>
  <c r="AO40" i="11"/>
  <c r="AN41" i="11"/>
  <c r="AO41" i="11"/>
  <c r="AN42" i="11"/>
  <c r="AO42" i="11"/>
  <c r="AN43" i="11"/>
  <c r="AO43" i="11"/>
  <c r="AN44" i="11"/>
  <c r="AO44" i="11"/>
  <c r="AN45" i="11"/>
  <c r="AO45" i="11"/>
  <c r="AN46" i="11"/>
  <c r="AO46" i="11"/>
  <c r="AN47" i="11"/>
  <c r="AO47" i="11"/>
  <c r="AN48" i="11"/>
  <c r="AO48" i="11"/>
  <c r="AN49" i="11"/>
  <c r="AO49" i="11"/>
  <c r="AN50" i="11"/>
  <c r="AO50" i="11"/>
  <c r="AN51" i="11"/>
  <c r="AO51" i="11"/>
  <c r="AN52" i="11"/>
  <c r="AO52" i="11"/>
  <c r="AN53" i="11"/>
  <c r="AO53" i="11"/>
  <c r="AN54" i="11"/>
  <c r="AO54" i="11"/>
  <c r="AN55" i="11"/>
  <c r="AO55" i="11"/>
  <c r="AN56" i="11"/>
  <c r="AO56" i="11"/>
  <c r="AN57" i="11"/>
  <c r="AO57" i="11"/>
  <c r="AN58" i="11"/>
  <c r="AO58" i="11"/>
  <c r="AN59" i="11"/>
  <c r="AO59" i="11"/>
  <c r="AN60" i="11"/>
  <c r="AO60" i="11"/>
  <c r="AN61" i="11"/>
  <c r="AO61" i="11"/>
  <c r="AN62" i="11"/>
  <c r="AO62" i="11"/>
  <c r="AN63" i="11"/>
  <c r="AO63" i="11"/>
  <c r="AN64" i="11"/>
  <c r="AO64" i="11"/>
  <c r="AN65" i="11"/>
  <c r="AO65" i="11"/>
  <c r="AN66" i="11"/>
  <c r="AO66" i="11"/>
  <c r="AN67" i="11"/>
  <c r="AO67" i="11"/>
  <c r="AN68" i="11"/>
  <c r="AO68" i="11"/>
  <c r="AN69" i="11"/>
  <c r="AO69" i="11"/>
  <c r="AN70" i="11"/>
  <c r="AO70" i="11"/>
  <c r="AN71" i="11"/>
  <c r="AO71" i="11"/>
  <c r="AN72" i="11"/>
  <c r="AO72" i="11"/>
  <c r="AN73" i="11"/>
  <c r="AO73" i="11"/>
  <c r="AN74" i="11"/>
  <c r="AO74" i="11"/>
  <c r="AN75" i="11"/>
  <c r="AO75" i="11"/>
  <c r="AN76" i="11"/>
  <c r="AO76" i="11"/>
  <c r="AN77" i="11"/>
  <c r="AO77" i="11"/>
  <c r="AN78" i="11"/>
  <c r="AO78" i="11"/>
  <c r="AN79" i="11"/>
  <c r="AO79" i="11"/>
  <c r="AN80" i="11"/>
  <c r="AO80" i="11"/>
  <c r="AN81" i="11"/>
  <c r="AO81" i="11"/>
  <c r="AN82" i="11"/>
  <c r="AO82" i="11"/>
  <c r="AN83" i="11"/>
  <c r="AO83" i="11"/>
  <c r="AN84" i="11"/>
  <c r="AO84" i="11"/>
  <c r="AN85" i="11"/>
  <c r="AO85" i="11"/>
  <c r="AN86" i="11"/>
  <c r="AO86" i="11"/>
  <c r="AN87" i="11"/>
  <c r="AO87" i="11"/>
  <c r="AN88" i="11"/>
  <c r="AO88" i="11"/>
  <c r="AN89" i="11"/>
  <c r="AO89" i="11"/>
  <c r="AN90" i="11"/>
  <c r="AO90" i="11"/>
  <c r="AN91" i="11"/>
  <c r="AO91" i="11"/>
  <c r="AN92" i="11"/>
  <c r="AO92" i="11"/>
  <c r="AN93" i="11"/>
  <c r="AO93" i="11"/>
  <c r="AN94" i="11"/>
  <c r="AO94" i="11"/>
  <c r="AN95" i="11"/>
  <c r="AO95" i="11"/>
  <c r="AN96" i="11"/>
  <c r="AO96" i="11"/>
  <c r="AN97" i="11"/>
  <c r="AO97" i="11"/>
  <c r="AN98" i="11"/>
  <c r="AO98" i="11"/>
  <c r="AN99" i="11"/>
  <c r="AO99" i="11"/>
  <c r="AN100" i="11"/>
  <c r="AO100" i="11"/>
  <c r="AN101" i="11"/>
  <c r="AO101" i="11"/>
  <c r="AN102" i="11"/>
  <c r="AO102" i="11"/>
  <c r="AN103" i="11"/>
  <c r="AO103" i="11"/>
  <c r="AN104" i="11"/>
  <c r="AO104" i="11"/>
  <c r="AN105" i="11"/>
  <c r="AO105" i="11"/>
  <c r="AN106" i="11"/>
  <c r="AO106" i="11"/>
  <c r="AN107" i="11"/>
  <c r="AO107" i="11"/>
  <c r="AN108" i="11"/>
  <c r="AO108" i="11"/>
  <c r="AN109" i="11"/>
  <c r="AO109" i="11"/>
  <c r="AN110" i="11"/>
  <c r="AO110" i="11"/>
  <c r="AN111" i="11"/>
  <c r="AO111" i="11"/>
  <c r="AN112" i="11"/>
  <c r="AO112" i="11"/>
  <c r="AN113" i="11"/>
  <c r="AO113" i="11"/>
  <c r="AN114" i="11"/>
  <c r="AO114" i="11"/>
  <c r="AN115" i="11"/>
  <c r="AO115" i="11"/>
  <c r="AN116" i="11"/>
  <c r="AO116" i="11"/>
  <c r="AN117" i="11"/>
  <c r="AO117" i="11"/>
  <c r="AN118" i="11"/>
  <c r="AO118" i="11"/>
  <c r="AN119" i="11"/>
  <c r="AO119" i="11"/>
  <c r="AN120" i="11"/>
  <c r="AO120" i="11"/>
  <c r="AN121" i="11"/>
  <c r="AO121" i="11"/>
  <c r="AN122" i="11"/>
  <c r="AO122" i="11"/>
  <c r="AN123" i="11"/>
  <c r="AO123" i="11"/>
  <c r="AN124" i="11"/>
  <c r="AO124" i="11"/>
  <c r="AN125" i="11"/>
  <c r="AO125" i="11"/>
  <c r="AN126" i="11"/>
  <c r="AO126" i="11"/>
  <c r="AN127" i="11"/>
  <c r="AO127" i="11"/>
  <c r="AN128" i="11"/>
  <c r="AO128" i="11"/>
  <c r="AN129" i="11"/>
  <c r="AO129" i="11"/>
  <c r="AN130" i="11"/>
  <c r="AO130" i="11"/>
  <c r="AN131" i="11"/>
  <c r="AO131" i="11"/>
  <c r="AN132" i="11"/>
  <c r="AO132" i="11"/>
  <c r="AN133" i="11"/>
  <c r="AO133" i="11"/>
  <c r="AN134" i="11"/>
  <c r="AO134" i="11"/>
  <c r="AN135" i="11"/>
  <c r="AO135" i="11"/>
  <c r="AN136" i="11"/>
  <c r="AO136" i="11"/>
  <c r="AN137" i="11"/>
  <c r="AO137" i="11"/>
  <c r="AN138" i="11"/>
  <c r="AO138" i="11"/>
  <c r="AN139" i="11"/>
  <c r="AO139" i="11"/>
  <c r="AN140" i="11"/>
  <c r="AO140" i="11"/>
  <c r="AN141" i="11"/>
  <c r="AO141" i="11"/>
  <c r="AN142" i="11"/>
  <c r="AO142" i="11"/>
  <c r="AN143" i="11"/>
  <c r="AO143" i="11"/>
  <c r="AN144" i="11"/>
  <c r="AO144" i="11"/>
  <c r="AN145" i="11"/>
  <c r="AO145" i="11"/>
  <c r="AN146" i="11"/>
  <c r="AO146" i="11"/>
  <c r="AN147" i="11"/>
  <c r="AO147" i="11"/>
  <c r="AN148" i="11"/>
  <c r="AO148" i="11"/>
  <c r="AN149" i="11"/>
  <c r="AO149" i="11"/>
  <c r="AN150" i="11"/>
  <c r="AO150" i="11"/>
  <c r="AN151" i="11"/>
  <c r="AO151" i="11"/>
  <c r="AN152" i="11"/>
  <c r="AO152" i="11"/>
  <c r="AN153" i="11"/>
  <c r="AO153" i="11"/>
  <c r="AN154" i="11"/>
  <c r="AO154" i="11"/>
  <c r="AN155" i="11"/>
  <c r="AO155" i="11"/>
  <c r="AN156" i="11"/>
  <c r="AO156" i="11"/>
  <c r="AN157" i="11"/>
  <c r="AO157" i="11"/>
  <c r="AN158" i="11"/>
  <c r="AO158" i="11"/>
  <c r="AN159" i="11"/>
  <c r="AO159" i="11"/>
  <c r="AN160" i="11"/>
  <c r="AO160" i="11"/>
  <c r="AN161" i="11"/>
  <c r="AO161" i="11"/>
  <c r="AN162" i="11"/>
  <c r="AO162" i="11"/>
  <c r="AN163" i="11"/>
  <c r="AO163" i="11"/>
  <c r="AN164" i="11"/>
  <c r="AO164" i="11"/>
  <c r="AN165" i="11"/>
  <c r="AO165" i="11"/>
  <c r="AN166" i="11"/>
  <c r="AO166" i="11"/>
  <c r="AN167" i="11"/>
  <c r="AO167" i="11"/>
  <c r="AN168" i="11"/>
  <c r="AO168" i="11"/>
  <c r="AN169" i="11"/>
  <c r="AO169" i="11"/>
  <c r="AN170" i="11"/>
  <c r="AO170" i="11"/>
  <c r="AN171" i="11"/>
  <c r="AO171" i="11"/>
  <c r="AN172" i="11"/>
  <c r="AO172" i="11"/>
  <c r="AN173" i="11"/>
  <c r="AO173" i="11"/>
  <c r="AN174" i="11"/>
  <c r="AO174" i="11"/>
  <c r="AN175" i="11"/>
  <c r="AO175" i="11"/>
  <c r="AN176" i="11"/>
  <c r="AO176" i="11"/>
  <c r="AN177" i="11"/>
  <c r="AO177" i="11"/>
  <c r="AN178" i="11"/>
  <c r="AO178" i="11"/>
  <c r="AN179" i="11"/>
  <c r="AO179" i="11"/>
  <c r="AN180" i="11"/>
  <c r="AO180" i="11"/>
  <c r="AN181" i="11"/>
  <c r="AO181" i="11"/>
  <c r="AN182" i="11"/>
  <c r="AO182" i="11"/>
  <c r="AN183" i="11"/>
  <c r="AO183" i="11"/>
  <c r="AN184" i="11"/>
  <c r="AO184" i="11"/>
  <c r="AN185" i="11"/>
  <c r="AO185" i="11"/>
  <c r="AN186" i="11"/>
  <c r="AO186" i="11"/>
  <c r="AN187" i="11"/>
  <c r="AO187" i="11"/>
  <c r="AN188" i="11"/>
  <c r="AO188" i="11"/>
  <c r="AN189" i="11"/>
  <c r="AO189" i="11"/>
  <c r="AN190" i="11"/>
  <c r="AO190" i="11"/>
  <c r="AN191" i="11"/>
  <c r="AO191" i="11"/>
  <c r="AN192" i="11"/>
  <c r="AO192" i="11"/>
  <c r="AN193" i="11"/>
  <c r="AO193" i="11"/>
  <c r="AN194" i="11"/>
  <c r="AO194" i="11"/>
  <c r="AN195" i="11"/>
  <c r="AO195" i="11"/>
  <c r="AN196" i="11"/>
  <c r="AO196" i="11"/>
  <c r="AN197" i="11"/>
  <c r="AO197" i="11"/>
  <c r="AN198" i="11"/>
  <c r="AO198" i="11"/>
  <c r="AN199" i="11"/>
  <c r="AO199" i="11"/>
  <c r="AN200" i="11"/>
  <c r="AO200" i="11"/>
  <c r="AN201" i="11"/>
  <c r="AO201" i="11"/>
  <c r="AN202" i="11"/>
  <c r="AO202" i="11"/>
  <c r="AN203" i="11"/>
  <c r="AO203" i="11"/>
  <c r="AN204" i="11"/>
  <c r="AO204" i="11"/>
  <c r="AN205" i="11"/>
  <c r="AO205" i="11"/>
  <c r="AN206" i="11"/>
  <c r="AO206" i="11"/>
  <c r="AN207" i="11"/>
  <c r="AO207" i="11"/>
  <c r="AN208" i="11"/>
  <c r="AO208" i="11"/>
  <c r="AN209" i="11"/>
  <c r="AO209" i="11"/>
  <c r="AN210" i="11"/>
  <c r="AO210" i="11"/>
  <c r="AN211" i="11"/>
  <c r="AO211" i="11"/>
  <c r="AN212" i="11"/>
  <c r="AO212" i="11"/>
  <c r="AN213" i="11"/>
  <c r="AO213" i="11"/>
  <c r="AN214" i="11"/>
  <c r="AO214" i="11"/>
  <c r="AN215" i="11"/>
  <c r="AO215" i="11"/>
  <c r="AN216" i="11"/>
  <c r="AO216" i="11"/>
  <c r="AN217" i="11"/>
  <c r="AO217" i="11"/>
  <c r="AN218" i="11"/>
  <c r="AO218" i="11"/>
  <c r="AN219" i="11"/>
  <c r="AO219" i="11"/>
  <c r="AN220" i="11"/>
  <c r="AO220" i="11"/>
  <c r="AN221" i="11"/>
  <c r="AO221" i="11"/>
  <c r="AN222" i="11"/>
  <c r="AO222" i="11"/>
  <c r="AN223" i="11"/>
  <c r="AO223" i="11"/>
  <c r="AN224" i="11"/>
  <c r="AO224" i="11"/>
  <c r="AN225" i="11"/>
  <c r="AO225" i="11"/>
  <c r="AN226" i="11"/>
  <c r="AO226" i="11"/>
  <c r="AN227" i="11"/>
  <c r="AO227" i="11"/>
  <c r="AN228" i="11"/>
  <c r="AO228" i="11"/>
  <c r="AN229" i="11"/>
  <c r="AO229" i="11"/>
  <c r="AN230" i="11"/>
  <c r="AO230" i="11"/>
  <c r="AN231" i="11"/>
  <c r="AO231" i="11"/>
  <c r="AN232" i="11"/>
  <c r="AO232" i="11"/>
  <c r="AN233" i="11"/>
  <c r="AO233" i="11"/>
  <c r="AN234" i="11"/>
  <c r="AO234" i="11"/>
  <c r="AN235" i="11"/>
  <c r="AO235" i="11"/>
  <c r="AN236" i="11"/>
  <c r="AO236" i="11"/>
  <c r="AN237" i="11"/>
  <c r="AO237" i="11"/>
  <c r="AN238" i="11"/>
  <c r="AO238" i="11"/>
  <c r="AN239" i="11"/>
  <c r="AO239" i="11"/>
  <c r="AN240" i="11"/>
  <c r="AO240" i="11"/>
  <c r="AN241" i="11"/>
  <c r="AO241" i="11"/>
  <c r="AN242" i="11"/>
  <c r="AO242" i="11"/>
  <c r="AN243" i="11"/>
  <c r="AO243" i="11"/>
  <c r="AN244" i="11"/>
  <c r="AO244" i="11"/>
  <c r="AN245" i="11"/>
  <c r="AO245" i="11"/>
  <c r="AN246" i="11"/>
  <c r="AO246" i="11"/>
  <c r="AN247" i="11"/>
  <c r="AO247" i="11"/>
  <c r="AN248" i="11"/>
  <c r="AO248" i="11"/>
  <c r="AN249" i="11"/>
  <c r="AO249" i="11"/>
  <c r="AN250" i="11"/>
  <c r="AO250" i="11"/>
  <c r="AN251" i="11"/>
  <c r="AO251" i="11"/>
  <c r="AN252" i="11"/>
  <c r="AO252" i="11"/>
  <c r="AN253" i="11"/>
  <c r="AO253" i="11"/>
  <c r="AN254" i="11"/>
  <c r="AO254" i="11"/>
  <c r="AN255" i="11"/>
  <c r="AO255" i="11"/>
  <c r="AN256" i="11"/>
  <c r="AO256" i="11"/>
  <c r="AN257" i="11"/>
  <c r="AO257" i="11"/>
  <c r="AN258" i="11"/>
  <c r="AO258" i="11"/>
  <c r="AN259" i="11"/>
  <c r="AO259" i="11"/>
  <c r="AN260" i="11"/>
  <c r="AO260" i="11"/>
  <c r="AN261" i="11"/>
  <c r="AO261" i="11"/>
  <c r="AN262" i="11"/>
  <c r="AO262" i="11"/>
  <c r="AN263" i="11"/>
  <c r="AO263" i="11"/>
  <c r="AN264" i="11"/>
  <c r="AO264" i="11"/>
  <c r="AN265" i="11"/>
  <c r="AO265" i="11"/>
  <c r="AN266" i="11"/>
  <c r="AO266" i="11"/>
  <c r="AN267" i="11"/>
  <c r="AO267" i="11"/>
  <c r="AN268" i="11"/>
  <c r="AO268" i="11"/>
  <c r="AN269" i="11"/>
  <c r="AO269" i="11"/>
  <c r="AN270" i="11"/>
  <c r="AO270" i="11"/>
  <c r="AN271" i="11"/>
  <c r="AO271" i="11"/>
  <c r="AN272" i="11"/>
  <c r="AO272" i="11"/>
  <c r="AN273" i="11"/>
  <c r="AO273" i="11"/>
  <c r="AN274" i="11"/>
  <c r="AO274" i="11"/>
  <c r="AN275" i="11"/>
  <c r="AO275" i="11"/>
  <c r="AN276" i="11"/>
  <c r="AO276" i="11"/>
  <c r="AN277" i="11"/>
  <c r="AO277" i="11"/>
  <c r="AN278" i="11"/>
  <c r="AO278" i="11"/>
  <c r="AN279" i="11"/>
  <c r="AO279" i="11"/>
  <c r="AN280" i="11"/>
  <c r="AO280" i="11"/>
  <c r="AN281" i="11"/>
  <c r="AO281" i="11"/>
  <c r="AN282" i="11"/>
  <c r="AO282" i="11"/>
  <c r="AN283" i="11"/>
  <c r="AO283" i="11"/>
  <c r="AN284" i="11"/>
  <c r="AO284" i="11"/>
  <c r="AN285" i="11"/>
  <c r="AO285" i="11"/>
  <c r="AN286" i="11"/>
  <c r="AO286" i="11"/>
  <c r="AN287" i="11"/>
  <c r="AO287" i="11"/>
  <c r="AN288" i="11"/>
  <c r="AO288" i="11"/>
  <c r="AN289" i="11"/>
  <c r="AO289" i="11"/>
  <c r="AN290" i="11"/>
  <c r="AO290" i="11"/>
  <c r="AN291" i="11"/>
  <c r="AO291" i="11"/>
  <c r="AN292" i="11"/>
  <c r="AO292" i="11"/>
  <c r="AN293" i="11"/>
  <c r="AO293" i="11"/>
  <c r="AN294" i="11"/>
  <c r="AO294" i="11"/>
  <c r="AN295" i="11"/>
  <c r="AO295" i="11"/>
  <c r="AN296" i="11"/>
  <c r="AO296" i="11"/>
  <c r="AN297" i="11"/>
  <c r="AO297" i="11"/>
  <c r="AN298" i="11"/>
  <c r="AO298" i="11"/>
  <c r="AN299" i="11"/>
  <c r="AO299" i="11"/>
  <c r="AN300" i="11"/>
  <c r="AO300" i="11"/>
  <c r="AN301" i="11"/>
  <c r="AO301" i="11"/>
  <c r="AN302" i="11"/>
  <c r="AO302" i="11"/>
  <c r="AN303" i="11"/>
  <c r="AO303" i="11"/>
  <c r="AN304" i="11"/>
  <c r="AO304" i="11"/>
  <c r="AN305" i="11"/>
  <c r="AO305" i="11"/>
  <c r="AN306" i="11"/>
  <c r="AO306" i="11"/>
  <c r="AN307" i="11"/>
  <c r="AO307" i="11"/>
  <c r="AN308" i="11"/>
  <c r="AO308" i="11"/>
  <c r="AN309" i="11"/>
  <c r="AO309" i="11"/>
  <c r="AN310" i="11"/>
  <c r="AO310" i="11"/>
  <c r="AN311" i="11"/>
  <c r="AO311" i="11"/>
  <c r="AN312" i="11"/>
  <c r="AO312" i="11"/>
  <c r="AN313" i="11"/>
  <c r="AO313" i="11"/>
  <c r="AN314" i="11"/>
  <c r="AO314" i="11"/>
  <c r="AN315" i="11"/>
  <c r="AO315" i="11"/>
  <c r="AN316" i="11"/>
  <c r="AO316" i="11"/>
  <c r="AN317" i="11"/>
  <c r="AO317" i="11"/>
  <c r="AN318" i="11"/>
  <c r="AO318" i="11"/>
  <c r="AN319" i="11"/>
  <c r="AO319" i="11"/>
  <c r="AN320" i="11"/>
  <c r="AO320" i="11"/>
  <c r="AN321" i="11"/>
  <c r="AO321" i="11"/>
  <c r="AN322" i="11"/>
  <c r="AO322" i="11"/>
  <c r="AN323" i="11"/>
  <c r="AO323" i="11"/>
  <c r="AN324" i="11"/>
  <c r="AO324" i="11"/>
  <c r="AN325" i="11"/>
  <c r="AO325" i="11"/>
  <c r="AN326" i="11"/>
  <c r="AO326" i="11"/>
  <c r="AN327" i="11"/>
  <c r="AO327" i="11"/>
  <c r="AN328" i="11"/>
  <c r="AO328" i="11"/>
  <c r="AN329" i="11"/>
  <c r="AO329" i="11"/>
  <c r="AN330" i="11"/>
  <c r="AO330" i="11"/>
  <c r="AN331" i="11"/>
  <c r="AO331" i="11"/>
  <c r="AN332" i="11"/>
  <c r="AO332" i="11"/>
  <c r="AN333" i="11"/>
  <c r="AO333" i="11"/>
  <c r="AN334" i="11"/>
  <c r="AO334" i="11"/>
  <c r="AN335" i="11"/>
  <c r="AO335" i="11"/>
  <c r="AN336" i="11"/>
  <c r="AO336" i="11"/>
  <c r="AN337" i="11"/>
  <c r="AO337" i="11"/>
  <c r="AN338" i="11"/>
  <c r="AO338" i="11"/>
  <c r="AN339" i="11"/>
  <c r="AO339" i="11"/>
  <c r="AN340" i="11"/>
  <c r="AO340" i="11"/>
  <c r="AN341" i="11"/>
  <c r="AO341" i="11"/>
  <c r="AN342" i="11"/>
  <c r="AO342" i="11"/>
  <c r="AN343" i="11"/>
  <c r="AO343" i="11"/>
  <c r="AN344" i="11"/>
  <c r="AO344" i="11"/>
  <c r="AN345" i="11"/>
  <c r="AO345" i="11"/>
  <c r="AN346" i="11"/>
  <c r="AO346" i="11"/>
  <c r="AN347" i="11"/>
  <c r="AO347" i="11"/>
  <c r="AN348" i="11"/>
  <c r="AO348" i="11"/>
  <c r="AN349" i="11"/>
  <c r="AO349" i="11"/>
  <c r="AN350" i="11"/>
  <c r="AO350" i="11"/>
  <c r="AN351" i="11"/>
  <c r="AO351" i="11"/>
  <c r="AN352" i="11"/>
  <c r="AO352" i="11"/>
  <c r="AN353" i="11"/>
  <c r="AO353" i="11"/>
  <c r="AN354" i="11"/>
  <c r="AO354" i="11"/>
  <c r="AN355" i="11"/>
  <c r="AO355" i="11"/>
  <c r="AN356" i="11"/>
  <c r="AO356" i="11"/>
  <c r="AN357" i="11"/>
  <c r="AO357" i="11"/>
  <c r="AN358" i="11"/>
  <c r="AO358" i="11"/>
  <c r="AN359" i="11"/>
  <c r="AO359" i="11"/>
  <c r="AN360" i="11"/>
  <c r="AO360" i="11"/>
  <c r="AN361" i="11"/>
  <c r="AO361" i="11"/>
  <c r="AN362" i="11"/>
  <c r="AO362" i="11"/>
  <c r="AN363" i="11"/>
  <c r="AO363" i="11"/>
  <c r="AN364" i="11"/>
  <c r="AO364" i="11"/>
  <c r="AN365" i="11"/>
  <c r="AO365" i="11"/>
  <c r="AN366" i="11"/>
  <c r="AO366" i="11"/>
  <c r="AN367" i="11"/>
  <c r="AO367" i="11"/>
  <c r="AN368" i="11"/>
  <c r="AO368" i="11"/>
  <c r="AN369" i="11"/>
  <c r="AO369" i="11"/>
  <c r="AN370" i="11"/>
  <c r="AO370" i="11"/>
  <c r="AN371" i="11"/>
  <c r="AO371" i="11"/>
  <c r="AN372" i="11"/>
  <c r="AO372" i="11"/>
  <c r="AN373" i="11"/>
  <c r="AO373" i="11"/>
  <c r="AN374" i="11"/>
  <c r="AO374" i="11"/>
  <c r="AN375" i="11"/>
  <c r="AO375" i="11"/>
  <c r="AN376" i="11"/>
  <c r="AO376" i="11"/>
  <c r="AN377" i="11"/>
  <c r="AO377" i="11"/>
  <c r="AN378" i="11"/>
  <c r="AO378" i="11"/>
  <c r="AN379" i="11"/>
  <c r="AO379" i="11"/>
  <c r="AN380" i="11"/>
  <c r="AO380" i="11"/>
  <c r="AN381" i="11"/>
  <c r="AO381" i="11"/>
  <c r="AN382" i="11"/>
  <c r="AO382" i="11"/>
  <c r="AN383" i="11"/>
  <c r="AO383" i="11"/>
  <c r="AN384" i="11"/>
  <c r="AO384" i="11"/>
  <c r="AN385" i="11"/>
  <c r="AO385" i="11"/>
  <c r="AN386" i="11"/>
  <c r="AO386" i="11"/>
  <c r="AN387" i="11"/>
  <c r="AO387" i="11"/>
  <c r="AN388" i="11"/>
  <c r="AO388" i="11"/>
  <c r="AN389" i="11"/>
  <c r="AO389" i="11"/>
  <c r="AN390" i="11"/>
  <c r="AO390" i="11"/>
  <c r="AN391" i="11"/>
  <c r="AO391" i="11"/>
  <c r="AN392" i="11"/>
  <c r="AO392" i="11"/>
  <c r="AN393" i="11"/>
  <c r="AO393" i="11"/>
  <c r="AN394" i="11"/>
  <c r="AO394" i="11"/>
  <c r="AN395" i="11"/>
  <c r="AO395" i="11"/>
  <c r="AN396" i="11"/>
  <c r="AO396" i="11"/>
  <c r="AN397" i="11"/>
  <c r="AO397" i="11"/>
  <c r="AN398" i="11"/>
  <c r="AO398" i="11"/>
  <c r="AN399" i="11"/>
  <c r="AO399" i="11"/>
  <c r="AN400" i="11"/>
  <c r="AO400" i="11"/>
  <c r="AN401" i="11"/>
  <c r="AO401" i="11"/>
  <c r="AN402" i="11"/>
  <c r="AO402" i="11"/>
  <c r="AN403" i="11"/>
  <c r="AO403" i="11"/>
  <c r="AN404" i="11"/>
  <c r="AO404" i="11"/>
  <c r="AN405" i="11"/>
  <c r="AO405" i="11"/>
  <c r="AN406" i="11"/>
  <c r="AO406" i="11"/>
  <c r="AN407" i="11"/>
  <c r="AO407" i="11"/>
  <c r="AN408" i="11"/>
  <c r="AO408" i="11"/>
  <c r="AN409" i="11"/>
  <c r="AO409" i="11"/>
  <c r="AN410" i="11"/>
  <c r="AO410" i="11"/>
  <c r="AN411" i="11"/>
  <c r="AO411" i="11"/>
  <c r="AN412" i="11"/>
  <c r="AO412" i="11"/>
  <c r="AN413" i="11"/>
  <c r="AO413" i="11"/>
  <c r="AN414" i="11"/>
  <c r="AO414" i="11"/>
  <c r="AN415" i="11"/>
  <c r="AO415" i="11"/>
  <c r="AN416" i="11"/>
  <c r="AO416" i="11"/>
  <c r="AN417" i="11"/>
  <c r="AO417" i="11"/>
  <c r="AN418" i="11"/>
  <c r="AO418" i="11"/>
  <c r="AN419" i="11"/>
  <c r="AO419" i="11"/>
  <c r="AN420" i="11"/>
  <c r="AO420" i="11"/>
  <c r="AN421" i="11"/>
  <c r="AO421" i="11"/>
  <c r="AN422" i="11"/>
  <c r="AO422" i="11"/>
  <c r="AN423" i="11"/>
  <c r="AO423" i="11"/>
  <c r="AN424" i="11"/>
  <c r="AO424" i="11"/>
  <c r="AN425" i="11"/>
  <c r="AO425" i="11"/>
  <c r="AN426" i="11"/>
  <c r="AO426" i="11"/>
  <c r="AN427" i="11"/>
  <c r="AO427" i="11"/>
  <c r="AN428" i="11"/>
  <c r="AO428" i="11"/>
  <c r="AN429" i="11"/>
  <c r="AO429" i="11"/>
  <c r="AN430" i="11"/>
  <c r="AO430" i="11"/>
  <c r="AN431" i="11"/>
  <c r="AO431" i="11"/>
  <c r="AN432" i="11"/>
  <c r="AO432" i="11"/>
  <c r="AN433" i="11"/>
  <c r="AO433" i="11"/>
  <c r="AN434" i="11"/>
  <c r="AO434" i="11"/>
  <c r="AN435" i="11"/>
  <c r="AO435" i="11"/>
  <c r="AN436" i="11"/>
  <c r="AO436" i="11"/>
  <c r="AN437" i="11"/>
  <c r="AO437" i="11"/>
  <c r="AN438" i="11"/>
  <c r="AO438" i="11"/>
  <c r="AN439" i="11"/>
  <c r="AO439" i="11"/>
  <c r="AN440" i="11"/>
  <c r="AO440" i="11"/>
  <c r="AN441" i="11"/>
  <c r="AO441" i="11"/>
  <c r="AN442" i="11"/>
  <c r="AO442" i="11"/>
  <c r="AN443" i="11"/>
  <c r="AO443" i="11"/>
  <c r="AN444" i="11"/>
  <c r="AO444" i="11"/>
  <c r="AN445" i="11"/>
  <c r="AO445" i="11"/>
  <c r="AN446" i="11"/>
  <c r="AO446" i="11"/>
  <c r="AN447" i="11"/>
  <c r="AO447" i="11"/>
  <c r="AN448" i="11"/>
  <c r="AO448" i="11"/>
  <c r="AN449" i="11"/>
  <c r="AO449" i="11"/>
  <c r="AN450" i="11"/>
  <c r="AO450" i="11"/>
  <c r="AN451" i="11"/>
  <c r="AO451" i="11"/>
  <c r="AN452" i="11"/>
  <c r="AO452" i="11"/>
  <c r="AN453" i="11"/>
  <c r="AO453" i="11"/>
  <c r="AN454" i="11"/>
  <c r="AO454" i="11"/>
  <c r="AN455" i="11"/>
  <c r="AO455" i="11"/>
  <c r="AN456" i="11"/>
  <c r="AO456" i="11"/>
  <c r="AN457" i="11"/>
  <c r="AO457" i="11"/>
  <c r="AN458" i="11"/>
  <c r="AO458" i="11"/>
  <c r="AN459" i="11"/>
  <c r="AO459" i="11"/>
  <c r="AN460" i="11"/>
  <c r="AO460" i="11"/>
  <c r="AN461" i="11"/>
  <c r="AO461" i="11"/>
  <c r="AN462" i="11"/>
  <c r="AO462" i="11"/>
  <c r="AN463" i="11"/>
  <c r="AO463" i="11"/>
  <c r="AN464" i="11"/>
  <c r="AO464" i="11"/>
  <c r="AN465" i="11"/>
  <c r="AO465" i="11"/>
  <c r="AN466" i="11"/>
  <c r="AO466" i="11"/>
  <c r="AN467" i="11"/>
  <c r="AO467" i="11"/>
  <c r="AN468" i="11"/>
  <c r="AO468" i="11"/>
  <c r="AN469" i="11"/>
  <c r="AO469" i="11"/>
  <c r="AN470" i="11"/>
  <c r="AO470" i="11"/>
  <c r="AN471" i="11"/>
  <c r="AO471" i="11"/>
  <c r="AN472" i="11"/>
  <c r="AO472" i="11"/>
  <c r="AN473" i="11"/>
  <c r="AO473" i="11"/>
  <c r="AN474" i="11"/>
  <c r="AO474" i="11"/>
  <c r="AN475" i="11"/>
  <c r="AO475" i="11"/>
  <c r="AN476" i="11"/>
  <c r="AO476" i="11"/>
  <c r="AN477" i="11"/>
  <c r="AO477" i="11"/>
  <c r="AN478" i="11"/>
  <c r="AO478" i="11"/>
  <c r="AN479" i="11"/>
  <c r="AO479" i="11"/>
  <c r="AN480" i="11"/>
  <c r="AO480" i="11"/>
  <c r="AN481" i="11"/>
  <c r="AO481" i="11"/>
  <c r="AN482" i="11"/>
  <c r="AO482" i="11"/>
  <c r="AN483" i="11"/>
  <c r="AO483" i="11"/>
  <c r="AN484" i="11"/>
  <c r="AO484" i="11"/>
  <c r="AN485" i="11"/>
  <c r="AO485" i="11"/>
  <c r="AN486" i="11"/>
  <c r="AO486" i="11"/>
  <c r="AN487" i="11"/>
  <c r="AO487" i="11"/>
  <c r="AN488" i="11"/>
  <c r="AO488" i="11"/>
  <c r="AN489" i="11"/>
  <c r="AO489" i="11"/>
  <c r="AN490" i="11"/>
  <c r="AO490" i="11"/>
  <c r="AN491" i="11"/>
  <c r="AO491" i="11"/>
  <c r="AN492" i="11"/>
  <c r="AO492" i="11"/>
  <c r="AN493" i="11"/>
  <c r="AO493" i="11"/>
  <c r="AN494" i="11"/>
  <c r="AO494" i="11"/>
  <c r="AN495" i="11"/>
  <c r="AO495" i="11"/>
  <c r="AN496" i="11"/>
  <c r="AO496" i="11"/>
  <c r="AN497" i="11"/>
  <c r="AO497" i="11"/>
  <c r="AN498" i="11"/>
  <c r="AO498" i="11"/>
  <c r="AN499" i="11"/>
  <c r="AO499" i="11"/>
  <c r="AN500" i="11"/>
  <c r="AO500" i="11"/>
  <c r="AN501" i="11"/>
  <c r="AO501" i="11"/>
  <c r="AN502" i="11"/>
  <c r="AO502" i="11"/>
  <c r="AN503" i="11"/>
  <c r="AO503" i="11"/>
  <c r="AN504" i="11"/>
  <c r="AO504" i="11"/>
  <c r="AN505" i="11"/>
  <c r="AO505" i="11"/>
  <c r="AN506" i="11"/>
  <c r="AO506" i="11"/>
  <c r="AN507" i="11"/>
  <c r="AO507" i="11"/>
  <c r="AN508" i="11"/>
  <c r="AO508" i="11"/>
  <c r="AN509" i="11"/>
  <c r="AO509" i="11"/>
  <c r="AN510" i="11"/>
  <c r="AO510" i="11"/>
  <c r="AN511" i="11"/>
  <c r="AO511" i="11"/>
  <c r="AN512" i="11"/>
  <c r="AO512" i="11"/>
  <c r="AN513" i="11"/>
  <c r="AO513" i="11"/>
  <c r="AN514" i="11"/>
  <c r="AO514" i="11"/>
  <c r="AN515" i="11"/>
  <c r="AO515" i="11"/>
  <c r="AN516" i="11"/>
  <c r="AO516" i="11"/>
  <c r="AN517" i="11"/>
  <c r="AO517" i="11"/>
  <c r="AN518" i="11"/>
  <c r="AO518" i="11"/>
  <c r="AN519" i="11"/>
  <c r="AO519" i="11"/>
  <c r="AN520" i="11"/>
  <c r="AO520" i="11"/>
  <c r="AN521" i="11"/>
  <c r="AO521" i="11"/>
  <c r="AN522" i="11"/>
  <c r="AO522" i="11"/>
  <c r="AN523" i="11"/>
  <c r="AO523" i="11"/>
  <c r="AN524" i="11"/>
  <c r="AO524" i="11"/>
  <c r="AN525" i="11"/>
  <c r="AO525" i="11"/>
  <c r="AN526" i="11"/>
  <c r="AO526" i="11"/>
  <c r="AN527" i="11"/>
  <c r="AO527" i="11"/>
  <c r="AN528" i="11"/>
  <c r="AO528" i="11"/>
  <c r="AN529" i="11"/>
  <c r="AO529" i="11"/>
  <c r="AN530" i="11"/>
  <c r="AO530" i="11"/>
  <c r="AN531" i="11"/>
  <c r="AO531" i="11"/>
  <c r="AN532" i="11"/>
  <c r="AO532" i="11"/>
  <c r="AN533" i="11"/>
  <c r="AO533" i="11"/>
  <c r="AN534" i="11"/>
  <c r="AO534" i="11"/>
  <c r="AN535" i="11"/>
  <c r="AO535" i="11"/>
  <c r="AN536" i="11"/>
  <c r="AO536" i="11"/>
  <c r="AN537" i="11"/>
  <c r="AO537" i="11"/>
  <c r="AN538" i="11"/>
  <c r="AO538" i="11"/>
  <c r="AN539" i="11"/>
  <c r="AO539" i="11"/>
  <c r="AN540" i="11"/>
  <c r="AO540" i="11"/>
  <c r="AN541" i="11"/>
  <c r="AO541" i="11"/>
  <c r="AN542" i="11"/>
  <c r="AO542" i="11"/>
  <c r="AN543" i="11"/>
  <c r="AO543" i="11"/>
  <c r="AN544" i="11"/>
  <c r="AO544" i="11"/>
  <c r="AN545" i="11"/>
  <c r="AO545" i="11"/>
  <c r="AN546" i="11"/>
  <c r="AO546" i="11"/>
  <c r="AN547" i="11"/>
  <c r="AO547" i="11"/>
  <c r="AN548" i="11"/>
  <c r="AO548" i="11"/>
  <c r="AN549" i="11"/>
  <c r="AO549" i="11"/>
  <c r="AN550" i="11"/>
  <c r="AO550" i="11"/>
  <c r="AN551" i="11"/>
  <c r="AO551" i="11"/>
  <c r="AN552" i="11"/>
  <c r="AO552" i="11"/>
  <c r="AN553" i="11"/>
  <c r="AO553" i="11"/>
  <c r="AN554" i="11"/>
  <c r="AO554" i="11"/>
  <c r="AN555" i="11"/>
  <c r="AO555" i="11"/>
  <c r="AN556" i="11"/>
  <c r="AO556" i="11"/>
  <c r="AN557" i="11"/>
  <c r="AO557" i="11"/>
  <c r="AN558" i="11"/>
  <c r="AO558" i="11"/>
  <c r="AN559" i="11"/>
  <c r="AO559" i="11"/>
  <c r="AN560" i="11"/>
  <c r="AO560" i="11"/>
  <c r="AN561" i="11"/>
  <c r="AO561" i="11"/>
  <c r="AN562" i="11"/>
  <c r="AO562" i="11"/>
  <c r="AN563" i="11"/>
  <c r="AO563" i="11"/>
  <c r="AN564" i="11"/>
  <c r="AO564" i="11"/>
  <c r="AN565" i="11"/>
  <c r="AO565" i="11"/>
  <c r="AN566" i="11"/>
  <c r="AO566" i="11"/>
  <c r="AN567" i="11"/>
  <c r="AO567" i="11"/>
  <c r="AN568" i="11"/>
  <c r="AO568" i="11"/>
  <c r="AN569" i="11"/>
  <c r="AO569" i="11"/>
  <c r="AN570" i="11"/>
  <c r="AO570" i="11"/>
  <c r="AN571" i="11"/>
  <c r="AO571" i="11"/>
  <c r="AN572" i="11"/>
  <c r="AO572" i="11"/>
  <c r="AN573" i="11"/>
  <c r="AO573" i="11"/>
  <c r="AN574" i="11"/>
  <c r="AO574" i="11"/>
  <c r="AN575" i="11"/>
  <c r="AO575" i="11"/>
  <c r="AN576" i="11"/>
  <c r="AO576" i="11"/>
  <c r="AN577" i="11"/>
  <c r="AO577" i="11"/>
  <c r="AN578" i="11"/>
  <c r="AO578" i="11"/>
  <c r="AN579" i="11"/>
  <c r="AO579" i="11"/>
  <c r="AN580" i="11"/>
  <c r="AO580" i="11"/>
  <c r="AN581" i="11"/>
  <c r="AO581" i="11"/>
  <c r="AN582" i="11"/>
  <c r="AO582" i="11"/>
  <c r="AN583" i="11"/>
  <c r="AO583" i="11"/>
  <c r="AN584" i="11"/>
  <c r="AO584" i="11"/>
  <c r="AN585" i="11"/>
  <c r="AO585" i="11"/>
  <c r="AN586" i="11"/>
  <c r="AO586" i="11"/>
  <c r="AN587" i="11"/>
  <c r="AO587" i="11"/>
  <c r="AN588" i="11"/>
  <c r="AO588" i="11"/>
  <c r="AN589" i="11"/>
  <c r="AO589" i="11"/>
  <c r="AN590" i="11"/>
  <c r="AO590" i="11"/>
  <c r="AN591" i="11"/>
  <c r="AO591" i="11"/>
  <c r="AN592" i="11"/>
  <c r="AO592" i="11"/>
  <c r="AN593" i="11"/>
  <c r="AO593" i="11"/>
  <c r="AN594" i="11"/>
  <c r="AO594" i="11"/>
  <c r="AN595" i="11"/>
  <c r="AO595" i="11"/>
  <c r="AN596" i="11"/>
  <c r="AO596" i="11"/>
  <c r="AN597" i="11"/>
  <c r="AO597" i="11"/>
  <c r="AN598" i="11"/>
  <c r="AO598" i="11"/>
  <c r="AN599" i="11"/>
  <c r="AO599" i="11"/>
  <c r="AN600" i="11"/>
  <c r="AO600" i="11"/>
  <c r="AN601" i="11"/>
  <c r="AO601" i="11"/>
  <c r="AN602" i="11"/>
  <c r="AO602" i="11"/>
  <c r="AN603" i="11"/>
  <c r="AO603" i="11"/>
  <c r="AN604" i="11"/>
  <c r="AO604" i="11"/>
  <c r="AN605" i="11"/>
  <c r="AO605" i="11"/>
  <c r="AN606" i="11"/>
  <c r="AO606" i="11"/>
  <c r="AN607" i="11"/>
  <c r="AO607" i="11"/>
  <c r="AN608" i="11"/>
  <c r="AO608" i="11"/>
  <c r="AN609" i="11"/>
  <c r="AO609" i="11"/>
  <c r="AN610" i="11"/>
  <c r="AO610" i="11"/>
  <c r="AN611" i="11"/>
  <c r="AO611" i="11"/>
  <c r="AN612" i="11"/>
  <c r="AO612" i="11"/>
  <c r="AN613" i="11"/>
  <c r="AO613" i="11"/>
  <c r="AN614" i="11"/>
  <c r="AO614" i="11"/>
  <c r="AN615" i="11"/>
  <c r="AO615" i="11"/>
  <c r="AN616" i="11"/>
  <c r="AO616" i="11"/>
  <c r="AN617" i="11"/>
  <c r="AO617" i="11"/>
  <c r="AN618" i="11"/>
  <c r="AO618" i="11"/>
  <c r="AN619" i="11"/>
  <c r="AO619" i="11"/>
  <c r="AN620" i="11"/>
  <c r="AO620" i="11"/>
  <c r="AN621" i="11"/>
  <c r="AO621" i="11"/>
  <c r="AN622" i="11"/>
  <c r="AO622" i="11"/>
  <c r="AN623" i="11"/>
  <c r="AO623" i="11"/>
  <c r="AN624" i="11"/>
  <c r="AO624" i="11"/>
  <c r="AN625" i="11"/>
  <c r="AO625" i="11"/>
  <c r="AN626" i="11"/>
  <c r="AO626" i="11"/>
  <c r="AN627" i="11"/>
  <c r="AO627" i="11"/>
  <c r="AN628" i="11"/>
  <c r="AO628" i="11"/>
  <c r="AN629" i="11"/>
  <c r="AO629" i="11"/>
  <c r="AN630" i="11"/>
  <c r="AO630" i="11"/>
  <c r="AN631" i="11"/>
  <c r="AO631" i="11"/>
  <c r="AN632" i="11"/>
  <c r="AO632" i="11"/>
  <c r="AN633" i="11"/>
  <c r="AO633" i="11"/>
  <c r="AN634" i="11"/>
  <c r="AO634" i="11"/>
  <c r="AN635" i="11"/>
  <c r="AO635" i="11"/>
  <c r="AN636" i="11"/>
  <c r="AO636" i="11"/>
  <c r="AN637" i="11"/>
  <c r="AO637" i="11"/>
  <c r="AN638" i="11"/>
  <c r="AO638" i="11"/>
  <c r="AN639" i="11"/>
  <c r="AO639" i="11"/>
  <c r="AN640" i="11"/>
  <c r="AO640" i="11"/>
  <c r="AN641" i="11"/>
  <c r="AO641" i="11"/>
  <c r="AN642" i="11"/>
  <c r="AO642" i="11"/>
  <c r="AN643" i="11"/>
  <c r="AO643" i="11"/>
  <c r="AN644" i="11"/>
  <c r="AO644" i="11"/>
  <c r="AN645" i="11"/>
  <c r="AO645" i="11"/>
  <c r="AN646" i="11"/>
  <c r="AO646" i="11"/>
  <c r="AN647" i="11"/>
  <c r="AO647" i="11"/>
  <c r="AN648" i="11"/>
  <c r="AO648" i="11"/>
  <c r="AN649" i="11"/>
  <c r="AO649" i="11"/>
  <c r="AN650" i="11"/>
  <c r="AO650" i="11"/>
  <c r="AN651" i="11"/>
  <c r="AO651" i="11"/>
  <c r="AN652" i="11"/>
  <c r="AO652" i="11"/>
  <c r="AN653" i="11"/>
  <c r="AO653" i="11"/>
  <c r="AN654" i="11"/>
  <c r="AO654" i="11"/>
  <c r="AN655" i="11"/>
  <c r="AO655" i="11"/>
  <c r="AN656" i="11"/>
  <c r="AO656" i="11"/>
  <c r="AN657" i="11"/>
  <c r="AO657" i="11"/>
  <c r="AN658" i="11"/>
  <c r="AO658" i="11"/>
  <c r="AN659" i="11"/>
  <c r="AO659" i="11"/>
  <c r="AN660" i="11"/>
  <c r="AO660" i="11"/>
  <c r="AN661" i="11"/>
  <c r="AO661" i="11"/>
  <c r="AN662" i="11"/>
  <c r="AO662" i="11"/>
  <c r="AN663" i="11"/>
  <c r="AO663" i="11"/>
  <c r="AN664" i="11"/>
  <c r="AO664" i="11"/>
  <c r="AN665" i="11"/>
  <c r="AO665" i="11"/>
  <c r="AN666" i="11"/>
  <c r="AO666" i="11"/>
  <c r="AN667" i="11"/>
  <c r="AO667" i="11"/>
  <c r="AN668" i="11"/>
  <c r="AO668" i="11"/>
  <c r="AN669" i="11"/>
  <c r="AO669" i="11"/>
  <c r="AN670" i="11"/>
  <c r="AO670" i="11"/>
  <c r="AN671" i="11"/>
  <c r="AO671" i="11"/>
  <c r="AN672" i="11"/>
  <c r="AO672" i="11"/>
  <c r="AN673" i="11"/>
  <c r="AO673" i="11"/>
  <c r="AN674" i="11"/>
  <c r="AO674" i="11"/>
  <c r="AN675" i="11"/>
  <c r="AO675" i="11"/>
  <c r="AN676" i="11"/>
  <c r="AO676" i="11"/>
  <c r="AN677" i="11"/>
  <c r="AO677" i="11"/>
  <c r="AN678" i="11"/>
  <c r="AO678" i="11"/>
  <c r="AN679" i="11"/>
  <c r="AO679" i="11"/>
  <c r="AN680" i="11"/>
  <c r="AO680" i="11"/>
  <c r="AN681" i="11"/>
  <c r="AO681" i="11"/>
  <c r="AN682" i="11"/>
  <c r="AO682" i="11"/>
  <c r="AN683" i="11"/>
  <c r="AO683" i="11"/>
  <c r="AN684" i="11"/>
  <c r="AO684" i="11"/>
  <c r="AN685" i="11"/>
  <c r="AO685" i="11"/>
  <c r="AN686" i="11"/>
  <c r="AO686" i="11"/>
  <c r="AN687" i="11"/>
  <c r="AO687" i="11"/>
  <c r="AN688" i="11"/>
  <c r="AO688" i="11"/>
  <c r="AN689" i="11"/>
  <c r="AO689" i="11"/>
  <c r="AN690" i="11"/>
  <c r="AO690" i="11"/>
  <c r="AN691" i="11"/>
  <c r="AO691" i="11"/>
  <c r="AN692" i="11"/>
  <c r="AO692" i="11"/>
  <c r="AN693" i="11"/>
  <c r="AO693" i="11"/>
  <c r="AN694" i="11"/>
  <c r="AO694" i="11"/>
  <c r="AN695" i="11"/>
  <c r="AO695" i="11"/>
  <c r="AN696" i="11"/>
  <c r="AO696" i="11"/>
  <c r="AN697" i="11"/>
  <c r="AO697" i="11"/>
  <c r="AN698" i="11"/>
  <c r="AO698" i="11"/>
  <c r="AN699" i="11"/>
  <c r="AO699" i="11"/>
  <c r="AN700" i="11"/>
  <c r="AO700" i="11"/>
  <c r="AN701" i="11"/>
  <c r="AO701" i="11"/>
  <c r="AN702" i="11"/>
  <c r="AO702" i="11"/>
  <c r="AN703" i="11"/>
  <c r="AO703" i="11"/>
  <c r="AN704" i="11"/>
  <c r="AO704" i="11"/>
  <c r="AN705" i="11"/>
  <c r="AO705" i="11"/>
  <c r="AN706" i="11"/>
  <c r="AO706" i="11"/>
  <c r="AN707" i="11"/>
  <c r="AO707" i="11"/>
  <c r="AN708" i="11"/>
  <c r="AO708" i="11"/>
  <c r="AN709" i="11"/>
  <c r="AO709" i="11"/>
  <c r="AN710" i="11"/>
  <c r="AO710" i="11"/>
  <c r="AN711" i="11"/>
  <c r="AO711" i="11"/>
  <c r="AN712" i="11"/>
  <c r="AO712" i="11"/>
  <c r="AN713" i="11"/>
  <c r="AO713" i="11"/>
  <c r="AN714" i="11"/>
  <c r="AO714" i="11"/>
  <c r="AN715" i="11"/>
  <c r="AO715" i="11"/>
  <c r="AN716" i="11"/>
  <c r="AO716" i="11"/>
  <c r="AN717" i="11"/>
  <c r="AO717" i="11"/>
  <c r="AN718" i="11"/>
  <c r="AO718" i="11"/>
  <c r="AN719" i="11"/>
  <c r="AO719" i="11"/>
  <c r="AN720" i="11"/>
  <c r="AO720" i="11"/>
  <c r="AN721" i="11"/>
  <c r="AO721" i="11"/>
  <c r="AN722" i="11"/>
  <c r="AO722" i="11"/>
  <c r="AN723" i="11"/>
  <c r="AO723" i="11"/>
  <c r="AN724" i="11"/>
  <c r="AO724" i="11"/>
  <c r="AN725" i="11"/>
  <c r="AO725" i="11"/>
  <c r="AN726" i="11"/>
  <c r="AO726" i="11"/>
  <c r="AN727" i="11"/>
  <c r="AO727" i="11"/>
  <c r="AN728" i="11"/>
  <c r="AO728" i="11"/>
  <c r="AN729" i="11"/>
  <c r="AO729" i="11"/>
  <c r="AN730" i="11"/>
  <c r="AO730" i="11"/>
  <c r="AN731" i="11"/>
  <c r="AO731" i="11"/>
  <c r="AN732" i="11"/>
  <c r="AO732" i="11"/>
  <c r="AO2" i="11"/>
  <c r="AN2" i="11"/>
  <c r="AK3" i="11"/>
  <c r="AL3" i="11"/>
  <c r="AM3" i="11"/>
  <c r="AK4" i="11"/>
  <c r="AL4" i="11"/>
  <c r="AM4" i="11"/>
  <c r="AK5" i="11"/>
  <c r="AL5" i="11"/>
  <c r="AM5" i="11"/>
  <c r="AK6" i="11"/>
  <c r="AL6" i="11"/>
  <c r="AM6" i="11"/>
  <c r="AK7" i="11"/>
  <c r="AL7" i="11"/>
  <c r="AM7" i="11"/>
  <c r="AK8" i="11"/>
  <c r="AL8" i="11"/>
  <c r="AM8" i="11"/>
  <c r="AK9" i="11"/>
  <c r="AL9" i="11"/>
  <c r="AM9" i="11"/>
  <c r="AK10" i="11"/>
  <c r="AL10" i="11"/>
  <c r="AM10" i="11"/>
  <c r="AK11" i="11"/>
  <c r="AL11" i="11"/>
  <c r="AM11" i="11"/>
  <c r="AK12" i="11"/>
  <c r="AL12" i="11"/>
  <c r="AM12" i="11"/>
  <c r="AK13" i="11"/>
  <c r="AL13" i="11"/>
  <c r="AM13" i="11"/>
  <c r="AK14" i="11"/>
  <c r="AL14" i="11"/>
  <c r="AM14" i="11"/>
  <c r="AK15" i="11"/>
  <c r="AL15" i="11"/>
  <c r="AM15" i="11"/>
  <c r="AK16" i="11"/>
  <c r="AL16" i="11"/>
  <c r="AM16" i="11"/>
  <c r="AK17" i="11"/>
  <c r="AL17" i="11"/>
  <c r="AM17" i="11"/>
  <c r="AK18" i="11"/>
  <c r="AL18" i="11"/>
  <c r="AM18" i="11"/>
  <c r="AK19" i="11"/>
  <c r="AL19" i="11"/>
  <c r="AM19" i="11"/>
  <c r="AK20" i="11"/>
  <c r="AL20" i="11"/>
  <c r="AM20" i="11"/>
  <c r="AK21" i="11"/>
  <c r="AL21" i="11"/>
  <c r="AM21" i="11"/>
  <c r="AK22" i="11"/>
  <c r="AL22" i="11"/>
  <c r="AM22" i="11"/>
  <c r="AK23" i="11"/>
  <c r="AL23" i="11"/>
  <c r="AM23" i="11"/>
  <c r="AK24" i="11"/>
  <c r="AL24" i="11"/>
  <c r="AM24" i="11"/>
  <c r="AK25" i="11"/>
  <c r="AL25" i="11"/>
  <c r="AM25" i="11"/>
  <c r="AK26" i="11"/>
  <c r="AL26" i="11"/>
  <c r="AM26" i="11"/>
  <c r="AK27" i="11"/>
  <c r="AL27" i="11"/>
  <c r="AM27" i="11"/>
  <c r="AK28" i="11"/>
  <c r="AL28" i="11"/>
  <c r="AM28" i="11"/>
  <c r="AK29" i="11"/>
  <c r="AL29" i="11"/>
  <c r="AM29" i="11"/>
  <c r="AK30" i="11"/>
  <c r="AL30" i="11"/>
  <c r="AM30" i="11"/>
  <c r="AK31" i="11"/>
  <c r="AL31" i="11"/>
  <c r="AM31" i="11"/>
  <c r="AK32" i="11"/>
  <c r="AL32" i="11"/>
  <c r="AM32" i="11"/>
  <c r="AK33" i="11"/>
  <c r="AL33" i="11"/>
  <c r="AM33" i="11"/>
  <c r="AK34" i="11"/>
  <c r="AL34" i="11"/>
  <c r="AM34" i="11"/>
  <c r="AK35" i="11"/>
  <c r="AL35" i="11"/>
  <c r="AM35" i="11"/>
  <c r="AK36" i="11"/>
  <c r="AL36" i="11"/>
  <c r="AM36" i="11"/>
  <c r="AK37" i="11"/>
  <c r="AL37" i="11"/>
  <c r="AM37" i="11"/>
  <c r="AK38" i="11"/>
  <c r="AL38" i="11"/>
  <c r="AM38" i="11"/>
  <c r="AK39" i="11"/>
  <c r="AL39" i="11"/>
  <c r="AM39" i="11"/>
  <c r="AK40" i="11"/>
  <c r="AL40" i="11"/>
  <c r="AM40" i="11"/>
  <c r="AK41" i="11"/>
  <c r="AL41" i="11"/>
  <c r="AM41" i="11"/>
  <c r="AK42" i="11"/>
  <c r="AL42" i="11"/>
  <c r="AM42" i="11"/>
  <c r="AK43" i="11"/>
  <c r="AL43" i="11"/>
  <c r="AM43" i="11"/>
  <c r="AK44" i="11"/>
  <c r="AL44" i="11"/>
  <c r="AM44" i="11"/>
  <c r="AK45" i="11"/>
  <c r="AL45" i="11"/>
  <c r="AM45" i="11"/>
  <c r="AK46" i="11"/>
  <c r="AL46" i="11"/>
  <c r="AM46" i="11"/>
  <c r="AK47" i="11"/>
  <c r="AL47" i="11"/>
  <c r="AM47" i="11"/>
  <c r="AK48" i="11"/>
  <c r="AL48" i="11"/>
  <c r="AM48" i="11"/>
  <c r="AK49" i="11"/>
  <c r="AL49" i="11"/>
  <c r="AM49" i="11"/>
  <c r="AK50" i="11"/>
  <c r="AL50" i="11"/>
  <c r="AM50" i="11"/>
  <c r="AK51" i="11"/>
  <c r="AL51" i="11"/>
  <c r="AM51" i="11"/>
  <c r="AK52" i="11"/>
  <c r="AL52" i="11"/>
  <c r="AM52" i="11"/>
  <c r="AK53" i="11"/>
  <c r="AL53" i="11"/>
  <c r="AM53" i="11"/>
  <c r="AK54" i="11"/>
  <c r="AL54" i="11"/>
  <c r="AM54" i="11"/>
  <c r="AK55" i="11"/>
  <c r="AL55" i="11"/>
  <c r="AM55" i="11"/>
  <c r="AK56" i="11"/>
  <c r="AL56" i="11"/>
  <c r="AM56" i="11"/>
  <c r="AK57" i="11"/>
  <c r="AL57" i="11"/>
  <c r="AM57" i="11"/>
  <c r="AK58" i="11"/>
  <c r="AL58" i="11"/>
  <c r="AM58" i="11"/>
  <c r="AK59" i="11"/>
  <c r="AL59" i="11"/>
  <c r="AM59" i="11"/>
  <c r="AK60" i="11"/>
  <c r="AL60" i="11"/>
  <c r="AM60" i="11"/>
  <c r="AK61" i="11"/>
  <c r="AL61" i="11"/>
  <c r="AM61" i="11"/>
  <c r="AK62" i="11"/>
  <c r="AL62" i="11"/>
  <c r="AM62" i="11"/>
  <c r="AK63" i="11"/>
  <c r="AL63" i="11"/>
  <c r="AM63" i="11"/>
  <c r="AK64" i="11"/>
  <c r="AL64" i="11"/>
  <c r="AM64" i="11"/>
  <c r="AK65" i="11"/>
  <c r="AL65" i="11"/>
  <c r="AM65" i="11"/>
  <c r="AK66" i="11"/>
  <c r="AL66" i="11"/>
  <c r="AM66" i="11"/>
  <c r="AK67" i="11"/>
  <c r="AL67" i="11"/>
  <c r="AM67" i="11"/>
  <c r="AK68" i="11"/>
  <c r="AL68" i="11"/>
  <c r="AM68" i="11"/>
  <c r="AK69" i="11"/>
  <c r="AL69" i="11"/>
  <c r="AM69" i="11"/>
  <c r="AK70" i="11"/>
  <c r="AL70" i="11"/>
  <c r="AM70" i="11"/>
  <c r="AK71" i="11"/>
  <c r="AL71" i="11"/>
  <c r="AM71" i="11"/>
  <c r="AK72" i="11"/>
  <c r="AL72" i="11"/>
  <c r="AM72" i="11"/>
  <c r="AK73" i="11"/>
  <c r="AL73" i="11"/>
  <c r="AM73" i="11"/>
  <c r="AK74" i="11"/>
  <c r="AL74" i="11"/>
  <c r="AM74" i="11"/>
  <c r="AK75" i="11"/>
  <c r="AL75" i="11"/>
  <c r="AM75" i="11"/>
  <c r="AK76" i="11"/>
  <c r="AL76" i="11"/>
  <c r="AM76" i="11"/>
  <c r="AK77" i="11"/>
  <c r="AL77" i="11"/>
  <c r="AM77" i="11"/>
  <c r="AK78" i="11"/>
  <c r="AL78" i="11"/>
  <c r="AM78" i="11"/>
  <c r="AK79" i="11"/>
  <c r="AL79" i="11"/>
  <c r="AM79" i="11"/>
  <c r="AK80" i="11"/>
  <c r="AL80" i="11"/>
  <c r="AM80" i="11"/>
  <c r="AK81" i="11"/>
  <c r="AL81" i="11"/>
  <c r="AM81" i="11"/>
  <c r="AK82" i="11"/>
  <c r="AL82" i="11"/>
  <c r="AM82" i="11"/>
  <c r="AK83" i="11"/>
  <c r="AL83" i="11"/>
  <c r="AM83" i="11"/>
  <c r="AK84" i="11"/>
  <c r="AL84" i="11"/>
  <c r="AM84" i="11"/>
  <c r="AK85" i="11"/>
  <c r="AL85" i="11"/>
  <c r="AM85" i="11"/>
  <c r="AK86" i="11"/>
  <c r="AL86" i="11"/>
  <c r="AM86" i="11"/>
  <c r="AK87" i="11"/>
  <c r="AL87" i="11"/>
  <c r="AM87" i="11"/>
  <c r="AK88" i="11"/>
  <c r="AL88" i="11"/>
  <c r="AM88" i="11"/>
  <c r="AK89" i="11"/>
  <c r="AL89" i="11"/>
  <c r="AM89" i="11"/>
  <c r="AK90" i="11"/>
  <c r="AL90" i="11"/>
  <c r="AM90" i="11"/>
  <c r="AK91" i="11"/>
  <c r="AL91" i="11"/>
  <c r="AM91" i="11"/>
  <c r="AK92" i="11"/>
  <c r="AL92" i="11"/>
  <c r="AM92" i="11"/>
  <c r="AK93" i="11"/>
  <c r="AL93" i="11"/>
  <c r="AM93" i="11"/>
  <c r="AK94" i="11"/>
  <c r="AL94" i="11"/>
  <c r="AM94" i="11"/>
  <c r="AK95" i="11"/>
  <c r="AL95" i="11"/>
  <c r="AM95" i="11"/>
  <c r="AK96" i="11"/>
  <c r="AL96" i="11"/>
  <c r="AM96" i="11"/>
  <c r="AK97" i="11"/>
  <c r="AL97" i="11"/>
  <c r="AM97" i="11"/>
  <c r="AK98" i="11"/>
  <c r="AL98" i="11"/>
  <c r="AM98" i="11"/>
  <c r="AK99" i="11"/>
  <c r="AL99" i="11"/>
  <c r="AM99" i="11"/>
  <c r="AK100" i="11"/>
  <c r="AL100" i="11"/>
  <c r="AM100" i="11"/>
  <c r="AK101" i="11"/>
  <c r="AL101" i="11"/>
  <c r="AM101" i="11"/>
  <c r="AK102" i="11"/>
  <c r="AL102" i="11"/>
  <c r="AM102" i="11"/>
  <c r="AK103" i="11"/>
  <c r="AL103" i="11"/>
  <c r="AM103" i="11"/>
  <c r="AK104" i="11"/>
  <c r="AL104" i="11"/>
  <c r="AM104" i="11"/>
  <c r="AK105" i="11"/>
  <c r="AL105" i="11"/>
  <c r="AM105" i="11"/>
  <c r="AK106" i="11"/>
  <c r="AL106" i="11"/>
  <c r="AM106" i="11"/>
  <c r="AK107" i="11"/>
  <c r="AL107" i="11"/>
  <c r="AM107" i="11"/>
  <c r="AK108" i="11"/>
  <c r="AL108" i="11"/>
  <c r="AM108" i="11"/>
  <c r="AK109" i="11"/>
  <c r="AL109" i="11"/>
  <c r="AM109" i="11"/>
  <c r="AK110" i="11"/>
  <c r="AL110" i="11"/>
  <c r="AM110" i="11"/>
  <c r="AK111" i="11"/>
  <c r="AL111" i="11"/>
  <c r="AM111" i="11"/>
  <c r="AK112" i="11"/>
  <c r="AL112" i="11"/>
  <c r="AM112" i="11"/>
  <c r="AK113" i="11"/>
  <c r="AL113" i="11"/>
  <c r="AM113" i="11"/>
  <c r="AK114" i="11"/>
  <c r="AL114" i="11"/>
  <c r="AM114" i="11"/>
  <c r="AK115" i="11"/>
  <c r="AL115" i="11"/>
  <c r="AM115" i="11"/>
  <c r="AK116" i="11"/>
  <c r="AL116" i="11"/>
  <c r="AM116" i="11"/>
  <c r="AK117" i="11"/>
  <c r="AL117" i="11"/>
  <c r="AM117" i="11"/>
  <c r="AK118" i="11"/>
  <c r="AL118" i="11"/>
  <c r="AM118" i="11"/>
  <c r="AK119" i="11"/>
  <c r="AL119" i="11"/>
  <c r="AM119" i="11"/>
  <c r="AK120" i="11"/>
  <c r="AL120" i="11"/>
  <c r="AM120" i="11"/>
  <c r="AK121" i="11"/>
  <c r="AL121" i="11"/>
  <c r="AM121" i="11"/>
  <c r="AK122" i="11"/>
  <c r="AL122" i="11"/>
  <c r="AM122" i="11"/>
  <c r="AK123" i="11"/>
  <c r="AL123" i="11"/>
  <c r="AM123" i="11"/>
  <c r="AK124" i="11"/>
  <c r="AL124" i="11"/>
  <c r="AM124" i="11"/>
  <c r="AK125" i="11"/>
  <c r="AL125" i="11"/>
  <c r="AM125" i="11"/>
  <c r="AK126" i="11"/>
  <c r="AL126" i="11"/>
  <c r="AM126" i="11"/>
  <c r="AK127" i="11"/>
  <c r="AL127" i="11"/>
  <c r="AM127" i="11"/>
  <c r="AK128" i="11"/>
  <c r="AL128" i="11"/>
  <c r="AM128" i="11"/>
  <c r="AK129" i="11"/>
  <c r="AL129" i="11"/>
  <c r="AM129" i="11"/>
  <c r="AK130" i="11"/>
  <c r="AL130" i="11"/>
  <c r="AM130" i="11"/>
  <c r="AK131" i="11"/>
  <c r="AL131" i="11"/>
  <c r="AM131" i="11"/>
  <c r="AK132" i="11"/>
  <c r="AL132" i="11"/>
  <c r="AM132" i="11"/>
  <c r="AK133" i="11"/>
  <c r="AL133" i="11"/>
  <c r="AM133" i="11"/>
  <c r="AK134" i="11"/>
  <c r="AL134" i="11"/>
  <c r="AM134" i="11"/>
  <c r="AK135" i="11"/>
  <c r="AL135" i="11"/>
  <c r="AM135" i="11"/>
  <c r="AK136" i="11"/>
  <c r="AL136" i="11"/>
  <c r="AM136" i="11"/>
  <c r="AK137" i="11"/>
  <c r="AL137" i="11"/>
  <c r="AM137" i="11"/>
  <c r="AK138" i="11"/>
  <c r="AL138" i="11"/>
  <c r="AM138" i="11"/>
  <c r="AK139" i="11"/>
  <c r="AL139" i="11"/>
  <c r="AM139" i="11"/>
  <c r="AK140" i="11"/>
  <c r="AL140" i="11"/>
  <c r="AM140" i="11"/>
  <c r="AK141" i="11"/>
  <c r="AL141" i="11"/>
  <c r="AM141" i="11"/>
  <c r="AK142" i="11"/>
  <c r="AL142" i="11"/>
  <c r="AM142" i="11"/>
  <c r="AK143" i="11"/>
  <c r="AL143" i="11"/>
  <c r="AM143" i="11"/>
  <c r="AK144" i="11"/>
  <c r="AL144" i="11"/>
  <c r="AM144" i="11"/>
  <c r="AK145" i="11"/>
  <c r="AL145" i="11"/>
  <c r="AM145" i="11"/>
  <c r="AK146" i="11"/>
  <c r="AL146" i="11"/>
  <c r="AM146" i="11"/>
  <c r="AK147" i="11"/>
  <c r="AL147" i="11"/>
  <c r="AM147" i="11"/>
  <c r="AK148" i="11"/>
  <c r="AL148" i="11"/>
  <c r="AM148" i="11"/>
  <c r="AK149" i="11"/>
  <c r="AL149" i="11"/>
  <c r="AM149" i="11"/>
  <c r="AK150" i="11"/>
  <c r="AL150" i="11"/>
  <c r="AM150" i="11"/>
  <c r="AK151" i="11"/>
  <c r="AL151" i="11"/>
  <c r="AM151" i="11"/>
  <c r="AK152" i="11"/>
  <c r="AL152" i="11"/>
  <c r="AM152" i="11"/>
  <c r="AK153" i="11"/>
  <c r="AL153" i="11"/>
  <c r="AM153" i="11"/>
  <c r="AK154" i="11"/>
  <c r="AL154" i="11"/>
  <c r="AM154" i="11"/>
  <c r="AK155" i="11"/>
  <c r="AL155" i="11"/>
  <c r="AM155" i="11"/>
  <c r="AK156" i="11"/>
  <c r="AL156" i="11"/>
  <c r="AM156" i="11"/>
  <c r="AK157" i="11"/>
  <c r="AL157" i="11"/>
  <c r="AM157" i="11"/>
  <c r="AK158" i="11"/>
  <c r="AL158" i="11"/>
  <c r="AM158" i="11"/>
  <c r="AK159" i="11"/>
  <c r="AL159" i="11"/>
  <c r="AM159" i="11"/>
  <c r="AK160" i="11"/>
  <c r="AL160" i="11"/>
  <c r="AM160" i="11"/>
  <c r="AK161" i="11"/>
  <c r="AL161" i="11"/>
  <c r="AM161" i="11"/>
  <c r="AK162" i="11"/>
  <c r="AL162" i="11"/>
  <c r="AM162" i="11"/>
  <c r="AK163" i="11"/>
  <c r="AL163" i="11"/>
  <c r="AM163" i="11"/>
  <c r="AK164" i="11"/>
  <c r="AL164" i="11"/>
  <c r="AM164" i="11"/>
  <c r="AK165" i="11"/>
  <c r="AL165" i="11"/>
  <c r="AM165" i="11"/>
  <c r="AK166" i="11"/>
  <c r="AL166" i="11"/>
  <c r="AM166" i="11"/>
  <c r="AK167" i="11"/>
  <c r="AL167" i="11"/>
  <c r="AM167" i="11"/>
  <c r="AK168" i="11"/>
  <c r="AL168" i="11"/>
  <c r="AM168" i="11"/>
  <c r="AK169" i="11"/>
  <c r="AL169" i="11"/>
  <c r="AM169" i="11"/>
  <c r="AK170" i="11"/>
  <c r="AL170" i="11"/>
  <c r="AM170" i="11"/>
  <c r="AK171" i="11"/>
  <c r="AL171" i="11"/>
  <c r="AM171" i="11"/>
  <c r="AK172" i="11"/>
  <c r="AL172" i="11"/>
  <c r="AM172" i="11"/>
  <c r="AK173" i="11"/>
  <c r="AL173" i="11"/>
  <c r="AM173" i="11"/>
  <c r="AK174" i="11"/>
  <c r="AL174" i="11"/>
  <c r="AM174" i="11"/>
  <c r="AK175" i="11"/>
  <c r="AL175" i="11"/>
  <c r="AM175" i="11"/>
  <c r="AK176" i="11"/>
  <c r="AL176" i="11"/>
  <c r="AM176" i="11"/>
  <c r="AK177" i="11"/>
  <c r="AL177" i="11"/>
  <c r="AM177" i="11"/>
  <c r="AK178" i="11"/>
  <c r="AL178" i="11"/>
  <c r="AM178" i="11"/>
  <c r="AK179" i="11"/>
  <c r="AL179" i="11"/>
  <c r="AM179" i="11"/>
  <c r="AK180" i="11"/>
  <c r="AL180" i="11"/>
  <c r="AM180" i="11"/>
  <c r="AK181" i="11"/>
  <c r="AL181" i="11"/>
  <c r="AM181" i="11"/>
  <c r="AK182" i="11"/>
  <c r="AL182" i="11"/>
  <c r="AM182" i="11"/>
  <c r="AK183" i="11"/>
  <c r="AL183" i="11"/>
  <c r="AM183" i="11"/>
  <c r="AK184" i="11"/>
  <c r="AL184" i="11"/>
  <c r="AM184" i="11"/>
  <c r="AK185" i="11"/>
  <c r="AL185" i="11"/>
  <c r="AM185" i="11"/>
  <c r="AK186" i="11"/>
  <c r="AL186" i="11"/>
  <c r="AM186" i="11"/>
  <c r="AK187" i="11"/>
  <c r="AL187" i="11"/>
  <c r="AM187" i="11"/>
  <c r="AK188" i="11"/>
  <c r="AL188" i="11"/>
  <c r="AM188" i="11"/>
  <c r="AK189" i="11"/>
  <c r="AL189" i="11"/>
  <c r="AM189" i="11"/>
  <c r="AK190" i="11"/>
  <c r="AL190" i="11"/>
  <c r="AM190" i="11"/>
  <c r="AK191" i="11"/>
  <c r="AL191" i="11"/>
  <c r="AM191" i="11"/>
  <c r="AK192" i="11"/>
  <c r="AL192" i="11"/>
  <c r="AM192" i="11"/>
  <c r="AK193" i="11"/>
  <c r="AL193" i="11"/>
  <c r="AM193" i="11"/>
  <c r="AK194" i="11"/>
  <c r="AL194" i="11"/>
  <c r="AM194" i="11"/>
  <c r="AK195" i="11"/>
  <c r="AL195" i="11"/>
  <c r="AM195" i="11"/>
  <c r="AK196" i="11"/>
  <c r="AL196" i="11"/>
  <c r="AM196" i="11"/>
  <c r="AK197" i="11"/>
  <c r="AL197" i="11"/>
  <c r="AM197" i="11"/>
  <c r="AK198" i="11"/>
  <c r="AL198" i="11"/>
  <c r="AM198" i="11"/>
  <c r="AK199" i="11"/>
  <c r="AL199" i="11"/>
  <c r="AM199" i="11"/>
  <c r="AK200" i="11"/>
  <c r="AL200" i="11"/>
  <c r="AM200" i="11"/>
  <c r="AK201" i="11"/>
  <c r="AL201" i="11"/>
  <c r="AM201" i="11"/>
  <c r="AK202" i="11"/>
  <c r="AL202" i="11"/>
  <c r="AM202" i="11"/>
  <c r="AK203" i="11"/>
  <c r="AL203" i="11"/>
  <c r="AM203" i="11"/>
  <c r="AK204" i="11"/>
  <c r="AL204" i="11"/>
  <c r="AM204" i="11"/>
  <c r="AK205" i="11"/>
  <c r="AL205" i="11"/>
  <c r="AM205" i="11"/>
  <c r="AK206" i="11"/>
  <c r="AL206" i="11"/>
  <c r="AM206" i="11"/>
  <c r="AK207" i="11"/>
  <c r="AL207" i="11"/>
  <c r="AM207" i="11"/>
  <c r="AK208" i="11"/>
  <c r="AL208" i="11"/>
  <c r="AM208" i="11"/>
  <c r="AK209" i="11"/>
  <c r="AL209" i="11"/>
  <c r="AM209" i="11"/>
  <c r="AK210" i="11"/>
  <c r="AL210" i="11"/>
  <c r="AM210" i="11"/>
  <c r="AK211" i="11"/>
  <c r="AL211" i="11"/>
  <c r="AM211" i="11"/>
  <c r="AK212" i="11"/>
  <c r="AL212" i="11"/>
  <c r="AM212" i="11"/>
  <c r="AK213" i="11"/>
  <c r="AL213" i="11"/>
  <c r="AM213" i="11"/>
  <c r="AK214" i="11"/>
  <c r="AL214" i="11"/>
  <c r="AM214" i="11"/>
  <c r="AK215" i="11"/>
  <c r="AL215" i="11"/>
  <c r="AM215" i="11"/>
  <c r="AK216" i="11"/>
  <c r="AL216" i="11"/>
  <c r="AM216" i="11"/>
  <c r="AK217" i="11"/>
  <c r="AL217" i="11"/>
  <c r="AM217" i="11"/>
  <c r="AK218" i="11"/>
  <c r="AL218" i="11"/>
  <c r="AM218" i="11"/>
  <c r="AK219" i="11"/>
  <c r="AL219" i="11"/>
  <c r="AM219" i="11"/>
  <c r="AK220" i="11"/>
  <c r="AL220" i="11"/>
  <c r="AM220" i="11"/>
  <c r="AK221" i="11"/>
  <c r="AL221" i="11"/>
  <c r="AM221" i="11"/>
  <c r="AK222" i="11"/>
  <c r="AL222" i="11"/>
  <c r="AM222" i="11"/>
  <c r="AK223" i="11"/>
  <c r="AL223" i="11"/>
  <c r="AM223" i="11"/>
  <c r="AK224" i="11"/>
  <c r="AL224" i="11"/>
  <c r="AM224" i="11"/>
  <c r="AK225" i="11"/>
  <c r="AL225" i="11"/>
  <c r="AM225" i="11"/>
  <c r="AK226" i="11"/>
  <c r="AL226" i="11"/>
  <c r="AM226" i="11"/>
  <c r="AK227" i="11"/>
  <c r="AL227" i="11"/>
  <c r="AM227" i="11"/>
  <c r="AK228" i="11"/>
  <c r="AL228" i="11"/>
  <c r="AM228" i="11"/>
  <c r="AK229" i="11"/>
  <c r="AL229" i="11"/>
  <c r="AM229" i="11"/>
  <c r="AK230" i="11"/>
  <c r="AL230" i="11"/>
  <c r="AM230" i="11"/>
  <c r="AK231" i="11"/>
  <c r="AL231" i="11"/>
  <c r="AM231" i="11"/>
  <c r="AK232" i="11"/>
  <c r="AL232" i="11"/>
  <c r="AM232" i="11"/>
  <c r="AK233" i="11"/>
  <c r="AL233" i="11"/>
  <c r="AM233" i="11"/>
  <c r="AK234" i="11"/>
  <c r="AL234" i="11"/>
  <c r="AM234" i="11"/>
  <c r="AK235" i="11"/>
  <c r="AL235" i="11"/>
  <c r="AM235" i="11"/>
  <c r="AK236" i="11"/>
  <c r="AL236" i="11"/>
  <c r="AM236" i="11"/>
  <c r="AK237" i="11"/>
  <c r="AL237" i="11"/>
  <c r="AM237" i="11"/>
  <c r="AK238" i="11"/>
  <c r="AL238" i="11"/>
  <c r="AM238" i="11"/>
  <c r="AK239" i="11"/>
  <c r="AL239" i="11"/>
  <c r="AM239" i="11"/>
  <c r="AK240" i="11"/>
  <c r="AL240" i="11"/>
  <c r="AM240" i="11"/>
  <c r="AK241" i="11"/>
  <c r="AL241" i="11"/>
  <c r="AM241" i="11"/>
  <c r="AK242" i="11"/>
  <c r="AL242" i="11"/>
  <c r="AM242" i="11"/>
  <c r="AK243" i="11"/>
  <c r="AL243" i="11"/>
  <c r="AM243" i="11"/>
  <c r="AK244" i="11"/>
  <c r="AL244" i="11"/>
  <c r="AM244" i="11"/>
  <c r="AK245" i="11"/>
  <c r="AL245" i="11"/>
  <c r="AM245" i="11"/>
  <c r="AK246" i="11"/>
  <c r="AL246" i="11"/>
  <c r="AM246" i="11"/>
  <c r="AK247" i="11"/>
  <c r="AL247" i="11"/>
  <c r="AM247" i="11"/>
  <c r="AK248" i="11"/>
  <c r="AL248" i="11"/>
  <c r="AM248" i="11"/>
  <c r="AK249" i="11"/>
  <c r="AL249" i="11"/>
  <c r="AM249" i="11"/>
  <c r="AK250" i="11"/>
  <c r="AL250" i="11"/>
  <c r="AM250" i="11"/>
  <c r="AK251" i="11"/>
  <c r="AL251" i="11"/>
  <c r="AM251" i="11"/>
  <c r="AK252" i="11"/>
  <c r="AL252" i="11"/>
  <c r="AM252" i="11"/>
  <c r="AK253" i="11"/>
  <c r="AL253" i="11"/>
  <c r="AM253" i="11"/>
  <c r="AK254" i="11"/>
  <c r="AL254" i="11"/>
  <c r="AM254" i="11"/>
  <c r="AK255" i="11"/>
  <c r="AL255" i="11"/>
  <c r="AM255" i="11"/>
  <c r="AK256" i="11"/>
  <c r="AL256" i="11"/>
  <c r="AM256" i="11"/>
  <c r="AK257" i="11"/>
  <c r="AL257" i="11"/>
  <c r="AM257" i="11"/>
  <c r="AK258" i="11"/>
  <c r="AL258" i="11"/>
  <c r="AM258" i="11"/>
  <c r="AK259" i="11"/>
  <c r="AL259" i="11"/>
  <c r="AM259" i="11"/>
  <c r="AK260" i="11"/>
  <c r="AL260" i="11"/>
  <c r="AM260" i="11"/>
  <c r="AK261" i="11"/>
  <c r="AL261" i="11"/>
  <c r="AM261" i="11"/>
  <c r="AK262" i="11"/>
  <c r="AL262" i="11"/>
  <c r="AM262" i="11"/>
  <c r="AK263" i="11"/>
  <c r="AL263" i="11"/>
  <c r="AM263" i="11"/>
  <c r="AK264" i="11"/>
  <c r="AL264" i="11"/>
  <c r="AM264" i="11"/>
  <c r="AK265" i="11"/>
  <c r="AL265" i="11"/>
  <c r="AM265" i="11"/>
  <c r="AK266" i="11"/>
  <c r="AL266" i="11"/>
  <c r="AM266" i="11"/>
  <c r="AK267" i="11"/>
  <c r="AL267" i="11"/>
  <c r="AM267" i="11"/>
  <c r="AK268" i="11"/>
  <c r="AL268" i="11"/>
  <c r="AM268" i="11"/>
  <c r="AK269" i="11"/>
  <c r="AL269" i="11"/>
  <c r="AM269" i="11"/>
  <c r="AK270" i="11"/>
  <c r="AL270" i="11"/>
  <c r="AM270" i="11"/>
  <c r="AK271" i="11"/>
  <c r="AL271" i="11"/>
  <c r="AM271" i="11"/>
  <c r="AK272" i="11"/>
  <c r="AL272" i="11"/>
  <c r="AM272" i="11"/>
  <c r="AK273" i="11"/>
  <c r="AL273" i="11"/>
  <c r="AM273" i="11"/>
  <c r="AK274" i="11"/>
  <c r="AL274" i="11"/>
  <c r="AM274" i="11"/>
  <c r="AK275" i="11"/>
  <c r="AL275" i="11"/>
  <c r="AM275" i="11"/>
  <c r="AK276" i="11"/>
  <c r="AL276" i="11"/>
  <c r="AM276" i="11"/>
  <c r="AK277" i="11"/>
  <c r="AL277" i="11"/>
  <c r="AM277" i="11"/>
  <c r="AK278" i="11"/>
  <c r="AL278" i="11"/>
  <c r="AM278" i="11"/>
  <c r="AK279" i="11"/>
  <c r="AL279" i="11"/>
  <c r="AM279" i="11"/>
  <c r="AK280" i="11"/>
  <c r="AL280" i="11"/>
  <c r="AM280" i="11"/>
  <c r="AK281" i="11"/>
  <c r="AL281" i="11"/>
  <c r="AM281" i="11"/>
  <c r="AK282" i="11"/>
  <c r="AL282" i="11"/>
  <c r="AM282" i="11"/>
  <c r="AK283" i="11"/>
  <c r="AL283" i="11"/>
  <c r="AM283" i="11"/>
  <c r="AK284" i="11"/>
  <c r="AL284" i="11"/>
  <c r="AM284" i="11"/>
  <c r="AK285" i="11"/>
  <c r="AL285" i="11"/>
  <c r="AM285" i="11"/>
  <c r="AK286" i="11"/>
  <c r="AL286" i="11"/>
  <c r="AM286" i="11"/>
  <c r="AK287" i="11"/>
  <c r="AL287" i="11"/>
  <c r="AM287" i="11"/>
  <c r="AK288" i="11"/>
  <c r="AL288" i="11"/>
  <c r="AM288" i="11"/>
  <c r="AK289" i="11"/>
  <c r="AL289" i="11"/>
  <c r="AM289" i="11"/>
  <c r="AK290" i="11"/>
  <c r="AL290" i="11"/>
  <c r="AM290" i="11"/>
  <c r="AK291" i="11"/>
  <c r="AL291" i="11"/>
  <c r="AM291" i="11"/>
  <c r="AK292" i="11"/>
  <c r="AL292" i="11"/>
  <c r="AM292" i="11"/>
  <c r="AK293" i="11"/>
  <c r="AL293" i="11"/>
  <c r="AM293" i="11"/>
  <c r="AK294" i="11"/>
  <c r="AL294" i="11"/>
  <c r="AM294" i="11"/>
  <c r="AK295" i="11"/>
  <c r="AL295" i="11"/>
  <c r="AM295" i="11"/>
  <c r="AK296" i="11"/>
  <c r="AL296" i="11"/>
  <c r="AM296" i="11"/>
  <c r="AK297" i="11"/>
  <c r="AL297" i="11"/>
  <c r="AM297" i="11"/>
  <c r="AK298" i="11"/>
  <c r="AL298" i="11"/>
  <c r="AM298" i="11"/>
  <c r="AK299" i="11"/>
  <c r="AL299" i="11"/>
  <c r="AM299" i="11"/>
  <c r="AK300" i="11"/>
  <c r="AL300" i="11"/>
  <c r="AM300" i="11"/>
  <c r="AK301" i="11"/>
  <c r="AL301" i="11"/>
  <c r="AM301" i="11"/>
  <c r="AK302" i="11"/>
  <c r="AL302" i="11"/>
  <c r="AM302" i="11"/>
  <c r="AK303" i="11"/>
  <c r="AL303" i="11"/>
  <c r="AM303" i="11"/>
  <c r="AK304" i="11"/>
  <c r="AL304" i="11"/>
  <c r="AM304" i="11"/>
  <c r="AK305" i="11"/>
  <c r="AL305" i="11"/>
  <c r="AM305" i="11"/>
  <c r="AK306" i="11"/>
  <c r="AL306" i="11"/>
  <c r="AM306" i="11"/>
  <c r="AK307" i="11"/>
  <c r="AL307" i="11"/>
  <c r="AM307" i="11"/>
  <c r="AK308" i="11"/>
  <c r="AL308" i="11"/>
  <c r="AM308" i="11"/>
  <c r="AK309" i="11"/>
  <c r="AL309" i="11"/>
  <c r="AM309" i="11"/>
  <c r="AK310" i="11"/>
  <c r="AL310" i="11"/>
  <c r="AM310" i="11"/>
  <c r="AK311" i="11"/>
  <c r="AL311" i="11"/>
  <c r="AM311" i="11"/>
  <c r="AK312" i="11"/>
  <c r="AL312" i="11"/>
  <c r="AM312" i="11"/>
  <c r="AK313" i="11"/>
  <c r="AL313" i="11"/>
  <c r="AM313" i="11"/>
  <c r="AK314" i="11"/>
  <c r="AL314" i="11"/>
  <c r="AM314" i="11"/>
  <c r="AK315" i="11"/>
  <c r="AL315" i="11"/>
  <c r="AM315" i="11"/>
  <c r="AK316" i="11"/>
  <c r="AL316" i="11"/>
  <c r="AM316" i="11"/>
  <c r="AK317" i="11"/>
  <c r="AL317" i="11"/>
  <c r="AM317" i="11"/>
  <c r="AK318" i="11"/>
  <c r="AL318" i="11"/>
  <c r="AM318" i="11"/>
  <c r="AK319" i="11"/>
  <c r="AL319" i="11"/>
  <c r="AM319" i="11"/>
  <c r="AK320" i="11"/>
  <c r="AL320" i="11"/>
  <c r="AM320" i="11"/>
  <c r="AK321" i="11"/>
  <c r="AL321" i="11"/>
  <c r="AM321" i="11"/>
  <c r="AK322" i="11"/>
  <c r="AL322" i="11"/>
  <c r="AM322" i="11"/>
  <c r="AK323" i="11"/>
  <c r="AL323" i="11"/>
  <c r="AM323" i="11"/>
  <c r="AK324" i="11"/>
  <c r="AL324" i="11"/>
  <c r="AM324" i="11"/>
  <c r="AK325" i="11"/>
  <c r="AL325" i="11"/>
  <c r="AM325" i="11"/>
  <c r="AK326" i="11"/>
  <c r="AL326" i="11"/>
  <c r="AM326" i="11"/>
  <c r="AK327" i="11"/>
  <c r="AL327" i="11"/>
  <c r="AM327" i="11"/>
  <c r="AK328" i="11"/>
  <c r="AL328" i="11"/>
  <c r="AM328" i="11"/>
  <c r="AK329" i="11"/>
  <c r="AL329" i="11"/>
  <c r="AM329" i="11"/>
  <c r="AK330" i="11"/>
  <c r="AL330" i="11"/>
  <c r="AM330" i="11"/>
  <c r="AK331" i="11"/>
  <c r="AL331" i="11"/>
  <c r="AM331" i="11"/>
  <c r="AK332" i="11"/>
  <c r="AL332" i="11"/>
  <c r="AM332" i="11"/>
  <c r="AK333" i="11"/>
  <c r="AL333" i="11"/>
  <c r="AM333" i="11"/>
  <c r="AK334" i="11"/>
  <c r="AL334" i="11"/>
  <c r="AM334" i="11"/>
  <c r="AK335" i="11"/>
  <c r="AL335" i="11"/>
  <c r="AM335" i="11"/>
  <c r="AK336" i="11"/>
  <c r="AL336" i="11"/>
  <c r="AM336" i="11"/>
  <c r="AK337" i="11"/>
  <c r="AL337" i="11"/>
  <c r="AM337" i="11"/>
  <c r="AK338" i="11"/>
  <c r="AL338" i="11"/>
  <c r="AM338" i="11"/>
  <c r="AK339" i="11"/>
  <c r="AL339" i="11"/>
  <c r="AM339" i="11"/>
  <c r="AK340" i="11"/>
  <c r="AL340" i="11"/>
  <c r="AM340" i="11"/>
  <c r="AK341" i="11"/>
  <c r="AL341" i="11"/>
  <c r="AM341" i="11"/>
  <c r="AK342" i="11"/>
  <c r="AL342" i="11"/>
  <c r="AM342" i="11"/>
  <c r="AK343" i="11"/>
  <c r="AL343" i="11"/>
  <c r="AM343" i="11"/>
  <c r="AK344" i="11"/>
  <c r="AL344" i="11"/>
  <c r="AM344" i="11"/>
  <c r="AK345" i="11"/>
  <c r="AL345" i="11"/>
  <c r="AM345" i="11"/>
  <c r="AK346" i="11"/>
  <c r="AL346" i="11"/>
  <c r="AM346" i="11"/>
  <c r="AK347" i="11"/>
  <c r="AL347" i="11"/>
  <c r="AM347" i="11"/>
  <c r="AK348" i="11"/>
  <c r="AL348" i="11"/>
  <c r="AM348" i="11"/>
  <c r="AK349" i="11"/>
  <c r="AL349" i="11"/>
  <c r="AM349" i="11"/>
  <c r="AK350" i="11"/>
  <c r="AL350" i="11"/>
  <c r="AM350" i="11"/>
  <c r="AK351" i="11"/>
  <c r="AL351" i="11"/>
  <c r="AM351" i="11"/>
  <c r="AK352" i="11"/>
  <c r="AL352" i="11"/>
  <c r="AM352" i="11"/>
  <c r="AK353" i="11"/>
  <c r="AL353" i="11"/>
  <c r="AM353" i="11"/>
  <c r="AK354" i="11"/>
  <c r="AL354" i="11"/>
  <c r="AM354" i="11"/>
  <c r="AK355" i="11"/>
  <c r="AL355" i="11"/>
  <c r="AM355" i="11"/>
  <c r="AK356" i="11"/>
  <c r="AL356" i="11"/>
  <c r="AM356" i="11"/>
  <c r="AK357" i="11"/>
  <c r="AL357" i="11"/>
  <c r="AM357" i="11"/>
  <c r="AK358" i="11"/>
  <c r="AL358" i="11"/>
  <c r="AM358" i="11"/>
  <c r="AK359" i="11"/>
  <c r="AL359" i="11"/>
  <c r="AM359" i="11"/>
  <c r="AK360" i="11"/>
  <c r="AL360" i="11"/>
  <c r="AM360" i="11"/>
  <c r="AK361" i="11"/>
  <c r="AL361" i="11"/>
  <c r="AM361" i="11"/>
  <c r="AK362" i="11"/>
  <c r="AL362" i="11"/>
  <c r="AM362" i="11"/>
  <c r="AK363" i="11"/>
  <c r="AL363" i="11"/>
  <c r="AM363" i="11"/>
  <c r="AK364" i="11"/>
  <c r="AL364" i="11"/>
  <c r="AM364" i="11"/>
  <c r="AK365" i="11"/>
  <c r="AL365" i="11"/>
  <c r="AM365" i="11"/>
  <c r="AK366" i="11"/>
  <c r="AL366" i="11"/>
  <c r="AM366" i="11"/>
  <c r="AK367" i="11"/>
  <c r="AL367" i="11"/>
  <c r="AM367" i="11"/>
  <c r="AK368" i="11"/>
  <c r="AL368" i="11"/>
  <c r="AM368" i="11"/>
  <c r="AK369" i="11"/>
  <c r="AL369" i="11"/>
  <c r="AM369" i="11"/>
  <c r="AK370" i="11"/>
  <c r="AL370" i="11"/>
  <c r="AM370" i="11"/>
  <c r="AK371" i="11"/>
  <c r="AL371" i="11"/>
  <c r="AM371" i="11"/>
  <c r="AK372" i="11"/>
  <c r="AL372" i="11"/>
  <c r="AM372" i="11"/>
  <c r="AK373" i="11"/>
  <c r="AL373" i="11"/>
  <c r="AM373" i="11"/>
  <c r="AK374" i="11"/>
  <c r="AL374" i="11"/>
  <c r="AM374" i="11"/>
  <c r="AK375" i="11"/>
  <c r="AL375" i="11"/>
  <c r="AM375" i="11"/>
  <c r="AK376" i="11"/>
  <c r="AL376" i="11"/>
  <c r="AM376" i="11"/>
  <c r="AK377" i="11"/>
  <c r="AL377" i="11"/>
  <c r="AM377" i="11"/>
  <c r="AK378" i="11"/>
  <c r="AL378" i="11"/>
  <c r="AM378" i="11"/>
  <c r="AK379" i="11"/>
  <c r="AL379" i="11"/>
  <c r="AM379" i="11"/>
  <c r="AK380" i="11"/>
  <c r="AL380" i="11"/>
  <c r="AM380" i="11"/>
  <c r="AK381" i="11"/>
  <c r="AL381" i="11"/>
  <c r="AM381" i="11"/>
  <c r="AK382" i="11"/>
  <c r="AL382" i="11"/>
  <c r="AM382" i="11"/>
  <c r="AK383" i="11"/>
  <c r="AL383" i="11"/>
  <c r="AM383" i="11"/>
  <c r="AK384" i="11"/>
  <c r="AL384" i="11"/>
  <c r="AM384" i="11"/>
  <c r="AK385" i="11"/>
  <c r="AL385" i="11"/>
  <c r="AM385" i="11"/>
  <c r="AK386" i="11"/>
  <c r="AL386" i="11"/>
  <c r="AM386" i="11"/>
  <c r="AK387" i="11"/>
  <c r="AL387" i="11"/>
  <c r="AM387" i="11"/>
  <c r="AK388" i="11"/>
  <c r="AL388" i="11"/>
  <c r="AM388" i="11"/>
  <c r="AK389" i="11"/>
  <c r="AL389" i="11"/>
  <c r="AM389" i="11"/>
  <c r="AK390" i="11"/>
  <c r="AL390" i="11"/>
  <c r="AM390" i="11"/>
  <c r="AK391" i="11"/>
  <c r="AL391" i="11"/>
  <c r="AM391" i="11"/>
  <c r="AK392" i="11"/>
  <c r="AL392" i="11"/>
  <c r="AM392" i="11"/>
  <c r="AK393" i="11"/>
  <c r="AL393" i="11"/>
  <c r="AM393" i="11"/>
  <c r="AK394" i="11"/>
  <c r="AL394" i="11"/>
  <c r="AM394" i="11"/>
  <c r="AK395" i="11"/>
  <c r="AL395" i="11"/>
  <c r="AM395" i="11"/>
  <c r="AK396" i="11"/>
  <c r="AL396" i="11"/>
  <c r="AM396" i="11"/>
  <c r="AK397" i="11"/>
  <c r="AL397" i="11"/>
  <c r="AM397" i="11"/>
  <c r="AK398" i="11"/>
  <c r="AL398" i="11"/>
  <c r="AM398" i="11"/>
  <c r="AK399" i="11"/>
  <c r="AL399" i="11"/>
  <c r="AM399" i="11"/>
  <c r="AK400" i="11"/>
  <c r="AL400" i="11"/>
  <c r="AM400" i="11"/>
  <c r="AK401" i="11"/>
  <c r="AL401" i="11"/>
  <c r="AM401" i="11"/>
  <c r="AK402" i="11"/>
  <c r="AL402" i="11"/>
  <c r="AM402" i="11"/>
  <c r="AK403" i="11"/>
  <c r="AL403" i="11"/>
  <c r="AM403" i="11"/>
  <c r="AK404" i="11"/>
  <c r="AL404" i="11"/>
  <c r="AM404" i="11"/>
  <c r="AK405" i="11"/>
  <c r="AL405" i="11"/>
  <c r="AM405" i="11"/>
  <c r="AK406" i="11"/>
  <c r="AL406" i="11"/>
  <c r="AM406" i="11"/>
  <c r="AK407" i="11"/>
  <c r="AL407" i="11"/>
  <c r="AM407" i="11"/>
  <c r="AK408" i="11"/>
  <c r="AL408" i="11"/>
  <c r="AM408" i="11"/>
  <c r="AK409" i="11"/>
  <c r="AL409" i="11"/>
  <c r="AM409" i="11"/>
  <c r="AK410" i="11"/>
  <c r="AL410" i="11"/>
  <c r="AM410" i="11"/>
  <c r="AK411" i="11"/>
  <c r="AL411" i="11"/>
  <c r="AM411" i="11"/>
  <c r="AK412" i="11"/>
  <c r="AL412" i="11"/>
  <c r="AM412" i="11"/>
  <c r="AK413" i="11"/>
  <c r="AL413" i="11"/>
  <c r="AM413" i="11"/>
  <c r="AK414" i="11"/>
  <c r="AL414" i="11"/>
  <c r="AM414" i="11"/>
  <c r="AK415" i="11"/>
  <c r="AL415" i="11"/>
  <c r="AM415" i="11"/>
  <c r="AK416" i="11"/>
  <c r="AL416" i="11"/>
  <c r="AM416" i="11"/>
  <c r="AK417" i="11"/>
  <c r="AL417" i="11"/>
  <c r="AM417" i="11"/>
  <c r="AK418" i="11"/>
  <c r="AL418" i="11"/>
  <c r="AM418" i="11"/>
  <c r="AK419" i="11"/>
  <c r="AL419" i="11"/>
  <c r="AM419" i="11"/>
  <c r="AK420" i="11"/>
  <c r="AL420" i="11"/>
  <c r="AM420" i="11"/>
  <c r="AK421" i="11"/>
  <c r="AL421" i="11"/>
  <c r="AM421" i="11"/>
  <c r="AK422" i="11"/>
  <c r="AL422" i="11"/>
  <c r="AM422" i="11"/>
  <c r="AK423" i="11"/>
  <c r="AL423" i="11"/>
  <c r="AM423" i="11"/>
  <c r="AK424" i="11"/>
  <c r="AL424" i="11"/>
  <c r="AM424" i="11"/>
  <c r="AK425" i="11"/>
  <c r="AL425" i="11"/>
  <c r="AM425" i="11"/>
  <c r="AK426" i="11"/>
  <c r="AL426" i="11"/>
  <c r="AM426" i="11"/>
  <c r="AK427" i="11"/>
  <c r="AL427" i="11"/>
  <c r="AM427" i="11"/>
  <c r="AK428" i="11"/>
  <c r="AL428" i="11"/>
  <c r="AM428" i="11"/>
  <c r="AK429" i="11"/>
  <c r="AL429" i="11"/>
  <c r="AM429" i="11"/>
  <c r="AK430" i="11"/>
  <c r="AL430" i="11"/>
  <c r="AM430" i="11"/>
  <c r="AK431" i="11"/>
  <c r="AL431" i="11"/>
  <c r="AM431" i="11"/>
  <c r="AK432" i="11"/>
  <c r="AL432" i="11"/>
  <c r="AM432" i="11"/>
  <c r="AK433" i="11"/>
  <c r="AL433" i="11"/>
  <c r="AM433" i="11"/>
  <c r="AK434" i="11"/>
  <c r="AL434" i="11"/>
  <c r="AM434" i="11"/>
  <c r="AK435" i="11"/>
  <c r="AL435" i="11"/>
  <c r="AM435" i="11"/>
  <c r="AK436" i="11"/>
  <c r="AL436" i="11"/>
  <c r="AM436" i="11"/>
  <c r="AK437" i="11"/>
  <c r="AL437" i="11"/>
  <c r="AM437" i="11"/>
  <c r="AK438" i="11"/>
  <c r="AL438" i="11"/>
  <c r="AM438" i="11"/>
  <c r="AK439" i="11"/>
  <c r="AL439" i="11"/>
  <c r="AM439" i="11"/>
  <c r="AK440" i="11"/>
  <c r="AL440" i="11"/>
  <c r="AM440" i="11"/>
  <c r="AK441" i="11"/>
  <c r="AL441" i="11"/>
  <c r="AM441" i="11"/>
  <c r="AK442" i="11"/>
  <c r="AL442" i="11"/>
  <c r="AM442" i="11"/>
  <c r="AK443" i="11"/>
  <c r="AL443" i="11"/>
  <c r="AM443" i="11"/>
  <c r="AK444" i="11"/>
  <c r="AL444" i="11"/>
  <c r="AM444" i="11"/>
  <c r="AK445" i="11"/>
  <c r="AL445" i="11"/>
  <c r="AM445" i="11"/>
  <c r="AK446" i="11"/>
  <c r="AL446" i="11"/>
  <c r="AM446" i="11"/>
  <c r="AK447" i="11"/>
  <c r="AL447" i="11"/>
  <c r="AM447" i="11"/>
  <c r="AK448" i="11"/>
  <c r="AL448" i="11"/>
  <c r="AM448" i="11"/>
  <c r="AK449" i="11"/>
  <c r="AL449" i="11"/>
  <c r="AM449" i="11"/>
  <c r="AK450" i="11"/>
  <c r="AL450" i="11"/>
  <c r="AM450" i="11"/>
  <c r="AK451" i="11"/>
  <c r="AL451" i="11"/>
  <c r="AM451" i="11"/>
  <c r="AK452" i="11"/>
  <c r="AL452" i="11"/>
  <c r="AM452" i="11"/>
  <c r="AK453" i="11"/>
  <c r="AL453" i="11"/>
  <c r="AM453" i="11"/>
  <c r="AK454" i="11"/>
  <c r="AL454" i="11"/>
  <c r="AM454" i="11"/>
  <c r="AK455" i="11"/>
  <c r="AL455" i="11"/>
  <c r="AM455" i="11"/>
  <c r="AK456" i="11"/>
  <c r="AL456" i="11"/>
  <c r="AM456" i="11"/>
  <c r="AK457" i="11"/>
  <c r="AL457" i="11"/>
  <c r="AM457" i="11"/>
  <c r="AK458" i="11"/>
  <c r="AL458" i="11"/>
  <c r="AM458" i="11"/>
  <c r="AK459" i="11"/>
  <c r="AL459" i="11"/>
  <c r="AM459" i="11"/>
  <c r="AK460" i="11"/>
  <c r="AL460" i="11"/>
  <c r="AM460" i="11"/>
  <c r="AK461" i="11"/>
  <c r="AL461" i="11"/>
  <c r="AM461" i="11"/>
  <c r="AK462" i="11"/>
  <c r="AL462" i="11"/>
  <c r="AM462" i="11"/>
  <c r="AK463" i="11"/>
  <c r="AL463" i="11"/>
  <c r="AM463" i="11"/>
  <c r="AK464" i="11"/>
  <c r="AL464" i="11"/>
  <c r="AM464" i="11"/>
  <c r="AK465" i="11"/>
  <c r="AL465" i="11"/>
  <c r="AM465" i="11"/>
  <c r="AK466" i="11"/>
  <c r="AL466" i="11"/>
  <c r="AM466" i="11"/>
  <c r="AK467" i="11"/>
  <c r="AL467" i="11"/>
  <c r="AM467" i="11"/>
  <c r="AK468" i="11"/>
  <c r="AL468" i="11"/>
  <c r="AM468" i="11"/>
  <c r="AK469" i="11"/>
  <c r="AL469" i="11"/>
  <c r="AM469" i="11"/>
  <c r="AK470" i="11"/>
  <c r="AL470" i="11"/>
  <c r="AM470" i="11"/>
  <c r="AK471" i="11"/>
  <c r="AL471" i="11"/>
  <c r="AM471" i="11"/>
  <c r="AK472" i="11"/>
  <c r="AL472" i="11"/>
  <c r="AM472" i="11"/>
  <c r="AK473" i="11"/>
  <c r="AL473" i="11"/>
  <c r="AM473" i="11"/>
  <c r="AK474" i="11"/>
  <c r="AL474" i="11"/>
  <c r="AM474" i="11"/>
  <c r="AK475" i="11"/>
  <c r="AL475" i="11"/>
  <c r="AM475" i="11"/>
  <c r="AK476" i="11"/>
  <c r="AL476" i="11"/>
  <c r="AM476" i="11"/>
  <c r="AK477" i="11"/>
  <c r="AL477" i="11"/>
  <c r="AM477" i="11"/>
  <c r="AK478" i="11"/>
  <c r="AL478" i="11"/>
  <c r="AM478" i="11"/>
  <c r="AK479" i="11"/>
  <c r="AL479" i="11"/>
  <c r="AM479" i="11"/>
  <c r="AK480" i="11"/>
  <c r="AL480" i="11"/>
  <c r="AM480" i="11"/>
  <c r="AK481" i="11"/>
  <c r="AL481" i="11"/>
  <c r="AM481" i="11"/>
  <c r="AK482" i="11"/>
  <c r="AL482" i="11"/>
  <c r="AM482" i="11"/>
  <c r="AK483" i="11"/>
  <c r="AL483" i="11"/>
  <c r="AM483" i="11"/>
  <c r="AK484" i="11"/>
  <c r="AL484" i="11"/>
  <c r="AM484" i="11"/>
  <c r="AK485" i="11"/>
  <c r="AL485" i="11"/>
  <c r="AM485" i="11"/>
  <c r="AK486" i="11"/>
  <c r="AL486" i="11"/>
  <c r="AM486" i="11"/>
  <c r="AK487" i="11"/>
  <c r="AL487" i="11"/>
  <c r="AM487" i="11"/>
  <c r="AK488" i="11"/>
  <c r="AL488" i="11"/>
  <c r="AM488" i="11"/>
  <c r="AK489" i="11"/>
  <c r="AL489" i="11"/>
  <c r="AM489" i="11"/>
  <c r="AK490" i="11"/>
  <c r="AL490" i="11"/>
  <c r="AM490" i="11"/>
  <c r="AK491" i="11"/>
  <c r="AL491" i="11"/>
  <c r="AM491" i="11"/>
  <c r="AK492" i="11"/>
  <c r="AL492" i="11"/>
  <c r="AM492" i="11"/>
  <c r="AK493" i="11"/>
  <c r="AL493" i="11"/>
  <c r="AM493" i="11"/>
  <c r="AK494" i="11"/>
  <c r="AL494" i="11"/>
  <c r="AM494" i="11"/>
  <c r="AK495" i="11"/>
  <c r="AL495" i="11"/>
  <c r="AM495" i="11"/>
  <c r="AK496" i="11"/>
  <c r="AL496" i="11"/>
  <c r="AM496" i="11"/>
  <c r="AK497" i="11"/>
  <c r="AL497" i="11"/>
  <c r="AM497" i="11"/>
  <c r="AK498" i="11"/>
  <c r="AL498" i="11"/>
  <c r="AM498" i="11"/>
  <c r="AK499" i="11"/>
  <c r="AL499" i="11"/>
  <c r="AM499" i="11"/>
  <c r="AK500" i="11"/>
  <c r="AL500" i="11"/>
  <c r="AM500" i="11"/>
  <c r="AK501" i="11"/>
  <c r="AL501" i="11"/>
  <c r="AM501" i="11"/>
  <c r="AK502" i="11"/>
  <c r="AL502" i="11"/>
  <c r="AM502" i="11"/>
  <c r="AK503" i="11"/>
  <c r="AL503" i="11"/>
  <c r="AM503" i="11"/>
  <c r="AK504" i="11"/>
  <c r="AL504" i="11"/>
  <c r="AM504" i="11"/>
  <c r="AK505" i="11"/>
  <c r="AL505" i="11"/>
  <c r="AM505" i="11"/>
  <c r="AK506" i="11"/>
  <c r="AL506" i="11"/>
  <c r="AM506" i="11"/>
  <c r="AK507" i="11"/>
  <c r="AL507" i="11"/>
  <c r="AM507" i="11"/>
  <c r="AK508" i="11"/>
  <c r="AL508" i="11"/>
  <c r="AM508" i="11"/>
  <c r="AK509" i="11"/>
  <c r="AL509" i="11"/>
  <c r="AM509" i="11"/>
  <c r="AK510" i="11"/>
  <c r="AL510" i="11"/>
  <c r="AM510" i="11"/>
  <c r="AK511" i="11"/>
  <c r="AL511" i="11"/>
  <c r="AM511" i="11"/>
  <c r="AK512" i="11"/>
  <c r="AL512" i="11"/>
  <c r="AM512" i="11"/>
  <c r="AK513" i="11"/>
  <c r="AL513" i="11"/>
  <c r="AM513" i="11"/>
  <c r="AK514" i="11"/>
  <c r="AL514" i="11"/>
  <c r="AM514" i="11"/>
  <c r="AK515" i="11"/>
  <c r="AL515" i="11"/>
  <c r="AM515" i="11"/>
  <c r="AK516" i="11"/>
  <c r="AL516" i="11"/>
  <c r="AM516" i="11"/>
  <c r="AK517" i="11"/>
  <c r="AL517" i="11"/>
  <c r="AM517" i="11"/>
  <c r="AK518" i="11"/>
  <c r="AL518" i="11"/>
  <c r="AM518" i="11"/>
  <c r="AK519" i="11"/>
  <c r="AL519" i="11"/>
  <c r="AM519" i="11"/>
  <c r="AK520" i="11"/>
  <c r="AL520" i="11"/>
  <c r="AM520" i="11"/>
  <c r="AK521" i="11"/>
  <c r="AL521" i="11"/>
  <c r="AM521" i="11"/>
  <c r="AK522" i="11"/>
  <c r="AL522" i="11"/>
  <c r="AM522" i="11"/>
  <c r="AK523" i="11"/>
  <c r="AL523" i="11"/>
  <c r="AM523" i="11"/>
  <c r="AK524" i="11"/>
  <c r="AL524" i="11"/>
  <c r="AM524" i="11"/>
  <c r="AK525" i="11"/>
  <c r="AL525" i="11"/>
  <c r="AM525" i="11"/>
  <c r="AK526" i="11"/>
  <c r="AL526" i="11"/>
  <c r="AM526" i="11"/>
  <c r="AK527" i="11"/>
  <c r="AL527" i="11"/>
  <c r="AM527" i="11"/>
  <c r="AK528" i="11"/>
  <c r="AL528" i="11"/>
  <c r="AM528" i="11"/>
  <c r="AK529" i="11"/>
  <c r="AL529" i="11"/>
  <c r="AM529" i="11"/>
  <c r="AK530" i="11"/>
  <c r="AL530" i="11"/>
  <c r="AM530" i="11"/>
  <c r="AK531" i="11"/>
  <c r="AL531" i="11"/>
  <c r="AM531" i="11"/>
  <c r="AK532" i="11"/>
  <c r="AL532" i="11"/>
  <c r="AM532" i="11"/>
  <c r="AK533" i="11"/>
  <c r="AL533" i="11"/>
  <c r="AM533" i="11"/>
  <c r="AK534" i="11"/>
  <c r="AL534" i="11"/>
  <c r="AM534" i="11"/>
  <c r="AK535" i="11"/>
  <c r="AL535" i="11"/>
  <c r="AM535" i="11"/>
  <c r="AK536" i="11"/>
  <c r="AL536" i="11"/>
  <c r="AM536" i="11"/>
  <c r="AK537" i="11"/>
  <c r="AL537" i="11"/>
  <c r="AM537" i="11"/>
  <c r="AK538" i="11"/>
  <c r="AL538" i="11"/>
  <c r="AM538" i="11"/>
  <c r="AK539" i="11"/>
  <c r="AL539" i="11"/>
  <c r="AM539" i="11"/>
  <c r="AK540" i="11"/>
  <c r="AL540" i="11"/>
  <c r="AM540" i="11"/>
  <c r="AK541" i="11"/>
  <c r="AL541" i="11"/>
  <c r="AM541" i="11"/>
  <c r="AK542" i="11"/>
  <c r="AL542" i="11"/>
  <c r="AM542" i="11"/>
  <c r="AK543" i="11"/>
  <c r="AL543" i="11"/>
  <c r="AM543" i="11"/>
  <c r="AK544" i="11"/>
  <c r="AL544" i="11"/>
  <c r="AM544" i="11"/>
  <c r="AK545" i="11"/>
  <c r="AL545" i="11"/>
  <c r="AM545" i="11"/>
  <c r="AK546" i="11"/>
  <c r="AL546" i="11"/>
  <c r="AM546" i="11"/>
  <c r="AK547" i="11"/>
  <c r="AL547" i="11"/>
  <c r="AM547" i="11"/>
  <c r="AK548" i="11"/>
  <c r="AL548" i="11"/>
  <c r="AM548" i="11"/>
  <c r="AK549" i="11"/>
  <c r="AL549" i="11"/>
  <c r="AM549" i="11"/>
  <c r="AK550" i="11"/>
  <c r="AL550" i="11"/>
  <c r="AM550" i="11"/>
  <c r="AK551" i="11"/>
  <c r="AL551" i="11"/>
  <c r="AM551" i="11"/>
  <c r="AK552" i="11"/>
  <c r="AL552" i="11"/>
  <c r="AM552" i="11"/>
  <c r="AK553" i="11"/>
  <c r="AL553" i="11"/>
  <c r="AM553" i="11"/>
  <c r="AK554" i="11"/>
  <c r="AL554" i="11"/>
  <c r="AM554" i="11"/>
  <c r="AK555" i="11"/>
  <c r="AL555" i="11"/>
  <c r="AM555" i="11"/>
  <c r="AK556" i="11"/>
  <c r="AL556" i="11"/>
  <c r="AM556" i="11"/>
  <c r="AK557" i="11"/>
  <c r="AL557" i="11"/>
  <c r="AM557" i="11"/>
  <c r="AK558" i="11"/>
  <c r="AL558" i="11"/>
  <c r="AM558" i="11"/>
  <c r="AK559" i="11"/>
  <c r="AL559" i="11"/>
  <c r="AM559" i="11"/>
  <c r="AK560" i="11"/>
  <c r="AL560" i="11"/>
  <c r="AM560" i="11"/>
  <c r="AK561" i="11"/>
  <c r="AL561" i="11"/>
  <c r="AM561" i="11"/>
  <c r="AK562" i="11"/>
  <c r="AL562" i="11"/>
  <c r="AM562" i="11"/>
  <c r="AK563" i="11"/>
  <c r="AL563" i="11"/>
  <c r="AM563" i="11"/>
  <c r="AK564" i="11"/>
  <c r="AL564" i="11"/>
  <c r="AM564" i="11"/>
  <c r="AK565" i="11"/>
  <c r="AL565" i="11"/>
  <c r="AM565" i="11"/>
  <c r="AK566" i="11"/>
  <c r="AL566" i="11"/>
  <c r="AM566" i="11"/>
  <c r="AK567" i="11"/>
  <c r="AL567" i="11"/>
  <c r="AM567" i="11"/>
  <c r="AK568" i="11"/>
  <c r="AL568" i="11"/>
  <c r="AM568" i="11"/>
  <c r="AK569" i="11"/>
  <c r="AL569" i="11"/>
  <c r="AM569" i="11"/>
  <c r="AK570" i="11"/>
  <c r="AL570" i="11"/>
  <c r="AM570" i="11"/>
  <c r="AK571" i="11"/>
  <c r="AL571" i="11"/>
  <c r="AM571" i="11"/>
  <c r="AK572" i="11"/>
  <c r="AL572" i="11"/>
  <c r="AM572" i="11"/>
  <c r="AK573" i="11"/>
  <c r="AL573" i="11"/>
  <c r="AM573" i="11"/>
  <c r="AK574" i="11"/>
  <c r="AL574" i="11"/>
  <c r="AM574" i="11"/>
  <c r="AK575" i="11"/>
  <c r="AL575" i="11"/>
  <c r="AM575" i="11"/>
  <c r="AK576" i="11"/>
  <c r="AL576" i="11"/>
  <c r="AM576" i="11"/>
  <c r="AK577" i="11"/>
  <c r="AL577" i="11"/>
  <c r="AM577" i="11"/>
  <c r="AK578" i="11"/>
  <c r="AL578" i="11"/>
  <c r="AM578" i="11"/>
  <c r="AK579" i="11"/>
  <c r="AL579" i="11"/>
  <c r="AM579" i="11"/>
  <c r="AK580" i="11"/>
  <c r="AL580" i="11"/>
  <c r="AM580" i="11"/>
  <c r="AK581" i="11"/>
  <c r="AL581" i="11"/>
  <c r="AM581" i="11"/>
  <c r="AK582" i="11"/>
  <c r="AL582" i="11"/>
  <c r="AM582" i="11"/>
  <c r="AK583" i="11"/>
  <c r="AL583" i="11"/>
  <c r="AM583" i="11"/>
  <c r="AK584" i="11"/>
  <c r="AL584" i="11"/>
  <c r="AM584" i="11"/>
  <c r="AK585" i="11"/>
  <c r="AL585" i="11"/>
  <c r="AM585" i="11"/>
  <c r="AK586" i="11"/>
  <c r="AL586" i="11"/>
  <c r="AM586" i="11"/>
  <c r="AK587" i="11"/>
  <c r="AL587" i="11"/>
  <c r="AM587" i="11"/>
  <c r="AK588" i="11"/>
  <c r="AL588" i="11"/>
  <c r="AM588" i="11"/>
  <c r="AK589" i="11"/>
  <c r="AL589" i="11"/>
  <c r="AM589" i="11"/>
  <c r="AK590" i="11"/>
  <c r="AL590" i="11"/>
  <c r="AM590" i="11"/>
  <c r="AK591" i="11"/>
  <c r="AL591" i="11"/>
  <c r="AM591" i="11"/>
  <c r="AK592" i="11"/>
  <c r="AL592" i="11"/>
  <c r="AM592" i="11"/>
  <c r="AK593" i="11"/>
  <c r="AL593" i="11"/>
  <c r="AM593" i="11"/>
  <c r="AK594" i="11"/>
  <c r="AL594" i="11"/>
  <c r="AM594" i="11"/>
  <c r="AK595" i="11"/>
  <c r="AL595" i="11"/>
  <c r="AM595" i="11"/>
  <c r="AK596" i="11"/>
  <c r="AL596" i="11"/>
  <c r="AM596" i="11"/>
  <c r="AK597" i="11"/>
  <c r="AL597" i="11"/>
  <c r="AM597" i="11"/>
  <c r="AK598" i="11"/>
  <c r="AL598" i="11"/>
  <c r="AM598" i="11"/>
  <c r="AK599" i="11"/>
  <c r="AL599" i="11"/>
  <c r="AM599" i="11"/>
  <c r="AK600" i="11"/>
  <c r="AL600" i="11"/>
  <c r="AM600" i="11"/>
  <c r="AK601" i="11"/>
  <c r="AL601" i="11"/>
  <c r="AM601" i="11"/>
  <c r="AK602" i="11"/>
  <c r="AL602" i="11"/>
  <c r="AM602" i="11"/>
  <c r="AK603" i="11"/>
  <c r="AL603" i="11"/>
  <c r="AM603" i="11"/>
  <c r="AK604" i="11"/>
  <c r="AL604" i="11"/>
  <c r="AM604" i="11"/>
  <c r="AK605" i="11"/>
  <c r="AL605" i="11"/>
  <c r="AM605" i="11"/>
  <c r="AK606" i="11"/>
  <c r="AL606" i="11"/>
  <c r="AM606" i="11"/>
  <c r="AK607" i="11"/>
  <c r="AL607" i="11"/>
  <c r="AM607" i="11"/>
  <c r="AK608" i="11"/>
  <c r="AL608" i="11"/>
  <c r="AM608" i="11"/>
  <c r="AK609" i="11"/>
  <c r="AL609" i="11"/>
  <c r="AM609" i="11"/>
  <c r="AK610" i="11"/>
  <c r="AL610" i="11"/>
  <c r="AM610" i="11"/>
  <c r="AK611" i="11"/>
  <c r="AL611" i="11"/>
  <c r="AM611" i="11"/>
  <c r="AK612" i="11"/>
  <c r="AL612" i="11"/>
  <c r="AM612" i="11"/>
  <c r="AK613" i="11"/>
  <c r="AL613" i="11"/>
  <c r="AM613" i="11"/>
  <c r="AK614" i="11"/>
  <c r="AL614" i="11"/>
  <c r="AM614" i="11"/>
  <c r="AK615" i="11"/>
  <c r="AL615" i="11"/>
  <c r="AM615" i="11"/>
  <c r="AK616" i="11"/>
  <c r="AL616" i="11"/>
  <c r="AM616" i="11"/>
  <c r="AK617" i="11"/>
  <c r="AL617" i="11"/>
  <c r="AM617" i="11"/>
  <c r="AK618" i="11"/>
  <c r="AL618" i="11"/>
  <c r="AM618" i="11"/>
  <c r="AK619" i="11"/>
  <c r="AL619" i="11"/>
  <c r="AM619" i="11"/>
  <c r="AK620" i="11"/>
  <c r="AL620" i="11"/>
  <c r="AM620" i="11"/>
  <c r="AK621" i="11"/>
  <c r="AL621" i="11"/>
  <c r="AM621" i="11"/>
  <c r="AK622" i="11"/>
  <c r="AL622" i="11"/>
  <c r="AM622" i="11"/>
  <c r="AK623" i="11"/>
  <c r="AL623" i="11"/>
  <c r="AM623" i="11"/>
  <c r="AK624" i="11"/>
  <c r="AL624" i="11"/>
  <c r="AM624" i="11"/>
  <c r="AK625" i="11"/>
  <c r="AL625" i="11"/>
  <c r="AM625" i="11"/>
  <c r="AK626" i="11"/>
  <c r="AL626" i="11"/>
  <c r="AM626" i="11"/>
  <c r="AK627" i="11"/>
  <c r="AL627" i="11"/>
  <c r="AM627" i="11"/>
  <c r="AK628" i="11"/>
  <c r="AL628" i="11"/>
  <c r="AM628" i="11"/>
  <c r="AK629" i="11"/>
  <c r="AL629" i="11"/>
  <c r="AM629" i="11"/>
  <c r="AK630" i="11"/>
  <c r="AL630" i="11"/>
  <c r="AM630" i="11"/>
  <c r="AK631" i="11"/>
  <c r="AL631" i="11"/>
  <c r="AM631" i="11"/>
  <c r="AK632" i="11"/>
  <c r="AL632" i="11"/>
  <c r="AM632" i="11"/>
  <c r="AK633" i="11"/>
  <c r="AL633" i="11"/>
  <c r="AM633" i="11"/>
  <c r="AK634" i="11"/>
  <c r="AL634" i="11"/>
  <c r="AM634" i="11"/>
  <c r="AK635" i="11"/>
  <c r="AL635" i="11"/>
  <c r="AM635" i="11"/>
  <c r="AK636" i="11"/>
  <c r="AL636" i="11"/>
  <c r="AM636" i="11"/>
  <c r="AK637" i="11"/>
  <c r="AL637" i="11"/>
  <c r="AM637" i="11"/>
  <c r="AK638" i="11"/>
  <c r="AL638" i="11"/>
  <c r="AM638" i="11"/>
  <c r="AK639" i="11"/>
  <c r="AL639" i="11"/>
  <c r="AM639" i="11"/>
  <c r="AK640" i="11"/>
  <c r="AL640" i="11"/>
  <c r="AM640" i="11"/>
  <c r="AK641" i="11"/>
  <c r="AL641" i="11"/>
  <c r="AM641" i="11"/>
  <c r="AK642" i="11"/>
  <c r="AL642" i="11"/>
  <c r="AM642" i="11"/>
  <c r="AK643" i="11"/>
  <c r="AL643" i="11"/>
  <c r="AM643" i="11"/>
  <c r="AK644" i="11"/>
  <c r="AL644" i="11"/>
  <c r="AM644" i="11"/>
  <c r="AK645" i="11"/>
  <c r="AL645" i="11"/>
  <c r="AM645" i="11"/>
  <c r="AK646" i="11"/>
  <c r="AL646" i="11"/>
  <c r="AM646" i="11"/>
  <c r="AK647" i="11"/>
  <c r="AL647" i="11"/>
  <c r="AM647" i="11"/>
  <c r="AK648" i="11"/>
  <c r="AL648" i="11"/>
  <c r="AM648" i="11"/>
  <c r="AK649" i="11"/>
  <c r="AL649" i="11"/>
  <c r="AM649" i="11"/>
  <c r="AK650" i="11"/>
  <c r="AL650" i="11"/>
  <c r="AM650" i="11"/>
  <c r="AK651" i="11"/>
  <c r="AL651" i="11"/>
  <c r="AM651" i="11"/>
  <c r="AK652" i="11"/>
  <c r="AL652" i="11"/>
  <c r="AM652" i="11"/>
  <c r="AK653" i="11"/>
  <c r="AL653" i="11"/>
  <c r="AM653" i="11"/>
  <c r="AK654" i="11"/>
  <c r="AL654" i="11"/>
  <c r="AM654" i="11"/>
  <c r="AK655" i="11"/>
  <c r="AL655" i="11"/>
  <c r="AM655" i="11"/>
  <c r="AK656" i="11"/>
  <c r="AL656" i="11"/>
  <c r="AM656" i="11"/>
  <c r="AK657" i="11"/>
  <c r="AL657" i="11"/>
  <c r="AM657" i="11"/>
  <c r="AK658" i="11"/>
  <c r="AL658" i="11"/>
  <c r="AM658" i="11"/>
  <c r="AK659" i="11"/>
  <c r="AL659" i="11"/>
  <c r="AM659" i="11"/>
  <c r="AK660" i="11"/>
  <c r="AL660" i="11"/>
  <c r="AM660" i="11"/>
  <c r="AK661" i="11"/>
  <c r="AL661" i="11"/>
  <c r="AM661" i="11"/>
  <c r="AK662" i="11"/>
  <c r="AL662" i="11"/>
  <c r="AM662" i="11"/>
  <c r="AK663" i="11"/>
  <c r="AL663" i="11"/>
  <c r="AM663" i="11"/>
  <c r="AK664" i="11"/>
  <c r="AL664" i="11"/>
  <c r="AM664" i="11"/>
  <c r="AK665" i="11"/>
  <c r="AL665" i="11"/>
  <c r="AM665" i="11"/>
  <c r="AK666" i="11"/>
  <c r="AL666" i="11"/>
  <c r="AM666" i="11"/>
  <c r="AK667" i="11"/>
  <c r="AL667" i="11"/>
  <c r="AM667" i="11"/>
  <c r="AK668" i="11"/>
  <c r="AL668" i="11"/>
  <c r="AM668" i="11"/>
  <c r="AK669" i="11"/>
  <c r="AL669" i="11"/>
  <c r="AM669" i="11"/>
  <c r="AK670" i="11"/>
  <c r="AL670" i="11"/>
  <c r="AM670" i="11"/>
  <c r="AK671" i="11"/>
  <c r="AL671" i="11"/>
  <c r="AM671" i="11"/>
  <c r="AK672" i="11"/>
  <c r="AL672" i="11"/>
  <c r="AM672" i="11"/>
  <c r="AK673" i="11"/>
  <c r="AL673" i="11"/>
  <c r="AM673" i="11"/>
  <c r="AK674" i="11"/>
  <c r="AL674" i="11"/>
  <c r="AM674" i="11"/>
  <c r="AK675" i="11"/>
  <c r="AL675" i="11"/>
  <c r="AM675" i="11"/>
  <c r="AK676" i="11"/>
  <c r="AL676" i="11"/>
  <c r="AM676" i="11"/>
  <c r="AK677" i="11"/>
  <c r="AL677" i="11"/>
  <c r="AM677" i="11"/>
  <c r="AK678" i="11"/>
  <c r="AL678" i="11"/>
  <c r="AM678" i="11"/>
  <c r="AK679" i="11"/>
  <c r="AL679" i="11"/>
  <c r="AM679" i="11"/>
  <c r="AK680" i="11"/>
  <c r="AL680" i="11"/>
  <c r="AM680" i="11"/>
  <c r="AK681" i="11"/>
  <c r="AL681" i="11"/>
  <c r="AM681" i="11"/>
  <c r="AK682" i="11"/>
  <c r="AL682" i="11"/>
  <c r="AM682" i="11"/>
  <c r="AK683" i="11"/>
  <c r="AL683" i="11"/>
  <c r="AM683" i="11"/>
  <c r="AK684" i="11"/>
  <c r="AL684" i="11"/>
  <c r="AM684" i="11"/>
  <c r="AK685" i="11"/>
  <c r="AL685" i="11"/>
  <c r="AM685" i="11"/>
  <c r="AK686" i="11"/>
  <c r="AL686" i="11"/>
  <c r="AM686" i="11"/>
  <c r="AK687" i="11"/>
  <c r="AL687" i="11"/>
  <c r="AM687" i="11"/>
  <c r="AK688" i="11"/>
  <c r="AL688" i="11"/>
  <c r="AM688" i="11"/>
  <c r="AK689" i="11"/>
  <c r="AL689" i="11"/>
  <c r="AM689" i="11"/>
  <c r="AK690" i="11"/>
  <c r="AL690" i="11"/>
  <c r="AM690" i="11"/>
  <c r="AK691" i="11"/>
  <c r="AL691" i="11"/>
  <c r="AM691" i="11"/>
  <c r="AK692" i="11"/>
  <c r="AL692" i="11"/>
  <c r="AM692" i="11"/>
  <c r="AK693" i="11"/>
  <c r="AL693" i="11"/>
  <c r="AM693" i="11"/>
  <c r="AK694" i="11"/>
  <c r="AL694" i="11"/>
  <c r="AM694" i="11"/>
  <c r="AK695" i="11"/>
  <c r="AL695" i="11"/>
  <c r="AM695" i="11"/>
  <c r="AK696" i="11"/>
  <c r="AL696" i="11"/>
  <c r="AM696" i="11"/>
  <c r="AK697" i="11"/>
  <c r="AL697" i="11"/>
  <c r="AM697" i="11"/>
  <c r="AK698" i="11"/>
  <c r="AL698" i="11"/>
  <c r="AM698" i="11"/>
  <c r="AK699" i="11"/>
  <c r="AL699" i="11"/>
  <c r="AM699" i="11"/>
  <c r="AK700" i="11"/>
  <c r="AL700" i="11"/>
  <c r="AM700" i="11"/>
  <c r="AK701" i="11"/>
  <c r="AL701" i="11"/>
  <c r="AM701" i="11"/>
  <c r="AK702" i="11"/>
  <c r="AL702" i="11"/>
  <c r="AM702" i="11"/>
  <c r="AK703" i="11"/>
  <c r="AL703" i="11"/>
  <c r="AM703" i="11"/>
  <c r="AK704" i="11"/>
  <c r="AL704" i="11"/>
  <c r="AM704" i="11"/>
  <c r="AK705" i="11"/>
  <c r="AL705" i="11"/>
  <c r="AM705" i="11"/>
  <c r="AK706" i="11"/>
  <c r="AL706" i="11"/>
  <c r="AM706" i="11"/>
  <c r="AK707" i="11"/>
  <c r="AL707" i="11"/>
  <c r="AM707" i="11"/>
  <c r="AK708" i="11"/>
  <c r="AL708" i="11"/>
  <c r="AM708" i="11"/>
  <c r="AK709" i="11"/>
  <c r="AL709" i="11"/>
  <c r="AM709" i="11"/>
  <c r="AK710" i="11"/>
  <c r="AL710" i="11"/>
  <c r="AM710" i="11"/>
  <c r="AK711" i="11"/>
  <c r="AL711" i="11"/>
  <c r="AM711" i="11"/>
  <c r="AK712" i="11"/>
  <c r="AL712" i="11"/>
  <c r="AM712" i="11"/>
  <c r="AK713" i="11"/>
  <c r="AL713" i="11"/>
  <c r="AM713" i="11"/>
  <c r="AK714" i="11"/>
  <c r="AL714" i="11"/>
  <c r="AM714" i="11"/>
  <c r="AK715" i="11"/>
  <c r="AL715" i="11"/>
  <c r="AM715" i="11"/>
  <c r="AK716" i="11"/>
  <c r="AL716" i="11"/>
  <c r="AM716" i="11"/>
  <c r="AK717" i="11"/>
  <c r="AL717" i="11"/>
  <c r="AM717" i="11"/>
  <c r="AK718" i="11"/>
  <c r="AL718" i="11"/>
  <c r="AM718" i="11"/>
  <c r="AK719" i="11"/>
  <c r="AL719" i="11"/>
  <c r="AM719" i="11"/>
  <c r="AK720" i="11"/>
  <c r="AL720" i="11"/>
  <c r="AM720" i="11"/>
  <c r="AK721" i="11"/>
  <c r="AL721" i="11"/>
  <c r="AM721" i="11"/>
  <c r="AK722" i="11"/>
  <c r="AL722" i="11"/>
  <c r="AM722" i="11"/>
  <c r="AK723" i="11"/>
  <c r="AL723" i="11"/>
  <c r="AM723" i="11"/>
  <c r="AK724" i="11"/>
  <c r="AL724" i="11"/>
  <c r="AM724" i="11"/>
  <c r="AK725" i="11"/>
  <c r="AL725" i="11"/>
  <c r="AM725" i="11"/>
  <c r="AK726" i="11"/>
  <c r="AL726" i="11"/>
  <c r="AM726" i="11"/>
  <c r="AK727" i="11"/>
  <c r="AL727" i="11"/>
  <c r="AM727" i="11"/>
  <c r="AK728" i="11"/>
  <c r="AL728" i="11"/>
  <c r="AM728" i="11"/>
  <c r="AK729" i="11"/>
  <c r="AL729" i="11"/>
  <c r="AM729" i="11"/>
  <c r="AK730" i="11"/>
  <c r="AL730" i="11"/>
  <c r="AM730" i="11"/>
  <c r="AK731" i="11"/>
  <c r="AL731" i="11"/>
  <c r="AM731" i="11"/>
  <c r="AK732" i="11"/>
  <c r="AL732" i="11"/>
  <c r="AM732" i="11"/>
  <c r="AM2" i="11"/>
  <c r="AL2" i="11"/>
  <c r="AK2" i="11"/>
  <c r="AD3" i="11"/>
  <c r="AE3" i="11"/>
  <c r="AF3" i="11"/>
  <c r="AG3" i="11"/>
  <c r="AH3" i="11"/>
  <c r="AI3" i="11"/>
  <c r="AJ3" i="11"/>
  <c r="AD4" i="11"/>
  <c r="AE4" i="11"/>
  <c r="AF4" i="11"/>
  <c r="AG4" i="11"/>
  <c r="AH4" i="11"/>
  <c r="AI4" i="11"/>
  <c r="AJ4" i="11"/>
  <c r="AD5" i="11"/>
  <c r="AE5" i="11"/>
  <c r="AF5" i="11"/>
  <c r="AG5" i="11"/>
  <c r="AH5" i="11"/>
  <c r="AI5" i="11"/>
  <c r="AJ5" i="11"/>
  <c r="AD6" i="11"/>
  <c r="AE6" i="11"/>
  <c r="AF6" i="11"/>
  <c r="AG6" i="11"/>
  <c r="AH6" i="11"/>
  <c r="AI6" i="11"/>
  <c r="AJ6" i="11"/>
  <c r="AD7" i="11"/>
  <c r="AE7" i="11"/>
  <c r="AF7" i="11"/>
  <c r="AG7" i="11"/>
  <c r="AH7" i="11"/>
  <c r="AI7" i="11"/>
  <c r="AJ7" i="11"/>
  <c r="AD8" i="11"/>
  <c r="AE8" i="11"/>
  <c r="AF8" i="11"/>
  <c r="AG8" i="11"/>
  <c r="AH8" i="11"/>
  <c r="AI8" i="11"/>
  <c r="AJ8" i="11"/>
  <c r="AD9" i="11"/>
  <c r="AE9" i="11"/>
  <c r="AF9" i="11"/>
  <c r="AG9" i="11"/>
  <c r="AH9" i="11"/>
  <c r="AI9" i="11"/>
  <c r="AJ9" i="11"/>
  <c r="AD10" i="11"/>
  <c r="AE10" i="11"/>
  <c r="AF10" i="11"/>
  <c r="AG10" i="11"/>
  <c r="AH10" i="11"/>
  <c r="AI10" i="11"/>
  <c r="AJ10" i="11"/>
  <c r="AD11" i="11"/>
  <c r="AE11" i="11"/>
  <c r="AF11" i="11"/>
  <c r="AG11" i="11"/>
  <c r="AH11" i="11"/>
  <c r="AI11" i="11"/>
  <c r="AJ11" i="11"/>
  <c r="AD12" i="11"/>
  <c r="AE12" i="11"/>
  <c r="AF12" i="11"/>
  <c r="AG12" i="11"/>
  <c r="AH12" i="11"/>
  <c r="AI12" i="11"/>
  <c r="AJ12" i="11"/>
  <c r="AD13" i="11"/>
  <c r="AE13" i="11"/>
  <c r="AF13" i="11"/>
  <c r="AG13" i="11"/>
  <c r="AH13" i="11"/>
  <c r="AI13" i="11"/>
  <c r="AJ13" i="11"/>
  <c r="AD14" i="11"/>
  <c r="AE14" i="11"/>
  <c r="AF14" i="11"/>
  <c r="AG14" i="11"/>
  <c r="AH14" i="11"/>
  <c r="AI14" i="11"/>
  <c r="AJ14" i="11"/>
  <c r="AD15" i="11"/>
  <c r="AE15" i="11"/>
  <c r="AF15" i="11"/>
  <c r="AG15" i="11"/>
  <c r="AH15" i="11"/>
  <c r="AI15" i="11"/>
  <c r="AJ15" i="11"/>
  <c r="AD16" i="11"/>
  <c r="AE16" i="11"/>
  <c r="AF16" i="11"/>
  <c r="AG16" i="11"/>
  <c r="AH16" i="11"/>
  <c r="AI16" i="11"/>
  <c r="AJ16" i="11"/>
  <c r="AD17" i="11"/>
  <c r="AE17" i="11"/>
  <c r="AF17" i="11"/>
  <c r="AG17" i="11"/>
  <c r="AH17" i="11"/>
  <c r="AI17" i="11"/>
  <c r="AJ17" i="11"/>
  <c r="AD18" i="11"/>
  <c r="AE18" i="11"/>
  <c r="AF18" i="11"/>
  <c r="AG18" i="11"/>
  <c r="AH18" i="11"/>
  <c r="AI18" i="11"/>
  <c r="AJ18" i="11"/>
  <c r="AD19" i="11"/>
  <c r="AE19" i="11"/>
  <c r="AF19" i="11"/>
  <c r="AG19" i="11"/>
  <c r="AH19" i="11"/>
  <c r="AI19" i="11"/>
  <c r="AJ19" i="11"/>
  <c r="AD20" i="11"/>
  <c r="AE20" i="11"/>
  <c r="AF20" i="11"/>
  <c r="AG20" i="11"/>
  <c r="AH20" i="11"/>
  <c r="AI20" i="11"/>
  <c r="AJ20" i="11"/>
  <c r="AD21" i="11"/>
  <c r="AE21" i="11"/>
  <c r="AF21" i="11"/>
  <c r="AG21" i="11"/>
  <c r="AH21" i="11"/>
  <c r="AI21" i="11"/>
  <c r="AJ21" i="11"/>
  <c r="AD22" i="11"/>
  <c r="AE22" i="11"/>
  <c r="AF22" i="11"/>
  <c r="AG22" i="11"/>
  <c r="AH22" i="11"/>
  <c r="AI22" i="11"/>
  <c r="AJ22" i="11"/>
  <c r="AD23" i="11"/>
  <c r="AE23" i="11"/>
  <c r="AF23" i="11"/>
  <c r="AG23" i="11"/>
  <c r="AH23" i="11"/>
  <c r="AI23" i="11"/>
  <c r="AJ23" i="11"/>
  <c r="AD24" i="11"/>
  <c r="AE24" i="11"/>
  <c r="AF24" i="11"/>
  <c r="AG24" i="11"/>
  <c r="AH24" i="11"/>
  <c r="AI24" i="11"/>
  <c r="AJ24" i="11"/>
  <c r="AD25" i="11"/>
  <c r="AE25" i="11"/>
  <c r="AF25" i="11"/>
  <c r="AG25" i="11"/>
  <c r="AH25" i="11"/>
  <c r="AI25" i="11"/>
  <c r="AJ25" i="11"/>
  <c r="AD26" i="11"/>
  <c r="AE26" i="11"/>
  <c r="AF26" i="11"/>
  <c r="AG26" i="11"/>
  <c r="AH26" i="11"/>
  <c r="AI26" i="11"/>
  <c r="AJ26" i="11"/>
  <c r="AD27" i="11"/>
  <c r="AE27" i="11"/>
  <c r="AF27" i="11"/>
  <c r="AG27" i="11"/>
  <c r="AH27" i="11"/>
  <c r="AI27" i="11"/>
  <c r="AJ27" i="11"/>
  <c r="AD28" i="11"/>
  <c r="AE28" i="11"/>
  <c r="AF28" i="11"/>
  <c r="AG28" i="11"/>
  <c r="AH28" i="11"/>
  <c r="AI28" i="11"/>
  <c r="AJ28" i="11"/>
  <c r="AD29" i="11"/>
  <c r="AE29" i="11"/>
  <c r="AF29" i="11"/>
  <c r="AG29" i="11"/>
  <c r="AH29" i="11"/>
  <c r="AI29" i="11"/>
  <c r="AJ29" i="11"/>
  <c r="AD30" i="11"/>
  <c r="AE30" i="11"/>
  <c r="AF30" i="11"/>
  <c r="AG30" i="11"/>
  <c r="AH30" i="11"/>
  <c r="AI30" i="11"/>
  <c r="AJ30" i="11"/>
  <c r="AD31" i="11"/>
  <c r="AE31" i="11"/>
  <c r="AF31" i="11"/>
  <c r="AG31" i="11"/>
  <c r="AH31" i="11"/>
  <c r="AI31" i="11"/>
  <c r="AJ31" i="11"/>
  <c r="AD32" i="11"/>
  <c r="AE32" i="11"/>
  <c r="AF32" i="11"/>
  <c r="AG32" i="11"/>
  <c r="AH32" i="11"/>
  <c r="AI32" i="11"/>
  <c r="AJ32" i="11"/>
  <c r="AD33" i="11"/>
  <c r="AE33" i="11"/>
  <c r="AF33" i="11"/>
  <c r="AG33" i="11"/>
  <c r="AH33" i="11"/>
  <c r="AI33" i="11"/>
  <c r="AJ33" i="11"/>
  <c r="AD34" i="11"/>
  <c r="AE34" i="11"/>
  <c r="AF34" i="11"/>
  <c r="AG34" i="11"/>
  <c r="AH34" i="11"/>
  <c r="AI34" i="11"/>
  <c r="AJ34" i="11"/>
  <c r="AD35" i="11"/>
  <c r="AE35" i="11"/>
  <c r="AF35" i="11"/>
  <c r="AG35" i="11"/>
  <c r="AH35" i="11"/>
  <c r="AI35" i="11"/>
  <c r="AJ35" i="11"/>
  <c r="AD36" i="11"/>
  <c r="AE36" i="11"/>
  <c r="AF36" i="11"/>
  <c r="AG36" i="11"/>
  <c r="AH36" i="11"/>
  <c r="AI36" i="11"/>
  <c r="AJ36" i="11"/>
  <c r="AD37" i="11"/>
  <c r="AE37" i="11"/>
  <c r="AF37" i="11"/>
  <c r="AG37" i="11"/>
  <c r="AH37" i="11"/>
  <c r="AI37" i="11"/>
  <c r="AJ37" i="11"/>
  <c r="AD38" i="11"/>
  <c r="AE38" i="11"/>
  <c r="AF38" i="11"/>
  <c r="AG38" i="11"/>
  <c r="AH38" i="11"/>
  <c r="AI38" i="11"/>
  <c r="AJ38" i="11"/>
  <c r="AD39" i="11"/>
  <c r="AE39" i="11"/>
  <c r="AF39" i="11"/>
  <c r="AG39" i="11"/>
  <c r="AH39" i="11"/>
  <c r="AI39" i="11"/>
  <c r="AJ39" i="11"/>
  <c r="AD40" i="11"/>
  <c r="AE40" i="11"/>
  <c r="AF40" i="11"/>
  <c r="AG40" i="11"/>
  <c r="AH40" i="11"/>
  <c r="AI40" i="11"/>
  <c r="AJ40" i="11"/>
  <c r="AD41" i="11"/>
  <c r="AE41" i="11"/>
  <c r="AF41" i="11"/>
  <c r="AG41" i="11"/>
  <c r="AH41" i="11"/>
  <c r="AI41" i="11"/>
  <c r="AJ41" i="11"/>
  <c r="AD42" i="11"/>
  <c r="AE42" i="11"/>
  <c r="AF42" i="11"/>
  <c r="AG42" i="11"/>
  <c r="AH42" i="11"/>
  <c r="AI42" i="11"/>
  <c r="AJ42" i="11"/>
  <c r="AD43" i="11"/>
  <c r="AE43" i="11"/>
  <c r="AF43" i="11"/>
  <c r="AG43" i="11"/>
  <c r="AH43" i="11"/>
  <c r="AI43" i="11"/>
  <c r="AJ43" i="11"/>
  <c r="AD44" i="11"/>
  <c r="AE44" i="11"/>
  <c r="AF44" i="11"/>
  <c r="AG44" i="11"/>
  <c r="AH44" i="11"/>
  <c r="AI44" i="11"/>
  <c r="AJ44" i="11"/>
  <c r="AD45" i="11"/>
  <c r="AE45" i="11"/>
  <c r="AF45" i="11"/>
  <c r="AG45" i="11"/>
  <c r="AH45" i="11"/>
  <c r="AI45" i="11"/>
  <c r="AJ45" i="11"/>
  <c r="AD46" i="11"/>
  <c r="AE46" i="11"/>
  <c r="AF46" i="11"/>
  <c r="AG46" i="11"/>
  <c r="AH46" i="11"/>
  <c r="AI46" i="11"/>
  <c r="AJ46" i="11"/>
  <c r="AD47" i="11"/>
  <c r="AE47" i="11"/>
  <c r="AF47" i="11"/>
  <c r="AG47" i="11"/>
  <c r="AH47" i="11"/>
  <c r="AI47" i="11"/>
  <c r="AJ47" i="11"/>
  <c r="AD48" i="11"/>
  <c r="AE48" i="11"/>
  <c r="AF48" i="11"/>
  <c r="AG48" i="11"/>
  <c r="AH48" i="11"/>
  <c r="AI48" i="11"/>
  <c r="AJ48" i="11"/>
  <c r="AD49" i="11"/>
  <c r="AE49" i="11"/>
  <c r="AF49" i="11"/>
  <c r="AG49" i="11"/>
  <c r="AH49" i="11"/>
  <c r="AI49" i="11"/>
  <c r="AJ49" i="11"/>
  <c r="AD50" i="11"/>
  <c r="AE50" i="11"/>
  <c r="AF50" i="11"/>
  <c r="AG50" i="11"/>
  <c r="AH50" i="11"/>
  <c r="AI50" i="11"/>
  <c r="AJ50" i="11"/>
  <c r="AD51" i="11"/>
  <c r="AE51" i="11"/>
  <c r="AF51" i="11"/>
  <c r="AG51" i="11"/>
  <c r="AH51" i="11"/>
  <c r="AI51" i="11"/>
  <c r="AJ51" i="11"/>
  <c r="AD52" i="11"/>
  <c r="AE52" i="11"/>
  <c r="AF52" i="11"/>
  <c r="AG52" i="11"/>
  <c r="AH52" i="11"/>
  <c r="AI52" i="11"/>
  <c r="AJ52" i="11"/>
  <c r="AD53" i="11"/>
  <c r="AE53" i="11"/>
  <c r="AF53" i="11"/>
  <c r="AG53" i="11"/>
  <c r="AH53" i="11"/>
  <c r="AI53" i="11"/>
  <c r="AJ53" i="11"/>
  <c r="AD54" i="11"/>
  <c r="AE54" i="11"/>
  <c r="AF54" i="11"/>
  <c r="AG54" i="11"/>
  <c r="AH54" i="11"/>
  <c r="AI54" i="11"/>
  <c r="AJ54" i="11"/>
  <c r="AD55" i="11"/>
  <c r="AE55" i="11"/>
  <c r="AF55" i="11"/>
  <c r="AG55" i="11"/>
  <c r="AH55" i="11"/>
  <c r="AI55" i="11"/>
  <c r="AJ55" i="11"/>
  <c r="AD56" i="11"/>
  <c r="AE56" i="11"/>
  <c r="AF56" i="11"/>
  <c r="AG56" i="11"/>
  <c r="AH56" i="11"/>
  <c r="AI56" i="11"/>
  <c r="AJ56" i="11"/>
  <c r="AD57" i="11"/>
  <c r="AE57" i="11"/>
  <c r="AF57" i="11"/>
  <c r="AG57" i="11"/>
  <c r="AH57" i="11"/>
  <c r="AI57" i="11"/>
  <c r="AJ57" i="11"/>
  <c r="AD58" i="11"/>
  <c r="AE58" i="11"/>
  <c r="AF58" i="11"/>
  <c r="AG58" i="11"/>
  <c r="AH58" i="11"/>
  <c r="AI58" i="11"/>
  <c r="AJ58" i="11"/>
  <c r="AD59" i="11"/>
  <c r="AE59" i="11"/>
  <c r="AF59" i="11"/>
  <c r="AG59" i="11"/>
  <c r="AH59" i="11"/>
  <c r="AI59" i="11"/>
  <c r="AJ59" i="11"/>
  <c r="AD60" i="11"/>
  <c r="AE60" i="11"/>
  <c r="AF60" i="11"/>
  <c r="AG60" i="11"/>
  <c r="AH60" i="11"/>
  <c r="AI60" i="11"/>
  <c r="AJ60" i="11"/>
  <c r="AD61" i="11"/>
  <c r="AE61" i="11"/>
  <c r="AF61" i="11"/>
  <c r="AG61" i="11"/>
  <c r="AH61" i="11"/>
  <c r="AI61" i="11"/>
  <c r="AJ61" i="11"/>
  <c r="AD62" i="11"/>
  <c r="AE62" i="11"/>
  <c r="AF62" i="11"/>
  <c r="AG62" i="11"/>
  <c r="AH62" i="11"/>
  <c r="AI62" i="11"/>
  <c r="AJ62" i="11"/>
  <c r="AD63" i="11"/>
  <c r="AE63" i="11"/>
  <c r="AF63" i="11"/>
  <c r="AG63" i="11"/>
  <c r="AH63" i="11"/>
  <c r="AI63" i="11"/>
  <c r="AJ63" i="11"/>
  <c r="AD64" i="11"/>
  <c r="AE64" i="11"/>
  <c r="AF64" i="11"/>
  <c r="AG64" i="11"/>
  <c r="AH64" i="11"/>
  <c r="AI64" i="11"/>
  <c r="AJ64" i="11"/>
  <c r="AD65" i="11"/>
  <c r="AE65" i="11"/>
  <c r="AF65" i="11"/>
  <c r="AG65" i="11"/>
  <c r="AH65" i="11"/>
  <c r="AI65" i="11"/>
  <c r="AJ65" i="11"/>
  <c r="AD66" i="11"/>
  <c r="AE66" i="11"/>
  <c r="AF66" i="11"/>
  <c r="AG66" i="11"/>
  <c r="AH66" i="11"/>
  <c r="AI66" i="11"/>
  <c r="AJ66" i="11"/>
  <c r="AD67" i="11"/>
  <c r="AE67" i="11"/>
  <c r="AF67" i="11"/>
  <c r="AG67" i="11"/>
  <c r="AH67" i="11"/>
  <c r="AI67" i="11"/>
  <c r="AJ67" i="11"/>
  <c r="AD68" i="11"/>
  <c r="AE68" i="11"/>
  <c r="AF68" i="11"/>
  <c r="AG68" i="11"/>
  <c r="AH68" i="11"/>
  <c r="AI68" i="11"/>
  <c r="AJ68" i="11"/>
  <c r="AD69" i="11"/>
  <c r="AE69" i="11"/>
  <c r="AF69" i="11"/>
  <c r="AG69" i="11"/>
  <c r="AH69" i="11"/>
  <c r="AI69" i="11"/>
  <c r="AJ69" i="11"/>
  <c r="AD70" i="11"/>
  <c r="AE70" i="11"/>
  <c r="AF70" i="11"/>
  <c r="AG70" i="11"/>
  <c r="AH70" i="11"/>
  <c r="AI70" i="11"/>
  <c r="AJ70" i="11"/>
  <c r="AD71" i="11"/>
  <c r="AE71" i="11"/>
  <c r="AF71" i="11"/>
  <c r="AG71" i="11"/>
  <c r="AH71" i="11"/>
  <c r="AI71" i="11"/>
  <c r="AJ71" i="11"/>
  <c r="AD72" i="11"/>
  <c r="AE72" i="11"/>
  <c r="AF72" i="11"/>
  <c r="AG72" i="11"/>
  <c r="AH72" i="11"/>
  <c r="AI72" i="11"/>
  <c r="AJ72" i="11"/>
  <c r="AD73" i="11"/>
  <c r="AE73" i="11"/>
  <c r="AF73" i="11"/>
  <c r="AG73" i="11"/>
  <c r="AH73" i="11"/>
  <c r="AI73" i="11"/>
  <c r="AJ73" i="11"/>
  <c r="AD74" i="11"/>
  <c r="AE74" i="11"/>
  <c r="AF74" i="11"/>
  <c r="AG74" i="11"/>
  <c r="AH74" i="11"/>
  <c r="AI74" i="11"/>
  <c r="AJ74" i="11"/>
  <c r="AD75" i="11"/>
  <c r="AE75" i="11"/>
  <c r="AF75" i="11"/>
  <c r="AG75" i="11"/>
  <c r="AH75" i="11"/>
  <c r="AI75" i="11"/>
  <c r="AJ75" i="11"/>
  <c r="AD76" i="11"/>
  <c r="AE76" i="11"/>
  <c r="AF76" i="11"/>
  <c r="AG76" i="11"/>
  <c r="AH76" i="11"/>
  <c r="AI76" i="11"/>
  <c r="AJ76" i="11"/>
  <c r="AD77" i="11"/>
  <c r="AE77" i="11"/>
  <c r="AF77" i="11"/>
  <c r="AG77" i="11"/>
  <c r="AH77" i="11"/>
  <c r="AI77" i="11"/>
  <c r="AJ77" i="11"/>
  <c r="AD78" i="11"/>
  <c r="AE78" i="11"/>
  <c r="AF78" i="11"/>
  <c r="AG78" i="11"/>
  <c r="AH78" i="11"/>
  <c r="AI78" i="11"/>
  <c r="AJ78" i="11"/>
  <c r="AD79" i="11"/>
  <c r="AE79" i="11"/>
  <c r="AF79" i="11"/>
  <c r="AG79" i="11"/>
  <c r="AH79" i="11"/>
  <c r="AI79" i="11"/>
  <c r="AJ79" i="11"/>
  <c r="AD80" i="11"/>
  <c r="AE80" i="11"/>
  <c r="AF80" i="11"/>
  <c r="AG80" i="11"/>
  <c r="AH80" i="11"/>
  <c r="AI80" i="11"/>
  <c r="AJ80" i="11"/>
  <c r="AD81" i="11"/>
  <c r="AE81" i="11"/>
  <c r="AF81" i="11"/>
  <c r="AG81" i="11"/>
  <c r="AH81" i="11"/>
  <c r="AI81" i="11"/>
  <c r="AJ81" i="11"/>
  <c r="AD82" i="11"/>
  <c r="AE82" i="11"/>
  <c r="AF82" i="11"/>
  <c r="AG82" i="11"/>
  <c r="AH82" i="11"/>
  <c r="AI82" i="11"/>
  <c r="AJ82" i="11"/>
  <c r="AD83" i="11"/>
  <c r="AE83" i="11"/>
  <c r="AF83" i="11"/>
  <c r="AG83" i="11"/>
  <c r="AH83" i="11"/>
  <c r="AI83" i="11"/>
  <c r="AJ83" i="11"/>
  <c r="AD84" i="11"/>
  <c r="AE84" i="11"/>
  <c r="AF84" i="11"/>
  <c r="AG84" i="11"/>
  <c r="AH84" i="11"/>
  <c r="AI84" i="11"/>
  <c r="AJ84" i="11"/>
  <c r="AD85" i="11"/>
  <c r="AE85" i="11"/>
  <c r="AF85" i="11"/>
  <c r="AG85" i="11"/>
  <c r="AH85" i="11"/>
  <c r="AI85" i="11"/>
  <c r="AJ85" i="11"/>
  <c r="AD86" i="11"/>
  <c r="AE86" i="11"/>
  <c r="AF86" i="11"/>
  <c r="AG86" i="11"/>
  <c r="AH86" i="11"/>
  <c r="AI86" i="11"/>
  <c r="AJ86" i="11"/>
  <c r="AD87" i="11"/>
  <c r="AE87" i="11"/>
  <c r="AF87" i="11"/>
  <c r="AG87" i="11"/>
  <c r="AH87" i="11"/>
  <c r="AI87" i="11"/>
  <c r="AJ87" i="11"/>
  <c r="AD88" i="11"/>
  <c r="AE88" i="11"/>
  <c r="AF88" i="11"/>
  <c r="AG88" i="11"/>
  <c r="AH88" i="11"/>
  <c r="AI88" i="11"/>
  <c r="AJ88" i="11"/>
  <c r="AD89" i="11"/>
  <c r="AE89" i="11"/>
  <c r="AF89" i="11"/>
  <c r="AG89" i="11"/>
  <c r="AH89" i="11"/>
  <c r="AI89" i="11"/>
  <c r="AJ89" i="11"/>
  <c r="AD90" i="11"/>
  <c r="AE90" i="11"/>
  <c r="AF90" i="11"/>
  <c r="AG90" i="11"/>
  <c r="AH90" i="11"/>
  <c r="AI90" i="11"/>
  <c r="AJ90" i="11"/>
  <c r="AD91" i="11"/>
  <c r="AE91" i="11"/>
  <c r="AF91" i="11"/>
  <c r="AG91" i="11"/>
  <c r="AH91" i="11"/>
  <c r="AI91" i="11"/>
  <c r="AJ91" i="11"/>
  <c r="AD92" i="11"/>
  <c r="AE92" i="11"/>
  <c r="AF92" i="11"/>
  <c r="AG92" i="11"/>
  <c r="AH92" i="11"/>
  <c r="AI92" i="11"/>
  <c r="AJ92" i="11"/>
  <c r="AD93" i="11"/>
  <c r="AE93" i="11"/>
  <c r="AF93" i="11"/>
  <c r="AG93" i="11"/>
  <c r="AH93" i="11"/>
  <c r="AI93" i="11"/>
  <c r="AJ93" i="11"/>
  <c r="AD94" i="11"/>
  <c r="AE94" i="11"/>
  <c r="AF94" i="11"/>
  <c r="AG94" i="11"/>
  <c r="AH94" i="11"/>
  <c r="AI94" i="11"/>
  <c r="AJ94" i="11"/>
  <c r="AD95" i="11"/>
  <c r="AE95" i="11"/>
  <c r="AF95" i="11"/>
  <c r="AG95" i="11"/>
  <c r="AH95" i="11"/>
  <c r="AI95" i="11"/>
  <c r="AJ95" i="11"/>
  <c r="AD96" i="11"/>
  <c r="AE96" i="11"/>
  <c r="AF96" i="11"/>
  <c r="AG96" i="11"/>
  <c r="AH96" i="11"/>
  <c r="AI96" i="11"/>
  <c r="AJ96" i="11"/>
  <c r="AD97" i="11"/>
  <c r="AE97" i="11"/>
  <c r="AF97" i="11"/>
  <c r="AG97" i="11"/>
  <c r="AH97" i="11"/>
  <c r="AI97" i="11"/>
  <c r="AJ97" i="11"/>
  <c r="AD98" i="11"/>
  <c r="AE98" i="11"/>
  <c r="AF98" i="11"/>
  <c r="AG98" i="11"/>
  <c r="AH98" i="11"/>
  <c r="AI98" i="11"/>
  <c r="AJ98" i="11"/>
  <c r="AD99" i="11"/>
  <c r="AE99" i="11"/>
  <c r="AF99" i="11"/>
  <c r="AG99" i="11"/>
  <c r="AH99" i="11"/>
  <c r="AI99" i="11"/>
  <c r="AJ99" i="11"/>
  <c r="AD100" i="11"/>
  <c r="AE100" i="11"/>
  <c r="AF100" i="11"/>
  <c r="AG100" i="11"/>
  <c r="AH100" i="11"/>
  <c r="AI100" i="11"/>
  <c r="AJ100" i="11"/>
  <c r="AD101" i="11"/>
  <c r="AE101" i="11"/>
  <c r="AF101" i="11"/>
  <c r="AG101" i="11"/>
  <c r="AH101" i="11"/>
  <c r="AI101" i="11"/>
  <c r="AJ101" i="11"/>
  <c r="AD102" i="11"/>
  <c r="AE102" i="11"/>
  <c r="AF102" i="11"/>
  <c r="AG102" i="11"/>
  <c r="AH102" i="11"/>
  <c r="AI102" i="11"/>
  <c r="AJ102" i="11"/>
  <c r="AD103" i="11"/>
  <c r="AE103" i="11"/>
  <c r="AF103" i="11"/>
  <c r="AG103" i="11"/>
  <c r="AH103" i="11"/>
  <c r="AI103" i="11"/>
  <c r="AJ103" i="11"/>
  <c r="AD104" i="11"/>
  <c r="AE104" i="11"/>
  <c r="AF104" i="11"/>
  <c r="AG104" i="11"/>
  <c r="AH104" i="11"/>
  <c r="AI104" i="11"/>
  <c r="AJ104" i="11"/>
  <c r="AD105" i="11"/>
  <c r="AE105" i="11"/>
  <c r="AF105" i="11"/>
  <c r="AG105" i="11"/>
  <c r="AH105" i="11"/>
  <c r="AI105" i="11"/>
  <c r="AJ105" i="11"/>
  <c r="AD106" i="11"/>
  <c r="AE106" i="11"/>
  <c r="AF106" i="11"/>
  <c r="AG106" i="11"/>
  <c r="AH106" i="11"/>
  <c r="AI106" i="11"/>
  <c r="AJ106" i="11"/>
  <c r="AD107" i="11"/>
  <c r="AE107" i="11"/>
  <c r="AF107" i="11"/>
  <c r="AG107" i="11"/>
  <c r="AH107" i="11"/>
  <c r="AI107" i="11"/>
  <c r="AJ107" i="11"/>
  <c r="AD108" i="11"/>
  <c r="AE108" i="11"/>
  <c r="AF108" i="11"/>
  <c r="AG108" i="11"/>
  <c r="AH108" i="11"/>
  <c r="AI108" i="11"/>
  <c r="AJ108" i="11"/>
  <c r="AD109" i="11"/>
  <c r="AE109" i="11"/>
  <c r="AF109" i="11"/>
  <c r="AG109" i="11"/>
  <c r="AH109" i="11"/>
  <c r="AI109" i="11"/>
  <c r="AJ109" i="11"/>
  <c r="AD110" i="11"/>
  <c r="AE110" i="11"/>
  <c r="AF110" i="11"/>
  <c r="AG110" i="11"/>
  <c r="AH110" i="11"/>
  <c r="AI110" i="11"/>
  <c r="AJ110" i="11"/>
  <c r="AD111" i="11"/>
  <c r="AE111" i="11"/>
  <c r="AF111" i="11"/>
  <c r="AG111" i="11"/>
  <c r="AH111" i="11"/>
  <c r="AI111" i="11"/>
  <c r="AJ111" i="11"/>
  <c r="AD112" i="11"/>
  <c r="AE112" i="11"/>
  <c r="AF112" i="11"/>
  <c r="AG112" i="11"/>
  <c r="AH112" i="11"/>
  <c r="AI112" i="11"/>
  <c r="AJ112" i="11"/>
  <c r="AD113" i="11"/>
  <c r="AE113" i="11"/>
  <c r="AF113" i="11"/>
  <c r="AG113" i="11"/>
  <c r="AH113" i="11"/>
  <c r="AI113" i="11"/>
  <c r="AJ113" i="11"/>
  <c r="AD114" i="11"/>
  <c r="AE114" i="11"/>
  <c r="AF114" i="11"/>
  <c r="AG114" i="11"/>
  <c r="AH114" i="11"/>
  <c r="AI114" i="11"/>
  <c r="AJ114" i="11"/>
  <c r="AD115" i="11"/>
  <c r="AE115" i="11"/>
  <c r="AF115" i="11"/>
  <c r="AG115" i="11"/>
  <c r="AH115" i="11"/>
  <c r="AI115" i="11"/>
  <c r="AJ115" i="11"/>
  <c r="AD116" i="11"/>
  <c r="AE116" i="11"/>
  <c r="AF116" i="11"/>
  <c r="AG116" i="11"/>
  <c r="AH116" i="11"/>
  <c r="AI116" i="11"/>
  <c r="AJ116" i="11"/>
  <c r="AD117" i="11"/>
  <c r="AE117" i="11"/>
  <c r="AF117" i="11"/>
  <c r="AG117" i="11"/>
  <c r="AH117" i="11"/>
  <c r="AI117" i="11"/>
  <c r="AJ117" i="11"/>
  <c r="AD118" i="11"/>
  <c r="AE118" i="11"/>
  <c r="AF118" i="11"/>
  <c r="AG118" i="11"/>
  <c r="AH118" i="11"/>
  <c r="AI118" i="11"/>
  <c r="AJ118" i="11"/>
  <c r="AD119" i="11"/>
  <c r="AE119" i="11"/>
  <c r="AF119" i="11"/>
  <c r="AG119" i="11"/>
  <c r="AH119" i="11"/>
  <c r="AI119" i="11"/>
  <c r="AJ119" i="11"/>
  <c r="AD120" i="11"/>
  <c r="AE120" i="11"/>
  <c r="AF120" i="11"/>
  <c r="AG120" i="11"/>
  <c r="AH120" i="11"/>
  <c r="AI120" i="11"/>
  <c r="AJ120" i="11"/>
  <c r="AD121" i="11"/>
  <c r="AE121" i="11"/>
  <c r="AF121" i="11"/>
  <c r="AG121" i="11"/>
  <c r="AH121" i="11"/>
  <c r="AI121" i="11"/>
  <c r="AJ121" i="11"/>
  <c r="AD122" i="11"/>
  <c r="AE122" i="11"/>
  <c r="AF122" i="11"/>
  <c r="AG122" i="11"/>
  <c r="AH122" i="11"/>
  <c r="AI122" i="11"/>
  <c r="AJ122" i="11"/>
  <c r="AD123" i="11"/>
  <c r="AE123" i="11"/>
  <c r="AF123" i="11"/>
  <c r="AG123" i="11"/>
  <c r="AH123" i="11"/>
  <c r="AI123" i="11"/>
  <c r="AJ123" i="11"/>
  <c r="AD124" i="11"/>
  <c r="AE124" i="11"/>
  <c r="AF124" i="11"/>
  <c r="AG124" i="11"/>
  <c r="AH124" i="11"/>
  <c r="AI124" i="11"/>
  <c r="AJ124" i="11"/>
  <c r="AD125" i="11"/>
  <c r="AE125" i="11"/>
  <c r="AF125" i="11"/>
  <c r="AG125" i="11"/>
  <c r="AH125" i="11"/>
  <c r="AI125" i="11"/>
  <c r="AJ125" i="11"/>
  <c r="AD126" i="11"/>
  <c r="AE126" i="11"/>
  <c r="AF126" i="11"/>
  <c r="AG126" i="11"/>
  <c r="AH126" i="11"/>
  <c r="AI126" i="11"/>
  <c r="AJ126" i="11"/>
  <c r="AD127" i="11"/>
  <c r="AE127" i="11"/>
  <c r="AF127" i="11"/>
  <c r="AG127" i="11"/>
  <c r="AH127" i="11"/>
  <c r="AI127" i="11"/>
  <c r="AJ127" i="11"/>
  <c r="AD128" i="11"/>
  <c r="AE128" i="11"/>
  <c r="AF128" i="11"/>
  <c r="AG128" i="11"/>
  <c r="AH128" i="11"/>
  <c r="AI128" i="11"/>
  <c r="AJ128" i="11"/>
  <c r="AD129" i="11"/>
  <c r="AE129" i="11"/>
  <c r="AF129" i="11"/>
  <c r="AG129" i="11"/>
  <c r="AH129" i="11"/>
  <c r="AI129" i="11"/>
  <c r="AJ129" i="11"/>
  <c r="AD130" i="11"/>
  <c r="AE130" i="11"/>
  <c r="AF130" i="11"/>
  <c r="AG130" i="11"/>
  <c r="AH130" i="11"/>
  <c r="AI130" i="11"/>
  <c r="AJ130" i="11"/>
  <c r="AD131" i="11"/>
  <c r="AE131" i="11"/>
  <c r="AF131" i="11"/>
  <c r="AG131" i="11"/>
  <c r="AH131" i="11"/>
  <c r="AI131" i="11"/>
  <c r="AJ131" i="11"/>
  <c r="AD132" i="11"/>
  <c r="AE132" i="11"/>
  <c r="AF132" i="11"/>
  <c r="AG132" i="11"/>
  <c r="AH132" i="11"/>
  <c r="AI132" i="11"/>
  <c r="AJ132" i="11"/>
  <c r="AD133" i="11"/>
  <c r="AE133" i="11"/>
  <c r="AF133" i="11"/>
  <c r="AG133" i="11"/>
  <c r="AH133" i="11"/>
  <c r="AI133" i="11"/>
  <c r="AJ133" i="11"/>
  <c r="AD134" i="11"/>
  <c r="AE134" i="11"/>
  <c r="AF134" i="11"/>
  <c r="AG134" i="11"/>
  <c r="AH134" i="11"/>
  <c r="AI134" i="11"/>
  <c r="AJ134" i="11"/>
  <c r="AD135" i="11"/>
  <c r="AE135" i="11"/>
  <c r="AF135" i="11"/>
  <c r="AG135" i="11"/>
  <c r="AH135" i="11"/>
  <c r="AI135" i="11"/>
  <c r="AJ135" i="11"/>
  <c r="AD136" i="11"/>
  <c r="AE136" i="11"/>
  <c r="AF136" i="11"/>
  <c r="AG136" i="11"/>
  <c r="AH136" i="11"/>
  <c r="AI136" i="11"/>
  <c r="AJ136" i="11"/>
  <c r="AD137" i="11"/>
  <c r="AE137" i="11"/>
  <c r="AF137" i="11"/>
  <c r="AG137" i="11"/>
  <c r="AH137" i="11"/>
  <c r="AI137" i="11"/>
  <c r="AJ137" i="11"/>
  <c r="AD138" i="11"/>
  <c r="AE138" i="11"/>
  <c r="AF138" i="11"/>
  <c r="AG138" i="11"/>
  <c r="AH138" i="11"/>
  <c r="AI138" i="11"/>
  <c r="AJ138" i="11"/>
  <c r="AD139" i="11"/>
  <c r="AE139" i="11"/>
  <c r="AF139" i="11"/>
  <c r="AG139" i="11"/>
  <c r="AH139" i="11"/>
  <c r="AI139" i="11"/>
  <c r="AJ139" i="11"/>
  <c r="AD140" i="11"/>
  <c r="AE140" i="11"/>
  <c r="AF140" i="11"/>
  <c r="AG140" i="11"/>
  <c r="AH140" i="11"/>
  <c r="AI140" i="11"/>
  <c r="AJ140" i="11"/>
  <c r="AD141" i="11"/>
  <c r="AE141" i="11"/>
  <c r="AF141" i="11"/>
  <c r="AG141" i="11"/>
  <c r="AH141" i="11"/>
  <c r="AI141" i="11"/>
  <c r="AJ141" i="11"/>
  <c r="AD142" i="11"/>
  <c r="AE142" i="11"/>
  <c r="AF142" i="11"/>
  <c r="AG142" i="11"/>
  <c r="AH142" i="11"/>
  <c r="AI142" i="11"/>
  <c r="AJ142" i="11"/>
  <c r="AD143" i="11"/>
  <c r="AE143" i="11"/>
  <c r="AF143" i="11"/>
  <c r="AG143" i="11"/>
  <c r="AH143" i="11"/>
  <c r="AI143" i="11"/>
  <c r="AJ143" i="11"/>
  <c r="AD144" i="11"/>
  <c r="AE144" i="11"/>
  <c r="AF144" i="11"/>
  <c r="AG144" i="11"/>
  <c r="AH144" i="11"/>
  <c r="AI144" i="11"/>
  <c r="AJ144" i="11"/>
  <c r="AD145" i="11"/>
  <c r="AE145" i="11"/>
  <c r="AF145" i="11"/>
  <c r="AG145" i="11"/>
  <c r="AH145" i="11"/>
  <c r="AI145" i="11"/>
  <c r="AJ145" i="11"/>
  <c r="AD146" i="11"/>
  <c r="AE146" i="11"/>
  <c r="AF146" i="11"/>
  <c r="AG146" i="11"/>
  <c r="AH146" i="11"/>
  <c r="AI146" i="11"/>
  <c r="AJ146" i="11"/>
  <c r="AD147" i="11"/>
  <c r="AE147" i="11"/>
  <c r="AF147" i="11"/>
  <c r="AG147" i="11"/>
  <c r="AH147" i="11"/>
  <c r="AI147" i="11"/>
  <c r="AJ147" i="11"/>
  <c r="AD148" i="11"/>
  <c r="AE148" i="11"/>
  <c r="AF148" i="11"/>
  <c r="AG148" i="11"/>
  <c r="AH148" i="11"/>
  <c r="AI148" i="11"/>
  <c r="AJ148" i="11"/>
  <c r="AD149" i="11"/>
  <c r="AE149" i="11"/>
  <c r="AF149" i="11"/>
  <c r="AG149" i="11"/>
  <c r="AH149" i="11"/>
  <c r="AI149" i="11"/>
  <c r="AJ149" i="11"/>
  <c r="AD150" i="11"/>
  <c r="AE150" i="11"/>
  <c r="AF150" i="11"/>
  <c r="AG150" i="11"/>
  <c r="AH150" i="11"/>
  <c r="AI150" i="11"/>
  <c r="AJ150" i="11"/>
  <c r="AD151" i="11"/>
  <c r="AE151" i="11"/>
  <c r="AF151" i="11"/>
  <c r="AG151" i="11"/>
  <c r="AH151" i="11"/>
  <c r="AI151" i="11"/>
  <c r="AJ151" i="11"/>
  <c r="AD152" i="11"/>
  <c r="AE152" i="11"/>
  <c r="AF152" i="11"/>
  <c r="AG152" i="11"/>
  <c r="AH152" i="11"/>
  <c r="AI152" i="11"/>
  <c r="AJ152" i="11"/>
  <c r="AD153" i="11"/>
  <c r="AE153" i="11"/>
  <c r="AF153" i="11"/>
  <c r="AG153" i="11"/>
  <c r="AH153" i="11"/>
  <c r="AI153" i="11"/>
  <c r="AJ153" i="11"/>
  <c r="AD154" i="11"/>
  <c r="AE154" i="11"/>
  <c r="AF154" i="11"/>
  <c r="AG154" i="11"/>
  <c r="AH154" i="11"/>
  <c r="AI154" i="11"/>
  <c r="AJ154" i="11"/>
  <c r="AD155" i="11"/>
  <c r="AE155" i="11"/>
  <c r="AF155" i="11"/>
  <c r="AG155" i="11"/>
  <c r="AH155" i="11"/>
  <c r="AI155" i="11"/>
  <c r="AJ155" i="11"/>
  <c r="AD156" i="11"/>
  <c r="AE156" i="11"/>
  <c r="AF156" i="11"/>
  <c r="AG156" i="11"/>
  <c r="AH156" i="11"/>
  <c r="AI156" i="11"/>
  <c r="AJ156" i="11"/>
  <c r="AD157" i="11"/>
  <c r="AE157" i="11"/>
  <c r="AF157" i="11"/>
  <c r="AG157" i="11"/>
  <c r="AH157" i="11"/>
  <c r="AI157" i="11"/>
  <c r="AJ157" i="11"/>
  <c r="AD158" i="11"/>
  <c r="AE158" i="11"/>
  <c r="AF158" i="11"/>
  <c r="AG158" i="11"/>
  <c r="AH158" i="11"/>
  <c r="AI158" i="11"/>
  <c r="AJ158" i="11"/>
  <c r="AD159" i="11"/>
  <c r="AE159" i="11"/>
  <c r="AF159" i="11"/>
  <c r="AG159" i="11"/>
  <c r="AH159" i="11"/>
  <c r="AI159" i="11"/>
  <c r="AJ159" i="11"/>
  <c r="AD160" i="11"/>
  <c r="AE160" i="11"/>
  <c r="AF160" i="11"/>
  <c r="AG160" i="11"/>
  <c r="AH160" i="11"/>
  <c r="AI160" i="11"/>
  <c r="AJ160" i="11"/>
  <c r="AD161" i="11"/>
  <c r="AE161" i="11"/>
  <c r="AF161" i="11"/>
  <c r="AG161" i="11"/>
  <c r="AH161" i="11"/>
  <c r="AI161" i="11"/>
  <c r="AJ161" i="11"/>
  <c r="AD162" i="11"/>
  <c r="AE162" i="11"/>
  <c r="AF162" i="11"/>
  <c r="AG162" i="11"/>
  <c r="AH162" i="11"/>
  <c r="AI162" i="11"/>
  <c r="AJ162" i="11"/>
  <c r="AD163" i="11"/>
  <c r="AE163" i="11"/>
  <c r="AF163" i="11"/>
  <c r="AG163" i="11"/>
  <c r="AH163" i="11"/>
  <c r="AI163" i="11"/>
  <c r="AJ163" i="11"/>
  <c r="AD164" i="11"/>
  <c r="AE164" i="11"/>
  <c r="AF164" i="11"/>
  <c r="AG164" i="11"/>
  <c r="AH164" i="11"/>
  <c r="AI164" i="11"/>
  <c r="AJ164" i="11"/>
  <c r="AD165" i="11"/>
  <c r="AE165" i="11"/>
  <c r="AF165" i="11"/>
  <c r="AG165" i="11"/>
  <c r="AH165" i="11"/>
  <c r="AI165" i="11"/>
  <c r="AJ165" i="11"/>
  <c r="AD166" i="11"/>
  <c r="AE166" i="11"/>
  <c r="AF166" i="11"/>
  <c r="AG166" i="11"/>
  <c r="AH166" i="11"/>
  <c r="AI166" i="11"/>
  <c r="AJ166" i="11"/>
  <c r="AD167" i="11"/>
  <c r="AE167" i="11"/>
  <c r="AF167" i="11"/>
  <c r="AG167" i="11"/>
  <c r="AH167" i="11"/>
  <c r="AI167" i="11"/>
  <c r="AJ167" i="11"/>
  <c r="AD168" i="11"/>
  <c r="AE168" i="11"/>
  <c r="AF168" i="11"/>
  <c r="AG168" i="11"/>
  <c r="AH168" i="11"/>
  <c r="AI168" i="11"/>
  <c r="AJ168" i="11"/>
  <c r="AD169" i="11"/>
  <c r="AE169" i="11"/>
  <c r="AF169" i="11"/>
  <c r="AG169" i="11"/>
  <c r="AH169" i="11"/>
  <c r="AI169" i="11"/>
  <c r="AJ169" i="11"/>
  <c r="AD170" i="11"/>
  <c r="AE170" i="11"/>
  <c r="AF170" i="11"/>
  <c r="AG170" i="11"/>
  <c r="AH170" i="11"/>
  <c r="AI170" i="11"/>
  <c r="AJ170" i="11"/>
  <c r="AD171" i="11"/>
  <c r="AE171" i="11"/>
  <c r="AF171" i="11"/>
  <c r="AG171" i="11"/>
  <c r="AH171" i="11"/>
  <c r="AI171" i="11"/>
  <c r="AJ171" i="11"/>
  <c r="AD172" i="11"/>
  <c r="AE172" i="11"/>
  <c r="AF172" i="11"/>
  <c r="AG172" i="11"/>
  <c r="AH172" i="11"/>
  <c r="AI172" i="11"/>
  <c r="AJ172" i="11"/>
  <c r="AD173" i="11"/>
  <c r="AE173" i="11"/>
  <c r="AF173" i="11"/>
  <c r="AG173" i="11"/>
  <c r="AH173" i="11"/>
  <c r="AI173" i="11"/>
  <c r="AJ173" i="11"/>
  <c r="AD174" i="11"/>
  <c r="AE174" i="11"/>
  <c r="AF174" i="11"/>
  <c r="AG174" i="11"/>
  <c r="AH174" i="11"/>
  <c r="AI174" i="11"/>
  <c r="AJ174" i="11"/>
  <c r="AD175" i="11"/>
  <c r="AE175" i="11"/>
  <c r="AF175" i="11"/>
  <c r="AG175" i="11"/>
  <c r="AH175" i="11"/>
  <c r="AI175" i="11"/>
  <c r="AJ175" i="11"/>
  <c r="AD176" i="11"/>
  <c r="AE176" i="11"/>
  <c r="AF176" i="11"/>
  <c r="AG176" i="11"/>
  <c r="AH176" i="11"/>
  <c r="AI176" i="11"/>
  <c r="AJ176" i="11"/>
  <c r="AD177" i="11"/>
  <c r="AE177" i="11"/>
  <c r="AF177" i="11"/>
  <c r="AG177" i="11"/>
  <c r="AH177" i="11"/>
  <c r="AI177" i="11"/>
  <c r="AJ177" i="11"/>
  <c r="AD178" i="11"/>
  <c r="AE178" i="11"/>
  <c r="AF178" i="11"/>
  <c r="AG178" i="11"/>
  <c r="AH178" i="11"/>
  <c r="AI178" i="11"/>
  <c r="AJ178" i="11"/>
  <c r="AD179" i="11"/>
  <c r="AE179" i="11"/>
  <c r="AF179" i="11"/>
  <c r="AG179" i="11"/>
  <c r="AH179" i="11"/>
  <c r="AI179" i="11"/>
  <c r="AJ179" i="11"/>
  <c r="AD180" i="11"/>
  <c r="AE180" i="11"/>
  <c r="AF180" i="11"/>
  <c r="AG180" i="11"/>
  <c r="AH180" i="11"/>
  <c r="AI180" i="11"/>
  <c r="AJ180" i="11"/>
  <c r="AD181" i="11"/>
  <c r="AE181" i="11"/>
  <c r="AF181" i="11"/>
  <c r="AG181" i="11"/>
  <c r="AH181" i="11"/>
  <c r="AI181" i="11"/>
  <c r="AJ181" i="11"/>
  <c r="AD182" i="11"/>
  <c r="AE182" i="11"/>
  <c r="AF182" i="11"/>
  <c r="AG182" i="11"/>
  <c r="AH182" i="11"/>
  <c r="AI182" i="11"/>
  <c r="AJ182" i="11"/>
  <c r="AD183" i="11"/>
  <c r="AE183" i="11"/>
  <c r="AF183" i="11"/>
  <c r="AG183" i="11"/>
  <c r="AH183" i="11"/>
  <c r="AI183" i="11"/>
  <c r="AJ183" i="11"/>
  <c r="AD184" i="11"/>
  <c r="AE184" i="11"/>
  <c r="AF184" i="11"/>
  <c r="AG184" i="11"/>
  <c r="AH184" i="11"/>
  <c r="AI184" i="11"/>
  <c r="AJ184" i="11"/>
  <c r="AD185" i="11"/>
  <c r="AE185" i="11"/>
  <c r="AF185" i="11"/>
  <c r="AG185" i="11"/>
  <c r="AH185" i="11"/>
  <c r="AI185" i="11"/>
  <c r="AJ185" i="11"/>
  <c r="AD186" i="11"/>
  <c r="AE186" i="11"/>
  <c r="AF186" i="11"/>
  <c r="AG186" i="11"/>
  <c r="AH186" i="11"/>
  <c r="AI186" i="11"/>
  <c r="AJ186" i="11"/>
  <c r="AD187" i="11"/>
  <c r="AE187" i="11"/>
  <c r="AF187" i="11"/>
  <c r="AG187" i="11"/>
  <c r="AH187" i="11"/>
  <c r="AI187" i="11"/>
  <c r="AJ187" i="11"/>
  <c r="AD188" i="11"/>
  <c r="AE188" i="11"/>
  <c r="AF188" i="11"/>
  <c r="AG188" i="11"/>
  <c r="AH188" i="11"/>
  <c r="AI188" i="11"/>
  <c r="AJ188" i="11"/>
  <c r="AD189" i="11"/>
  <c r="AE189" i="11"/>
  <c r="AF189" i="11"/>
  <c r="AG189" i="11"/>
  <c r="AH189" i="11"/>
  <c r="AI189" i="11"/>
  <c r="AJ189" i="11"/>
  <c r="AD190" i="11"/>
  <c r="AE190" i="11"/>
  <c r="AF190" i="11"/>
  <c r="AG190" i="11"/>
  <c r="AH190" i="11"/>
  <c r="AI190" i="11"/>
  <c r="AJ190" i="11"/>
  <c r="AD191" i="11"/>
  <c r="AE191" i="11"/>
  <c r="AF191" i="11"/>
  <c r="AG191" i="11"/>
  <c r="AH191" i="11"/>
  <c r="AI191" i="11"/>
  <c r="AJ191" i="11"/>
  <c r="AD192" i="11"/>
  <c r="AE192" i="11"/>
  <c r="AF192" i="11"/>
  <c r="AG192" i="11"/>
  <c r="AH192" i="11"/>
  <c r="AI192" i="11"/>
  <c r="AJ192" i="11"/>
  <c r="AD193" i="11"/>
  <c r="AE193" i="11"/>
  <c r="AF193" i="11"/>
  <c r="AG193" i="11"/>
  <c r="AH193" i="11"/>
  <c r="AI193" i="11"/>
  <c r="AJ193" i="11"/>
  <c r="AD194" i="11"/>
  <c r="AE194" i="11"/>
  <c r="AF194" i="11"/>
  <c r="AG194" i="11"/>
  <c r="AH194" i="11"/>
  <c r="AI194" i="11"/>
  <c r="AJ194" i="11"/>
  <c r="AD195" i="11"/>
  <c r="AE195" i="11"/>
  <c r="AF195" i="11"/>
  <c r="AG195" i="11"/>
  <c r="AH195" i="11"/>
  <c r="AI195" i="11"/>
  <c r="AJ195" i="11"/>
  <c r="AD196" i="11"/>
  <c r="AE196" i="11"/>
  <c r="AF196" i="11"/>
  <c r="AG196" i="11"/>
  <c r="AH196" i="11"/>
  <c r="AI196" i="11"/>
  <c r="AJ196" i="11"/>
  <c r="AD197" i="11"/>
  <c r="AE197" i="11"/>
  <c r="AF197" i="11"/>
  <c r="AG197" i="11"/>
  <c r="AH197" i="11"/>
  <c r="AI197" i="11"/>
  <c r="AJ197" i="11"/>
  <c r="AD198" i="11"/>
  <c r="AE198" i="11"/>
  <c r="AF198" i="11"/>
  <c r="AG198" i="11"/>
  <c r="AH198" i="11"/>
  <c r="AI198" i="11"/>
  <c r="AJ198" i="11"/>
  <c r="AD199" i="11"/>
  <c r="AE199" i="11"/>
  <c r="AF199" i="11"/>
  <c r="AG199" i="11"/>
  <c r="AH199" i="11"/>
  <c r="AI199" i="11"/>
  <c r="AJ199" i="11"/>
  <c r="AD200" i="11"/>
  <c r="AE200" i="11"/>
  <c r="AF200" i="11"/>
  <c r="AG200" i="11"/>
  <c r="AH200" i="11"/>
  <c r="AI200" i="11"/>
  <c r="AJ200" i="11"/>
  <c r="AD201" i="11"/>
  <c r="AE201" i="11"/>
  <c r="AF201" i="11"/>
  <c r="AG201" i="11"/>
  <c r="AH201" i="11"/>
  <c r="AI201" i="11"/>
  <c r="AJ201" i="11"/>
  <c r="AD202" i="11"/>
  <c r="AE202" i="11"/>
  <c r="AF202" i="11"/>
  <c r="AG202" i="11"/>
  <c r="AH202" i="11"/>
  <c r="AI202" i="11"/>
  <c r="AJ202" i="11"/>
  <c r="AD203" i="11"/>
  <c r="AE203" i="11"/>
  <c r="AF203" i="11"/>
  <c r="AG203" i="11"/>
  <c r="AH203" i="11"/>
  <c r="AI203" i="11"/>
  <c r="AJ203" i="11"/>
  <c r="AD204" i="11"/>
  <c r="AE204" i="11"/>
  <c r="AF204" i="11"/>
  <c r="AG204" i="11"/>
  <c r="AH204" i="11"/>
  <c r="AI204" i="11"/>
  <c r="AJ204" i="11"/>
  <c r="AD205" i="11"/>
  <c r="AE205" i="11"/>
  <c r="AF205" i="11"/>
  <c r="AG205" i="11"/>
  <c r="AH205" i="11"/>
  <c r="AI205" i="11"/>
  <c r="AJ205" i="11"/>
  <c r="AD206" i="11"/>
  <c r="AE206" i="11"/>
  <c r="AF206" i="11"/>
  <c r="AG206" i="11"/>
  <c r="AH206" i="11"/>
  <c r="AI206" i="11"/>
  <c r="AJ206" i="11"/>
  <c r="AD207" i="11"/>
  <c r="AE207" i="11"/>
  <c r="AF207" i="11"/>
  <c r="AG207" i="11"/>
  <c r="AH207" i="11"/>
  <c r="AI207" i="11"/>
  <c r="AJ207" i="11"/>
  <c r="AD208" i="11"/>
  <c r="AE208" i="11"/>
  <c r="AF208" i="11"/>
  <c r="AG208" i="11"/>
  <c r="AH208" i="11"/>
  <c r="AI208" i="11"/>
  <c r="AJ208" i="11"/>
  <c r="AD209" i="11"/>
  <c r="AE209" i="11"/>
  <c r="AF209" i="11"/>
  <c r="AG209" i="11"/>
  <c r="AH209" i="11"/>
  <c r="AI209" i="11"/>
  <c r="AJ209" i="11"/>
  <c r="AD210" i="11"/>
  <c r="AE210" i="11"/>
  <c r="AF210" i="11"/>
  <c r="AG210" i="11"/>
  <c r="AH210" i="11"/>
  <c r="AI210" i="11"/>
  <c r="AJ210" i="11"/>
  <c r="AD211" i="11"/>
  <c r="AE211" i="11"/>
  <c r="AF211" i="11"/>
  <c r="AG211" i="11"/>
  <c r="AH211" i="11"/>
  <c r="AI211" i="11"/>
  <c r="AJ211" i="11"/>
  <c r="AD212" i="11"/>
  <c r="AE212" i="11"/>
  <c r="AF212" i="11"/>
  <c r="AG212" i="11"/>
  <c r="AH212" i="11"/>
  <c r="AI212" i="11"/>
  <c r="AJ212" i="11"/>
  <c r="AD213" i="11"/>
  <c r="AE213" i="11"/>
  <c r="AF213" i="11"/>
  <c r="AG213" i="11"/>
  <c r="AH213" i="11"/>
  <c r="AI213" i="11"/>
  <c r="AJ213" i="11"/>
  <c r="AD214" i="11"/>
  <c r="AE214" i="11"/>
  <c r="AF214" i="11"/>
  <c r="AG214" i="11"/>
  <c r="AH214" i="11"/>
  <c r="AI214" i="11"/>
  <c r="AJ214" i="11"/>
  <c r="AD215" i="11"/>
  <c r="AE215" i="11"/>
  <c r="AF215" i="11"/>
  <c r="AG215" i="11"/>
  <c r="AH215" i="11"/>
  <c r="AI215" i="11"/>
  <c r="AJ215" i="11"/>
  <c r="AD216" i="11"/>
  <c r="AE216" i="11"/>
  <c r="AF216" i="11"/>
  <c r="AG216" i="11"/>
  <c r="AH216" i="11"/>
  <c r="AI216" i="11"/>
  <c r="AJ216" i="11"/>
  <c r="AD217" i="11"/>
  <c r="AE217" i="11"/>
  <c r="AF217" i="11"/>
  <c r="AG217" i="11"/>
  <c r="AH217" i="11"/>
  <c r="AI217" i="11"/>
  <c r="AJ217" i="11"/>
  <c r="AD218" i="11"/>
  <c r="AE218" i="11"/>
  <c r="AF218" i="11"/>
  <c r="AG218" i="11"/>
  <c r="AH218" i="11"/>
  <c r="AI218" i="11"/>
  <c r="AJ218" i="11"/>
  <c r="AD219" i="11"/>
  <c r="AE219" i="11"/>
  <c r="AF219" i="11"/>
  <c r="AG219" i="11"/>
  <c r="AH219" i="11"/>
  <c r="AI219" i="11"/>
  <c r="AJ219" i="11"/>
  <c r="AD220" i="11"/>
  <c r="AE220" i="11"/>
  <c r="AF220" i="11"/>
  <c r="AG220" i="11"/>
  <c r="AH220" i="11"/>
  <c r="AI220" i="11"/>
  <c r="AJ220" i="11"/>
  <c r="AD221" i="11"/>
  <c r="AE221" i="11"/>
  <c r="AF221" i="11"/>
  <c r="AG221" i="11"/>
  <c r="AH221" i="11"/>
  <c r="AI221" i="11"/>
  <c r="AJ221" i="11"/>
  <c r="AD222" i="11"/>
  <c r="AE222" i="11"/>
  <c r="AF222" i="11"/>
  <c r="AG222" i="11"/>
  <c r="AH222" i="11"/>
  <c r="AI222" i="11"/>
  <c r="AJ222" i="11"/>
  <c r="AD223" i="11"/>
  <c r="AE223" i="11"/>
  <c r="AF223" i="11"/>
  <c r="AG223" i="11"/>
  <c r="AH223" i="11"/>
  <c r="AI223" i="11"/>
  <c r="AJ223" i="11"/>
  <c r="AD224" i="11"/>
  <c r="AE224" i="11"/>
  <c r="AF224" i="11"/>
  <c r="AG224" i="11"/>
  <c r="AH224" i="11"/>
  <c r="AI224" i="11"/>
  <c r="AJ224" i="11"/>
  <c r="AD225" i="11"/>
  <c r="AE225" i="11"/>
  <c r="AF225" i="11"/>
  <c r="AG225" i="11"/>
  <c r="AH225" i="11"/>
  <c r="AI225" i="11"/>
  <c r="AJ225" i="11"/>
  <c r="AD226" i="11"/>
  <c r="AE226" i="11"/>
  <c r="AF226" i="11"/>
  <c r="AG226" i="11"/>
  <c r="AH226" i="11"/>
  <c r="AI226" i="11"/>
  <c r="AJ226" i="11"/>
  <c r="AD227" i="11"/>
  <c r="AE227" i="11"/>
  <c r="AF227" i="11"/>
  <c r="AG227" i="11"/>
  <c r="AH227" i="11"/>
  <c r="AI227" i="11"/>
  <c r="AJ227" i="11"/>
  <c r="AD228" i="11"/>
  <c r="AE228" i="11"/>
  <c r="AF228" i="11"/>
  <c r="AG228" i="11"/>
  <c r="AH228" i="11"/>
  <c r="AI228" i="11"/>
  <c r="AJ228" i="11"/>
  <c r="AD229" i="11"/>
  <c r="AE229" i="11"/>
  <c r="AF229" i="11"/>
  <c r="AG229" i="11"/>
  <c r="AH229" i="11"/>
  <c r="AI229" i="11"/>
  <c r="AJ229" i="11"/>
  <c r="AD230" i="11"/>
  <c r="AE230" i="11"/>
  <c r="AF230" i="11"/>
  <c r="AG230" i="11"/>
  <c r="AH230" i="11"/>
  <c r="AI230" i="11"/>
  <c r="AJ230" i="11"/>
  <c r="AD231" i="11"/>
  <c r="AE231" i="11"/>
  <c r="AF231" i="11"/>
  <c r="AG231" i="11"/>
  <c r="AH231" i="11"/>
  <c r="AI231" i="11"/>
  <c r="AJ231" i="11"/>
  <c r="AD232" i="11"/>
  <c r="AE232" i="11"/>
  <c r="AF232" i="11"/>
  <c r="AG232" i="11"/>
  <c r="AH232" i="11"/>
  <c r="AI232" i="11"/>
  <c r="AJ232" i="11"/>
  <c r="AD233" i="11"/>
  <c r="AE233" i="11"/>
  <c r="AF233" i="11"/>
  <c r="AG233" i="11"/>
  <c r="AH233" i="11"/>
  <c r="AI233" i="11"/>
  <c r="AJ233" i="11"/>
  <c r="AD234" i="11"/>
  <c r="AE234" i="11"/>
  <c r="AF234" i="11"/>
  <c r="AG234" i="11"/>
  <c r="AH234" i="11"/>
  <c r="AI234" i="11"/>
  <c r="AJ234" i="11"/>
  <c r="AD235" i="11"/>
  <c r="AE235" i="11"/>
  <c r="AF235" i="11"/>
  <c r="AG235" i="11"/>
  <c r="AH235" i="11"/>
  <c r="AI235" i="11"/>
  <c r="AJ235" i="11"/>
  <c r="AD236" i="11"/>
  <c r="AE236" i="11"/>
  <c r="AF236" i="11"/>
  <c r="AG236" i="11"/>
  <c r="AH236" i="11"/>
  <c r="AI236" i="11"/>
  <c r="AJ236" i="11"/>
  <c r="AD237" i="11"/>
  <c r="AE237" i="11"/>
  <c r="AF237" i="11"/>
  <c r="AG237" i="11"/>
  <c r="AH237" i="11"/>
  <c r="AI237" i="11"/>
  <c r="AJ237" i="11"/>
  <c r="AD238" i="11"/>
  <c r="AE238" i="11"/>
  <c r="AF238" i="11"/>
  <c r="AG238" i="11"/>
  <c r="AH238" i="11"/>
  <c r="AI238" i="11"/>
  <c r="AJ238" i="11"/>
  <c r="AD239" i="11"/>
  <c r="AE239" i="11"/>
  <c r="AF239" i="11"/>
  <c r="AG239" i="11"/>
  <c r="AH239" i="11"/>
  <c r="AI239" i="11"/>
  <c r="AJ239" i="11"/>
  <c r="AD240" i="11"/>
  <c r="AE240" i="11"/>
  <c r="AF240" i="11"/>
  <c r="AG240" i="11"/>
  <c r="AH240" i="11"/>
  <c r="AI240" i="11"/>
  <c r="AJ240" i="11"/>
  <c r="AD241" i="11"/>
  <c r="AE241" i="11"/>
  <c r="AF241" i="11"/>
  <c r="AG241" i="11"/>
  <c r="AH241" i="11"/>
  <c r="AI241" i="11"/>
  <c r="AJ241" i="11"/>
  <c r="AD242" i="11"/>
  <c r="AE242" i="11"/>
  <c r="AF242" i="11"/>
  <c r="AG242" i="11"/>
  <c r="AH242" i="11"/>
  <c r="AI242" i="11"/>
  <c r="AJ242" i="11"/>
  <c r="AD243" i="11"/>
  <c r="AE243" i="11"/>
  <c r="AF243" i="11"/>
  <c r="AG243" i="11"/>
  <c r="AH243" i="11"/>
  <c r="AI243" i="11"/>
  <c r="AJ243" i="11"/>
  <c r="AD244" i="11"/>
  <c r="AE244" i="11"/>
  <c r="AF244" i="11"/>
  <c r="AG244" i="11"/>
  <c r="AH244" i="11"/>
  <c r="AI244" i="11"/>
  <c r="AJ244" i="11"/>
  <c r="AD245" i="11"/>
  <c r="AE245" i="11"/>
  <c r="AF245" i="11"/>
  <c r="AG245" i="11"/>
  <c r="AH245" i="11"/>
  <c r="AI245" i="11"/>
  <c r="AJ245" i="11"/>
  <c r="AD246" i="11"/>
  <c r="AE246" i="11"/>
  <c r="AF246" i="11"/>
  <c r="AG246" i="11"/>
  <c r="AH246" i="11"/>
  <c r="AI246" i="11"/>
  <c r="AJ246" i="11"/>
  <c r="AD247" i="11"/>
  <c r="AE247" i="11"/>
  <c r="AF247" i="11"/>
  <c r="AG247" i="11"/>
  <c r="AH247" i="11"/>
  <c r="AI247" i="11"/>
  <c r="AJ247" i="11"/>
  <c r="AD248" i="11"/>
  <c r="AE248" i="11"/>
  <c r="AF248" i="11"/>
  <c r="AG248" i="11"/>
  <c r="AH248" i="11"/>
  <c r="AI248" i="11"/>
  <c r="AJ248" i="11"/>
  <c r="AD249" i="11"/>
  <c r="AE249" i="11"/>
  <c r="AF249" i="11"/>
  <c r="AG249" i="11"/>
  <c r="AH249" i="11"/>
  <c r="AI249" i="11"/>
  <c r="AJ249" i="11"/>
  <c r="AD250" i="11"/>
  <c r="AE250" i="11"/>
  <c r="AF250" i="11"/>
  <c r="AG250" i="11"/>
  <c r="AH250" i="11"/>
  <c r="AI250" i="11"/>
  <c r="AJ250" i="11"/>
  <c r="AD251" i="11"/>
  <c r="AE251" i="11"/>
  <c r="AF251" i="11"/>
  <c r="AG251" i="11"/>
  <c r="AH251" i="11"/>
  <c r="AI251" i="11"/>
  <c r="AJ251" i="11"/>
  <c r="AD252" i="11"/>
  <c r="AE252" i="11"/>
  <c r="AF252" i="11"/>
  <c r="AG252" i="11"/>
  <c r="AH252" i="11"/>
  <c r="AI252" i="11"/>
  <c r="AJ252" i="11"/>
  <c r="AD253" i="11"/>
  <c r="AE253" i="11"/>
  <c r="AF253" i="11"/>
  <c r="AG253" i="11"/>
  <c r="AH253" i="11"/>
  <c r="AI253" i="11"/>
  <c r="AJ253" i="11"/>
  <c r="AD254" i="11"/>
  <c r="AE254" i="11"/>
  <c r="AF254" i="11"/>
  <c r="AG254" i="11"/>
  <c r="AH254" i="11"/>
  <c r="AI254" i="11"/>
  <c r="AJ254" i="11"/>
  <c r="AD255" i="11"/>
  <c r="AE255" i="11"/>
  <c r="AF255" i="11"/>
  <c r="AG255" i="11"/>
  <c r="AH255" i="11"/>
  <c r="AI255" i="11"/>
  <c r="AJ255" i="11"/>
  <c r="AD256" i="11"/>
  <c r="AE256" i="11"/>
  <c r="AF256" i="11"/>
  <c r="AG256" i="11"/>
  <c r="AH256" i="11"/>
  <c r="AI256" i="11"/>
  <c r="AJ256" i="11"/>
  <c r="AD257" i="11"/>
  <c r="AE257" i="11"/>
  <c r="AF257" i="11"/>
  <c r="AG257" i="11"/>
  <c r="AH257" i="11"/>
  <c r="AI257" i="11"/>
  <c r="AJ257" i="11"/>
  <c r="AD258" i="11"/>
  <c r="AE258" i="11"/>
  <c r="AF258" i="11"/>
  <c r="AG258" i="11"/>
  <c r="AH258" i="11"/>
  <c r="AI258" i="11"/>
  <c r="AJ258" i="11"/>
  <c r="AD259" i="11"/>
  <c r="AE259" i="11"/>
  <c r="AF259" i="11"/>
  <c r="AG259" i="11"/>
  <c r="AH259" i="11"/>
  <c r="AI259" i="11"/>
  <c r="AJ259" i="11"/>
  <c r="AD260" i="11"/>
  <c r="AE260" i="11"/>
  <c r="AF260" i="11"/>
  <c r="AG260" i="11"/>
  <c r="AH260" i="11"/>
  <c r="AI260" i="11"/>
  <c r="AJ260" i="11"/>
  <c r="AD261" i="11"/>
  <c r="AE261" i="11"/>
  <c r="AF261" i="11"/>
  <c r="AG261" i="11"/>
  <c r="AH261" i="11"/>
  <c r="AI261" i="11"/>
  <c r="AJ261" i="11"/>
  <c r="AD262" i="11"/>
  <c r="AE262" i="11"/>
  <c r="AF262" i="11"/>
  <c r="AG262" i="11"/>
  <c r="AH262" i="11"/>
  <c r="AI262" i="11"/>
  <c r="AJ262" i="11"/>
  <c r="AD263" i="11"/>
  <c r="AE263" i="11"/>
  <c r="AF263" i="11"/>
  <c r="AG263" i="11"/>
  <c r="AH263" i="11"/>
  <c r="AI263" i="11"/>
  <c r="AJ263" i="11"/>
  <c r="AD264" i="11"/>
  <c r="AE264" i="11"/>
  <c r="AF264" i="11"/>
  <c r="AG264" i="11"/>
  <c r="AH264" i="11"/>
  <c r="AI264" i="11"/>
  <c r="AJ264" i="11"/>
  <c r="AD265" i="11"/>
  <c r="AE265" i="11"/>
  <c r="AF265" i="11"/>
  <c r="AG265" i="11"/>
  <c r="AH265" i="11"/>
  <c r="AI265" i="11"/>
  <c r="AJ265" i="11"/>
  <c r="AD266" i="11"/>
  <c r="AE266" i="11"/>
  <c r="AF266" i="11"/>
  <c r="AG266" i="11"/>
  <c r="AH266" i="11"/>
  <c r="AI266" i="11"/>
  <c r="AJ266" i="11"/>
  <c r="AD267" i="11"/>
  <c r="AE267" i="11"/>
  <c r="AF267" i="11"/>
  <c r="AG267" i="11"/>
  <c r="AH267" i="11"/>
  <c r="AI267" i="11"/>
  <c r="AJ267" i="11"/>
  <c r="AD268" i="11"/>
  <c r="AE268" i="11"/>
  <c r="AF268" i="11"/>
  <c r="AG268" i="11"/>
  <c r="AH268" i="11"/>
  <c r="AI268" i="11"/>
  <c r="AJ268" i="11"/>
  <c r="AD269" i="11"/>
  <c r="AE269" i="11"/>
  <c r="AF269" i="11"/>
  <c r="AG269" i="11"/>
  <c r="AH269" i="11"/>
  <c r="AI269" i="11"/>
  <c r="AJ269" i="11"/>
  <c r="AD270" i="11"/>
  <c r="AE270" i="11"/>
  <c r="AF270" i="11"/>
  <c r="AG270" i="11"/>
  <c r="AH270" i="11"/>
  <c r="AI270" i="11"/>
  <c r="AJ270" i="11"/>
  <c r="AD271" i="11"/>
  <c r="AE271" i="11"/>
  <c r="AF271" i="11"/>
  <c r="AG271" i="11"/>
  <c r="AH271" i="11"/>
  <c r="AI271" i="11"/>
  <c r="AJ271" i="11"/>
  <c r="AD272" i="11"/>
  <c r="AE272" i="11"/>
  <c r="AF272" i="11"/>
  <c r="AG272" i="11"/>
  <c r="AH272" i="11"/>
  <c r="AI272" i="11"/>
  <c r="AJ272" i="11"/>
  <c r="AD273" i="11"/>
  <c r="AE273" i="11"/>
  <c r="AF273" i="11"/>
  <c r="AG273" i="11"/>
  <c r="AH273" i="11"/>
  <c r="AI273" i="11"/>
  <c r="AJ273" i="11"/>
  <c r="AD274" i="11"/>
  <c r="AE274" i="11"/>
  <c r="AF274" i="11"/>
  <c r="AG274" i="11"/>
  <c r="AH274" i="11"/>
  <c r="AI274" i="11"/>
  <c r="AJ274" i="11"/>
  <c r="AD275" i="11"/>
  <c r="AE275" i="11"/>
  <c r="AF275" i="11"/>
  <c r="AG275" i="11"/>
  <c r="AH275" i="11"/>
  <c r="AI275" i="11"/>
  <c r="AJ275" i="11"/>
  <c r="AD276" i="11"/>
  <c r="AE276" i="11"/>
  <c r="AF276" i="11"/>
  <c r="AG276" i="11"/>
  <c r="AH276" i="11"/>
  <c r="AI276" i="11"/>
  <c r="AJ276" i="11"/>
  <c r="AD277" i="11"/>
  <c r="AE277" i="11"/>
  <c r="AF277" i="11"/>
  <c r="AG277" i="11"/>
  <c r="AH277" i="11"/>
  <c r="AI277" i="11"/>
  <c r="AJ277" i="11"/>
  <c r="AD278" i="11"/>
  <c r="AE278" i="11"/>
  <c r="AF278" i="11"/>
  <c r="AG278" i="11"/>
  <c r="AH278" i="11"/>
  <c r="AI278" i="11"/>
  <c r="AJ278" i="11"/>
  <c r="AD279" i="11"/>
  <c r="AE279" i="11"/>
  <c r="AF279" i="11"/>
  <c r="AG279" i="11"/>
  <c r="AH279" i="11"/>
  <c r="AI279" i="11"/>
  <c r="AJ279" i="11"/>
  <c r="AD280" i="11"/>
  <c r="AE280" i="11"/>
  <c r="AF280" i="11"/>
  <c r="AG280" i="11"/>
  <c r="AH280" i="11"/>
  <c r="AI280" i="11"/>
  <c r="AJ280" i="11"/>
  <c r="AD281" i="11"/>
  <c r="AE281" i="11"/>
  <c r="AF281" i="11"/>
  <c r="AG281" i="11"/>
  <c r="AH281" i="11"/>
  <c r="AI281" i="11"/>
  <c r="AJ281" i="11"/>
  <c r="AD282" i="11"/>
  <c r="AE282" i="11"/>
  <c r="AF282" i="11"/>
  <c r="AG282" i="11"/>
  <c r="AH282" i="11"/>
  <c r="AI282" i="11"/>
  <c r="AJ282" i="11"/>
  <c r="AD283" i="11"/>
  <c r="AE283" i="11"/>
  <c r="AF283" i="11"/>
  <c r="AG283" i="11"/>
  <c r="AH283" i="11"/>
  <c r="AI283" i="11"/>
  <c r="AJ283" i="11"/>
  <c r="AD284" i="11"/>
  <c r="AE284" i="11"/>
  <c r="AF284" i="11"/>
  <c r="AG284" i="11"/>
  <c r="AH284" i="11"/>
  <c r="AI284" i="11"/>
  <c r="AJ284" i="11"/>
  <c r="AD285" i="11"/>
  <c r="AE285" i="11"/>
  <c r="AF285" i="11"/>
  <c r="AG285" i="11"/>
  <c r="AH285" i="11"/>
  <c r="AI285" i="11"/>
  <c r="AJ285" i="11"/>
  <c r="AD286" i="11"/>
  <c r="AE286" i="11"/>
  <c r="AF286" i="11"/>
  <c r="AG286" i="11"/>
  <c r="AH286" i="11"/>
  <c r="AI286" i="11"/>
  <c r="AJ286" i="11"/>
  <c r="AD287" i="11"/>
  <c r="AE287" i="11"/>
  <c r="AF287" i="11"/>
  <c r="AG287" i="11"/>
  <c r="AH287" i="11"/>
  <c r="AI287" i="11"/>
  <c r="AJ287" i="11"/>
  <c r="AD288" i="11"/>
  <c r="AE288" i="11"/>
  <c r="AF288" i="11"/>
  <c r="AG288" i="11"/>
  <c r="AH288" i="11"/>
  <c r="AI288" i="11"/>
  <c r="AJ288" i="11"/>
  <c r="AD289" i="11"/>
  <c r="AE289" i="11"/>
  <c r="AF289" i="11"/>
  <c r="AG289" i="11"/>
  <c r="AH289" i="11"/>
  <c r="AI289" i="11"/>
  <c r="AJ289" i="11"/>
  <c r="AD290" i="11"/>
  <c r="AE290" i="11"/>
  <c r="AF290" i="11"/>
  <c r="AG290" i="11"/>
  <c r="AH290" i="11"/>
  <c r="AI290" i="11"/>
  <c r="AJ290" i="11"/>
  <c r="AD291" i="11"/>
  <c r="AE291" i="11"/>
  <c r="AF291" i="11"/>
  <c r="AG291" i="11"/>
  <c r="AH291" i="11"/>
  <c r="AI291" i="11"/>
  <c r="AJ291" i="11"/>
  <c r="AD292" i="11"/>
  <c r="AE292" i="11"/>
  <c r="AF292" i="11"/>
  <c r="AG292" i="11"/>
  <c r="AH292" i="11"/>
  <c r="AI292" i="11"/>
  <c r="AJ292" i="11"/>
  <c r="AD293" i="11"/>
  <c r="AE293" i="11"/>
  <c r="AF293" i="11"/>
  <c r="AG293" i="11"/>
  <c r="AH293" i="11"/>
  <c r="AI293" i="11"/>
  <c r="AJ293" i="11"/>
  <c r="AD294" i="11"/>
  <c r="AE294" i="11"/>
  <c r="AF294" i="11"/>
  <c r="AG294" i="11"/>
  <c r="AH294" i="11"/>
  <c r="AI294" i="11"/>
  <c r="AJ294" i="11"/>
  <c r="AD295" i="11"/>
  <c r="AE295" i="11"/>
  <c r="AF295" i="11"/>
  <c r="AG295" i="11"/>
  <c r="AH295" i="11"/>
  <c r="AI295" i="11"/>
  <c r="AJ295" i="11"/>
  <c r="AD296" i="11"/>
  <c r="AE296" i="11"/>
  <c r="AF296" i="11"/>
  <c r="AG296" i="11"/>
  <c r="AH296" i="11"/>
  <c r="AI296" i="11"/>
  <c r="AJ296" i="11"/>
  <c r="AD297" i="11"/>
  <c r="AE297" i="11"/>
  <c r="AF297" i="11"/>
  <c r="AG297" i="11"/>
  <c r="AH297" i="11"/>
  <c r="AI297" i="11"/>
  <c r="AJ297" i="11"/>
  <c r="AD298" i="11"/>
  <c r="AE298" i="11"/>
  <c r="AF298" i="11"/>
  <c r="AG298" i="11"/>
  <c r="AH298" i="11"/>
  <c r="AI298" i="11"/>
  <c r="AJ298" i="11"/>
  <c r="AD299" i="11"/>
  <c r="AE299" i="11"/>
  <c r="AF299" i="11"/>
  <c r="AG299" i="11"/>
  <c r="AH299" i="11"/>
  <c r="AI299" i="11"/>
  <c r="AJ299" i="11"/>
  <c r="AD300" i="11"/>
  <c r="AE300" i="11"/>
  <c r="AF300" i="11"/>
  <c r="AG300" i="11"/>
  <c r="AH300" i="11"/>
  <c r="AI300" i="11"/>
  <c r="AJ300" i="11"/>
  <c r="AD301" i="11"/>
  <c r="AE301" i="11"/>
  <c r="AF301" i="11"/>
  <c r="AG301" i="11"/>
  <c r="AH301" i="11"/>
  <c r="AI301" i="11"/>
  <c r="AJ301" i="11"/>
  <c r="AD302" i="11"/>
  <c r="AE302" i="11"/>
  <c r="AF302" i="11"/>
  <c r="AG302" i="11"/>
  <c r="AH302" i="11"/>
  <c r="AI302" i="11"/>
  <c r="AJ302" i="11"/>
  <c r="AD303" i="11"/>
  <c r="AE303" i="11"/>
  <c r="AF303" i="11"/>
  <c r="AG303" i="11"/>
  <c r="AH303" i="11"/>
  <c r="AI303" i="11"/>
  <c r="AJ303" i="11"/>
  <c r="AD304" i="11"/>
  <c r="AE304" i="11"/>
  <c r="AF304" i="11"/>
  <c r="AG304" i="11"/>
  <c r="AH304" i="11"/>
  <c r="AI304" i="11"/>
  <c r="AJ304" i="11"/>
  <c r="AD305" i="11"/>
  <c r="AE305" i="11"/>
  <c r="AF305" i="11"/>
  <c r="AG305" i="11"/>
  <c r="AH305" i="11"/>
  <c r="AI305" i="11"/>
  <c r="AJ305" i="11"/>
  <c r="AD306" i="11"/>
  <c r="AE306" i="11"/>
  <c r="AF306" i="11"/>
  <c r="AG306" i="11"/>
  <c r="AH306" i="11"/>
  <c r="AI306" i="11"/>
  <c r="AJ306" i="11"/>
  <c r="AD307" i="11"/>
  <c r="AE307" i="11"/>
  <c r="AF307" i="11"/>
  <c r="AG307" i="11"/>
  <c r="AH307" i="11"/>
  <c r="AI307" i="11"/>
  <c r="AJ307" i="11"/>
  <c r="AD308" i="11"/>
  <c r="AE308" i="11"/>
  <c r="AF308" i="11"/>
  <c r="AG308" i="11"/>
  <c r="AH308" i="11"/>
  <c r="AI308" i="11"/>
  <c r="AJ308" i="11"/>
  <c r="AD309" i="11"/>
  <c r="AE309" i="11"/>
  <c r="AF309" i="11"/>
  <c r="AG309" i="11"/>
  <c r="AH309" i="11"/>
  <c r="AI309" i="11"/>
  <c r="AJ309" i="11"/>
  <c r="AD310" i="11"/>
  <c r="AE310" i="11"/>
  <c r="AF310" i="11"/>
  <c r="AG310" i="11"/>
  <c r="AH310" i="11"/>
  <c r="AI310" i="11"/>
  <c r="AJ310" i="11"/>
  <c r="AD311" i="11"/>
  <c r="AE311" i="11"/>
  <c r="AF311" i="11"/>
  <c r="AG311" i="11"/>
  <c r="AH311" i="11"/>
  <c r="AI311" i="11"/>
  <c r="AJ311" i="11"/>
  <c r="AD312" i="11"/>
  <c r="AE312" i="11"/>
  <c r="AF312" i="11"/>
  <c r="AG312" i="11"/>
  <c r="AH312" i="11"/>
  <c r="AI312" i="11"/>
  <c r="AJ312" i="11"/>
  <c r="AD313" i="11"/>
  <c r="AE313" i="11"/>
  <c r="AF313" i="11"/>
  <c r="AG313" i="11"/>
  <c r="AH313" i="11"/>
  <c r="AI313" i="11"/>
  <c r="AJ313" i="11"/>
  <c r="AD314" i="11"/>
  <c r="AE314" i="11"/>
  <c r="AF314" i="11"/>
  <c r="AG314" i="11"/>
  <c r="AH314" i="11"/>
  <c r="AI314" i="11"/>
  <c r="AJ314" i="11"/>
  <c r="AD315" i="11"/>
  <c r="AE315" i="11"/>
  <c r="AF315" i="11"/>
  <c r="AG315" i="11"/>
  <c r="AH315" i="11"/>
  <c r="AI315" i="11"/>
  <c r="AJ315" i="11"/>
  <c r="AD316" i="11"/>
  <c r="AE316" i="11"/>
  <c r="AF316" i="11"/>
  <c r="AG316" i="11"/>
  <c r="AH316" i="11"/>
  <c r="AI316" i="11"/>
  <c r="AJ316" i="11"/>
  <c r="AD317" i="11"/>
  <c r="AE317" i="11"/>
  <c r="AF317" i="11"/>
  <c r="AG317" i="11"/>
  <c r="AH317" i="11"/>
  <c r="AI317" i="11"/>
  <c r="AJ317" i="11"/>
  <c r="AD318" i="11"/>
  <c r="AE318" i="11"/>
  <c r="AF318" i="11"/>
  <c r="AG318" i="11"/>
  <c r="AH318" i="11"/>
  <c r="AI318" i="11"/>
  <c r="AJ318" i="11"/>
  <c r="AD319" i="11"/>
  <c r="AE319" i="11"/>
  <c r="AF319" i="11"/>
  <c r="AG319" i="11"/>
  <c r="AH319" i="11"/>
  <c r="AI319" i="11"/>
  <c r="AJ319" i="11"/>
  <c r="AD320" i="11"/>
  <c r="AE320" i="11"/>
  <c r="AF320" i="11"/>
  <c r="AG320" i="11"/>
  <c r="AH320" i="11"/>
  <c r="AI320" i="11"/>
  <c r="AJ320" i="11"/>
  <c r="AD321" i="11"/>
  <c r="AE321" i="11"/>
  <c r="AF321" i="11"/>
  <c r="AG321" i="11"/>
  <c r="AH321" i="11"/>
  <c r="AI321" i="11"/>
  <c r="AJ321" i="11"/>
  <c r="AD322" i="11"/>
  <c r="AE322" i="11"/>
  <c r="AF322" i="11"/>
  <c r="AG322" i="11"/>
  <c r="AH322" i="11"/>
  <c r="AI322" i="11"/>
  <c r="AJ322" i="11"/>
  <c r="AD323" i="11"/>
  <c r="AE323" i="11"/>
  <c r="AF323" i="11"/>
  <c r="AG323" i="11"/>
  <c r="AH323" i="11"/>
  <c r="AI323" i="11"/>
  <c r="AJ323" i="11"/>
  <c r="AD324" i="11"/>
  <c r="AE324" i="11"/>
  <c r="AF324" i="11"/>
  <c r="AG324" i="11"/>
  <c r="AH324" i="11"/>
  <c r="AI324" i="11"/>
  <c r="AJ324" i="11"/>
  <c r="AD325" i="11"/>
  <c r="AE325" i="11"/>
  <c r="AF325" i="11"/>
  <c r="AG325" i="11"/>
  <c r="AH325" i="11"/>
  <c r="AI325" i="11"/>
  <c r="AJ325" i="11"/>
  <c r="AD326" i="11"/>
  <c r="AE326" i="11"/>
  <c r="AF326" i="11"/>
  <c r="AG326" i="11"/>
  <c r="AH326" i="11"/>
  <c r="AI326" i="11"/>
  <c r="AJ326" i="11"/>
  <c r="AD327" i="11"/>
  <c r="AE327" i="11"/>
  <c r="AF327" i="11"/>
  <c r="AG327" i="11"/>
  <c r="AH327" i="11"/>
  <c r="AI327" i="11"/>
  <c r="AJ327" i="11"/>
  <c r="AD328" i="11"/>
  <c r="AE328" i="11"/>
  <c r="AF328" i="11"/>
  <c r="AG328" i="11"/>
  <c r="AH328" i="11"/>
  <c r="AI328" i="11"/>
  <c r="AJ328" i="11"/>
  <c r="AD329" i="11"/>
  <c r="AE329" i="11"/>
  <c r="AF329" i="11"/>
  <c r="AG329" i="11"/>
  <c r="AH329" i="11"/>
  <c r="AI329" i="11"/>
  <c r="AJ329" i="11"/>
  <c r="AD330" i="11"/>
  <c r="AE330" i="11"/>
  <c r="AF330" i="11"/>
  <c r="AG330" i="11"/>
  <c r="AH330" i="11"/>
  <c r="AI330" i="11"/>
  <c r="AJ330" i="11"/>
  <c r="AD331" i="11"/>
  <c r="AE331" i="11"/>
  <c r="AF331" i="11"/>
  <c r="AG331" i="11"/>
  <c r="AH331" i="11"/>
  <c r="AI331" i="11"/>
  <c r="AJ331" i="11"/>
  <c r="AD332" i="11"/>
  <c r="AE332" i="11"/>
  <c r="AF332" i="11"/>
  <c r="AG332" i="11"/>
  <c r="AH332" i="11"/>
  <c r="AI332" i="11"/>
  <c r="AJ332" i="11"/>
  <c r="AD333" i="11"/>
  <c r="AE333" i="11"/>
  <c r="AF333" i="11"/>
  <c r="AG333" i="11"/>
  <c r="AH333" i="11"/>
  <c r="AI333" i="11"/>
  <c r="AJ333" i="11"/>
  <c r="AD334" i="11"/>
  <c r="AE334" i="11"/>
  <c r="AF334" i="11"/>
  <c r="AG334" i="11"/>
  <c r="AH334" i="11"/>
  <c r="AI334" i="11"/>
  <c r="AJ334" i="11"/>
  <c r="AD335" i="11"/>
  <c r="AE335" i="11"/>
  <c r="AF335" i="11"/>
  <c r="AG335" i="11"/>
  <c r="AH335" i="11"/>
  <c r="AI335" i="11"/>
  <c r="AJ335" i="11"/>
  <c r="AD336" i="11"/>
  <c r="AE336" i="11"/>
  <c r="AF336" i="11"/>
  <c r="AG336" i="11"/>
  <c r="AH336" i="11"/>
  <c r="AI336" i="11"/>
  <c r="AJ336" i="11"/>
  <c r="AD337" i="11"/>
  <c r="AE337" i="11"/>
  <c r="AF337" i="11"/>
  <c r="AG337" i="11"/>
  <c r="AH337" i="11"/>
  <c r="AI337" i="11"/>
  <c r="AJ337" i="11"/>
  <c r="AD338" i="11"/>
  <c r="AE338" i="11"/>
  <c r="AF338" i="11"/>
  <c r="AG338" i="11"/>
  <c r="AH338" i="11"/>
  <c r="AI338" i="11"/>
  <c r="AJ338" i="11"/>
  <c r="AD339" i="11"/>
  <c r="AE339" i="11"/>
  <c r="AF339" i="11"/>
  <c r="AG339" i="11"/>
  <c r="AH339" i="11"/>
  <c r="AI339" i="11"/>
  <c r="AJ339" i="11"/>
  <c r="AD340" i="11"/>
  <c r="AE340" i="11"/>
  <c r="AF340" i="11"/>
  <c r="AG340" i="11"/>
  <c r="AH340" i="11"/>
  <c r="AI340" i="11"/>
  <c r="AJ340" i="11"/>
  <c r="AD341" i="11"/>
  <c r="AE341" i="11"/>
  <c r="AF341" i="11"/>
  <c r="AG341" i="11"/>
  <c r="AH341" i="11"/>
  <c r="AI341" i="11"/>
  <c r="AJ341" i="11"/>
  <c r="AD342" i="11"/>
  <c r="AE342" i="11"/>
  <c r="AF342" i="11"/>
  <c r="AG342" i="11"/>
  <c r="AH342" i="11"/>
  <c r="AI342" i="11"/>
  <c r="AJ342" i="11"/>
  <c r="AD343" i="11"/>
  <c r="AE343" i="11"/>
  <c r="AF343" i="11"/>
  <c r="AG343" i="11"/>
  <c r="AH343" i="11"/>
  <c r="AI343" i="11"/>
  <c r="AJ343" i="11"/>
  <c r="AD344" i="11"/>
  <c r="AE344" i="11"/>
  <c r="AF344" i="11"/>
  <c r="AG344" i="11"/>
  <c r="AH344" i="11"/>
  <c r="AI344" i="11"/>
  <c r="AJ344" i="11"/>
  <c r="AD345" i="11"/>
  <c r="AE345" i="11"/>
  <c r="AF345" i="11"/>
  <c r="AG345" i="11"/>
  <c r="AH345" i="11"/>
  <c r="AI345" i="11"/>
  <c r="AJ345" i="11"/>
  <c r="AD346" i="11"/>
  <c r="AE346" i="11"/>
  <c r="AF346" i="11"/>
  <c r="AG346" i="11"/>
  <c r="AH346" i="11"/>
  <c r="AI346" i="11"/>
  <c r="AJ346" i="11"/>
  <c r="AD347" i="11"/>
  <c r="AE347" i="11"/>
  <c r="AF347" i="11"/>
  <c r="AG347" i="11"/>
  <c r="AH347" i="11"/>
  <c r="AI347" i="11"/>
  <c r="AJ347" i="11"/>
  <c r="AD348" i="11"/>
  <c r="AE348" i="11"/>
  <c r="AF348" i="11"/>
  <c r="AG348" i="11"/>
  <c r="AH348" i="11"/>
  <c r="AI348" i="11"/>
  <c r="AJ348" i="11"/>
  <c r="AD349" i="11"/>
  <c r="AE349" i="11"/>
  <c r="AF349" i="11"/>
  <c r="AG349" i="11"/>
  <c r="AH349" i="11"/>
  <c r="AI349" i="11"/>
  <c r="AJ349" i="11"/>
  <c r="AD350" i="11"/>
  <c r="AE350" i="11"/>
  <c r="AF350" i="11"/>
  <c r="AG350" i="11"/>
  <c r="AH350" i="11"/>
  <c r="AI350" i="11"/>
  <c r="AJ350" i="11"/>
  <c r="AD351" i="11"/>
  <c r="AE351" i="11"/>
  <c r="AF351" i="11"/>
  <c r="AG351" i="11"/>
  <c r="AH351" i="11"/>
  <c r="AI351" i="11"/>
  <c r="AJ351" i="11"/>
  <c r="AD352" i="11"/>
  <c r="AE352" i="11"/>
  <c r="AF352" i="11"/>
  <c r="AG352" i="11"/>
  <c r="AH352" i="11"/>
  <c r="AI352" i="11"/>
  <c r="AJ352" i="11"/>
  <c r="AD353" i="11"/>
  <c r="AE353" i="11"/>
  <c r="AF353" i="11"/>
  <c r="AG353" i="11"/>
  <c r="AH353" i="11"/>
  <c r="AI353" i="11"/>
  <c r="AJ353" i="11"/>
  <c r="AD354" i="11"/>
  <c r="AE354" i="11"/>
  <c r="AF354" i="11"/>
  <c r="AG354" i="11"/>
  <c r="AH354" i="11"/>
  <c r="AI354" i="11"/>
  <c r="AJ354" i="11"/>
  <c r="AD355" i="11"/>
  <c r="AE355" i="11"/>
  <c r="AF355" i="11"/>
  <c r="AG355" i="11"/>
  <c r="AH355" i="11"/>
  <c r="AI355" i="11"/>
  <c r="AJ355" i="11"/>
  <c r="AD356" i="11"/>
  <c r="AE356" i="11"/>
  <c r="AF356" i="11"/>
  <c r="AG356" i="11"/>
  <c r="AH356" i="11"/>
  <c r="AI356" i="11"/>
  <c r="AJ356" i="11"/>
  <c r="AD357" i="11"/>
  <c r="AE357" i="11"/>
  <c r="AF357" i="11"/>
  <c r="AG357" i="11"/>
  <c r="AH357" i="11"/>
  <c r="AI357" i="11"/>
  <c r="AJ357" i="11"/>
  <c r="AD358" i="11"/>
  <c r="AE358" i="11"/>
  <c r="AF358" i="11"/>
  <c r="AG358" i="11"/>
  <c r="AH358" i="11"/>
  <c r="AI358" i="11"/>
  <c r="AJ358" i="11"/>
  <c r="AD359" i="11"/>
  <c r="AE359" i="11"/>
  <c r="AF359" i="11"/>
  <c r="AG359" i="11"/>
  <c r="AH359" i="11"/>
  <c r="AI359" i="11"/>
  <c r="AJ359" i="11"/>
  <c r="AD360" i="11"/>
  <c r="AE360" i="11"/>
  <c r="AF360" i="11"/>
  <c r="AG360" i="11"/>
  <c r="AH360" i="11"/>
  <c r="AI360" i="11"/>
  <c r="AJ360" i="11"/>
  <c r="AD361" i="11"/>
  <c r="AE361" i="11"/>
  <c r="AF361" i="11"/>
  <c r="AG361" i="11"/>
  <c r="AH361" i="11"/>
  <c r="AI361" i="11"/>
  <c r="AJ361" i="11"/>
  <c r="AD362" i="11"/>
  <c r="AE362" i="11"/>
  <c r="AF362" i="11"/>
  <c r="AG362" i="11"/>
  <c r="AH362" i="11"/>
  <c r="AI362" i="11"/>
  <c r="AJ362" i="11"/>
  <c r="AD363" i="11"/>
  <c r="AE363" i="11"/>
  <c r="AF363" i="11"/>
  <c r="AG363" i="11"/>
  <c r="AH363" i="11"/>
  <c r="AI363" i="11"/>
  <c r="AJ363" i="11"/>
  <c r="AD364" i="11"/>
  <c r="AE364" i="11"/>
  <c r="AF364" i="11"/>
  <c r="AG364" i="11"/>
  <c r="AH364" i="11"/>
  <c r="AI364" i="11"/>
  <c r="AJ364" i="11"/>
  <c r="AD365" i="11"/>
  <c r="AE365" i="11"/>
  <c r="AF365" i="11"/>
  <c r="AG365" i="11"/>
  <c r="AH365" i="11"/>
  <c r="AI365" i="11"/>
  <c r="AJ365" i="11"/>
  <c r="AD366" i="11"/>
  <c r="AE366" i="11"/>
  <c r="AF366" i="11"/>
  <c r="AG366" i="11"/>
  <c r="AH366" i="11"/>
  <c r="AI366" i="11"/>
  <c r="AJ366" i="11"/>
  <c r="AD367" i="11"/>
  <c r="AE367" i="11"/>
  <c r="AF367" i="11"/>
  <c r="AG367" i="11"/>
  <c r="AH367" i="11"/>
  <c r="AI367" i="11"/>
  <c r="AJ367" i="11"/>
  <c r="AD368" i="11"/>
  <c r="AE368" i="11"/>
  <c r="AF368" i="11"/>
  <c r="AG368" i="11"/>
  <c r="AH368" i="11"/>
  <c r="AI368" i="11"/>
  <c r="AJ368" i="11"/>
  <c r="AD369" i="11"/>
  <c r="AE369" i="11"/>
  <c r="AF369" i="11"/>
  <c r="AG369" i="11"/>
  <c r="AH369" i="11"/>
  <c r="AI369" i="11"/>
  <c r="AJ369" i="11"/>
  <c r="AD370" i="11"/>
  <c r="AE370" i="11"/>
  <c r="AF370" i="11"/>
  <c r="AG370" i="11"/>
  <c r="AH370" i="11"/>
  <c r="AI370" i="11"/>
  <c r="AJ370" i="11"/>
  <c r="AD371" i="11"/>
  <c r="AE371" i="11"/>
  <c r="AF371" i="11"/>
  <c r="AG371" i="11"/>
  <c r="AH371" i="11"/>
  <c r="AI371" i="11"/>
  <c r="AJ371" i="11"/>
  <c r="AD372" i="11"/>
  <c r="AE372" i="11"/>
  <c r="AF372" i="11"/>
  <c r="AG372" i="11"/>
  <c r="AH372" i="11"/>
  <c r="AI372" i="11"/>
  <c r="AJ372" i="11"/>
  <c r="AD373" i="11"/>
  <c r="AE373" i="11"/>
  <c r="AF373" i="11"/>
  <c r="AG373" i="11"/>
  <c r="AH373" i="11"/>
  <c r="AI373" i="11"/>
  <c r="AJ373" i="11"/>
  <c r="AD374" i="11"/>
  <c r="AE374" i="11"/>
  <c r="AF374" i="11"/>
  <c r="AG374" i="11"/>
  <c r="AH374" i="11"/>
  <c r="AI374" i="11"/>
  <c r="AJ374" i="11"/>
  <c r="AD375" i="11"/>
  <c r="AE375" i="11"/>
  <c r="AF375" i="11"/>
  <c r="AG375" i="11"/>
  <c r="AH375" i="11"/>
  <c r="AI375" i="11"/>
  <c r="AJ375" i="11"/>
  <c r="AD376" i="11"/>
  <c r="AE376" i="11"/>
  <c r="AF376" i="11"/>
  <c r="AG376" i="11"/>
  <c r="AH376" i="11"/>
  <c r="AI376" i="11"/>
  <c r="AJ376" i="11"/>
  <c r="AD377" i="11"/>
  <c r="AE377" i="11"/>
  <c r="AF377" i="11"/>
  <c r="AG377" i="11"/>
  <c r="AH377" i="11"/>
  <c r="AI377" i="11"/>
  <c r="AJ377" i="11"/>
  <c r="AD378" i="11"/>
  <c r="AE378" i="11"/>
  <c r="AF378" i="11"/>
  <c r="AG378" i="11"/>
  <c r="AH378" i="11"/>
  <c r="AI378" i="11"/>
  <c r="AJ378" i="11"/>
  <c r="AD379" i="11"/>
  <c r="AE379" i="11"/>
  <c r="AF379" i="11"/>
  <c r="AG379" i="11"/>
  <c r="AH379" i="11"/>
  <c r="AI379" i="11"/>
  <c r="AJ379" i="11"/>
  <c r="AD380" i="11"/>
  <c r="AE380" i="11"/>
  <c r="AF380" i="11"/>
  <c r="AG380" i="11"/>
  <c r="AH380" i="11"/>
  <c r="AI380" i="11"/>
  <c r="AJ380" i="11"/>
  <c r="AD381" i="11"/>
  <c r="AE381" i="11"/>
  <c r="AF381" i="11"/>
  <c r="AG381" i="11"/>
  <c r="AH381" i="11"/>
  <c r="AI381" i="11"/>
  <c r="AJ381" i="11"/>
  <c r="AD382" i="11"/>
  <c r="AE382" i="11"/>
  <c r="AF382" i="11"/>
  <c r="AG382" i="11"/>
  <c r="AH382" i="11"/>
  <c r="AI382" i="11"/>
  <c r="AJ382" i="11"/>
  <c r="AD383" i="11"/>
  <c r="AE383" i="11"/>
  <c r="AF383" i="11"/>
  <c r="AG383" i="11"/>
  <c r="AH383" i="11"/>
  <c r="AI383" i="11"/>
  <c r="AJ383" i="11"/>
  <c r="AD384" i="11"/>
  <c r="AE384" i="11"/>
  <c r="AF384" i="11"/>
  <c r="AG384" i="11"/>
  <c r="AH384" i="11"/>
  <c r="AI384" i="11"/>
  <c r="AJ384" i="11"/>
  <c r="AD385" i="11"/>
  <c r="AE385" i="11"/>
  <c r="AF385" i="11"/>
  <c r="AG385" i="11"/>
  <c r="AH385" i="11"/>
  <c r="AI385" i="11"/>
  <c r="AJ385" i="11"/>
  <c r="AD386" i="11"/>
  <c r="AE386" i="11"/>
  <c r="AF386" i="11"/>
  <c r="AG386" i="11"/>
  <c r="AH386" i="11"/>
  <c r="AI386" i="11"/>
  <c r="AJ386" i="11"/>
  <c r="AD387" i="11"/>
  <c r="AE387" i="11"/>
  <c r="AF387" i="11"/>
  <c r="AG387" i="11"/>
  <c r="AH387" i="11"/>
  <c r="AI387" i="11"/>
  <c r="AJ387" i="11"/>
  <c r="AD388" i="11"/>
  <c r="AE388" i="11"/>
  <c r="AF388" i="11"/>
  <c r="AG388" i="11"/>
  <c r="AH388" i="11"/>
  <c r="AI388" i="11"/>
  <c r="AJ388" i="11"/>
  <c r="AD389" i="11"/>
  <c r="AE389" i="11"/>
  <c r="AF389" i="11"/>
  <c r="AG389" i="11"/>
  <c r="AH389" i="11"/>
  <c r="AI389" i="11"/>
  <c r="AJ389" i="11"/>
  <c r="AD390" i="11"/>
  <c r="AE390" i="11"/>
  <c r="AF390" i="11"/>
  <c r="AG390" i="11"/>
  <c r="AH390" i="11"/>
  <c r="AI390" i="11"/>
  <c r="AJ390" i="11"/>
  <c r="AD391" i="11"/>
  <c r="AE391" i="11"/>
  <c r="AF391" i="11"/>
  <c r="AG391" i="11"/>
  <c r="AH391" i="11"/>
  <c r="AI391" i="11"/>
  <c r="AJ391" i="11"/>
  <c r="AD392" i="11"/>
  <c r="AE392" i="11"/>
  <c r="AF392" i="11"/>
  <c r="AG392" i="11"/>
  <c r="AH392" i="11"/>
  <c r="AI392" i="11"/>
  <c r="AJ392" i="11"/>
  <c r="AD393" i="11"/>
  <c r="AE393" i="11"/>
  <c r="AF393" i="11"/>
  <c r="AG393" i="11"/>
  <c r="AH393" i="11"/>
  <c r="AI393" i="11"/>
  <c r="AJ393" i="11"/>
  <c r="AD394" i="11"/>
  <c r="AE394" i="11"/>
  <c r="AF394" i="11"/>
  <c r="AG394" i="11"/>
  <c r="AH394" i="11"/>
  <c r="AI394" i="11"/>
  <c r="AJ394" i="11"/>
  <c r="AD395" i="11"/>
  <c r="AE395" i="11"/>
  <c r="AF395" i="11"/>
  <c r="AG395" i="11"/>
  <c r="AH395" i="11"/>
  <c r="AI395" i="11"/>
  <c r="AJ395" i="11"/>
  <c r="AD396" i="11"/>
  <c r="AE396" i="11"/>
  <c r="AF396" i="11"/>
  <c r="AG396" i="11"/>
  <c r="AH396" i="11"/>
  <c r="AI396" i="11"/>
  <c r="AJ396" i="11"/>
  <c r="AD397" i="11"/>
  <c r="AE397" i="11"/>
  <c r="AF397" i="11"/>
  <c r="AG397" i="11"/>
  <c r="AH397" i="11"/>
  <c r="AI397" i="11"/>
  <c r="AJ397" i="11"/>
  <c r="AD398" i="11"/>
  <c r="AE398" i="11"/>
  <c r="AF398" i="11"/>
  <c r="AG398" i="11"/>
  <c r="AH398" i="11"/>
  <c r="AI398" i="11"/>
  <c r="AJ398" i="11"/>
  <c r="AD399" i="11"/>
  <c r="AE399" i="11"/>
  <c r="AF399" i="11"/>
  <c r="AG399" i="11"/>
  <c r="AH399" i="11"/>
  <c r="AI399" i="11"/>
  <c r="AJ399" i="11"/>
  <c r="AD400" i="11"/>
  <c r="AE400" i="11"/>
  <c r="AF400" i="11"/>
  <c r="AG400" i="11"/>
  <c r="AH400" i="11"/>
  <c r="AI400" i="11"/>
  <c r="AJ400" i="11"/>
  <c r="AD401" i="11"/>
  <c r="AE401" i="11"/>
  <c r="AF401" i="11"/>
  <c r="AG401" i="11"/>
  <c r="AH401" i="11"/>
  <c r="AI401" i="11"/>
  <c r="AJ401" i="11"/>
  <c r="AD402" i="11"/>
  <c r="AE402" i="11"/>
  <c r="AF402" i="11"/>
  <c r="AG402" i="11"/>
  <c r="AH402" i="11"/>
  <c r="AI402" i="11"/>
  <c r="AJ402" i="11"/>
  <c r="AD403" i="11"/>
  <c r="AE403" i="11"/>
  <c r="AF403" i="11"/>
  <c r="AG403" i="11"/>
  <c r="AH403" i="11"/>
  <c r="AI403" i="11"/>
  <c r="AJ403" i="11"/>
  <c r="AD404" i="11"/>
  <c r="AE404" i="11"/>
  <c r="AF404" i="11"/>
  <c r="AG404" i="11"/>
  <c r="AH404" i="11"/>
  <c r="AI404" i="11"/>
  <c r="AJ404" i="11"/>
  <c r="AD405" i="11"/>
  <c r="AE405" i="11"/>
  <c r="AF405" i="11"/>
  <c r="AG405" i="11"/>
  <c r="AH405" i="11"/>
  <c r="AI405" i="11"/>
  <c r="AJ405" i="11"/>
  <c r="AD406" i="11"/>
  <c r="AE406" i="11"/>
  <c r="AF406" i="11"/>
  <c r="AG406" i="11"/>
  <c r="AH406" i="11"/>
  <c r="AI406" i="11"/>
  <c r="AJ406" i="11"/>
  <c r="AD407" i="11"/>
  <c r="AE407" i="11"/>
  <c r="AF407" i="11"/>
  <c r="AG407" i="11"/>
  <c r="AH407" i="11"/>
  <c r="AI407" i="11"/>
  <c r="AJ407" i="11"/>
  <c r="AD408" i="11"/>
  <c r="AE408" i="11"/>
  <c r="AF408" i="11"/>
  <c r="AG408" i="11"/>
  <c r="AH408" i="11"/>
  <c r="AI408" i="11"/>
  <c r="AJ408" i="11"/>
  <c r="AD409" i="11"/>
  <c r="AE409" i="11"/>
  <c r="AF409" i="11"/>
  <c r="AG409" i="11"/>
  <c r="AH409" i="11"/>
  <c r="AI409" i="11"/>
  <c r="AJ409" i="11"/>
  <c r="AD410" i="11"/>
  <c r="AE410" i="11"/>
  <c r="AF410" i="11"/>
  <c r="AG410" i="11"/>
  <c r="AH410" i="11"/>
  <c r="AI410" i="11"/>
  <c r="AJ410" i="11"/>
  <c r="AD411" i="11"/>
  <c r="AE411" i="11"/>
  <c r="AF411" i="11"/>
  <c r="AG411" i="11"/>
  <c r="AH411" i="11"/>
  <c r="AI411" i="11"/>
  <c r="AJ411" i="11"/>
  <c r="AD412" i="11"/>
  <c r="AE412" i="11"/>
  <c r="AF412" i="11"/>
  <c r="AG412" i="11"/>
  <c r="AH412" i="11"/>
  <c r="AI412" i="11"/>
  <c r="AJ412" i="11"/>
  <c r="AD413" i="11"/>
  <c r="AE413" i="11"/>
  <c r="AF413" i="11"/>
  <c r="AG413" i="11"/>
  <c r="AH413" i="11"/>
  <c r="AI413" i="11"/>
  <c r="AJ413" i="11"/>
  <c r="AD414" i="11"/>
  <c r="AE414" i="11"/>
  <c r="AF414" i="11"/>
  <c r="AG414" i="11"/>
  <c r="AH414" i="11"/>
  <c r="AI414" i="11"/>
  <c r="AJ414" i="11"/>
  <c r="AD415" i="11"/>
  <c r="AE415" i="11"/>
  <c r="AF415" i="11"/>
  <c r="AG415" i="11"/>
  <c r="AH415" i="11"/>
  <c r="AI415" i="11"/>
  <c r="AJ415" i="11"/>
  <c r="AD416" i="11"/>
  <c r="AE416" i="11"/>
  <c r="AF416" i="11"/>
  <c r="AG416" i="11"/>
  <c r="AH416" i="11"/>
  <c r="AI416" i="11"/>
  <c r="AJ416" i="11"/>
  <c r="AD417" i="11"/>
  <c r="AE417" i="11"/>
  <c r="AF417" i="11"/>
  <c r="AG417" i="11"/>
  <c r="AH417" i="11"/>
  <c r="AI417" i="11"/>
  <c r="AJ417" i="11"/>
  <c r="AD418" i="11"/>
  <c r="AE418" i="11"/>
  <c r="AF418" i="11"/>
  <c r="AG418" i="11"/>
  <c r="AH418" i="11"/>
  <c r="AI418" i="11"/>
  <c r="AJ418" i="11"/>
  <c r="AD419" i="11"/>
  <c r="AE419" i="11"/>
  <c r="AF419" i="11"/>
  <c r="AG419" i="11"/>
  <c r="AH419" i="11"/>
  <c r="AI419" i="11"/>
  <c r="AJ419" i="11"/>
  <c r="AD420" i="11"/>
  <c r="AE420" i="11"/>
  <c r="AF420" i="11"/>
  <c r="AG420" i="11"/>
  <c r="AH420" i="11"/>
  <c r="AI420" i="11"/>
  <c r="AJ420" i="11"/>
  <c r="AD421" i="11"/>
  <c r="AE421" i="11"/>
  <c r="AF421" i="11"/>
  <c r="AG421" i="11"/>
  <c r="AH421" i="11"/>
  <c r="AI421" i="11"/>
  <c r="AJ421" i="11"/>
  <c r="AD422" i="11"/>
  <c r="AE422" i="11"/>
  <c r="AF422" i="11"/>
  <c r="AG422" i="11"/>
  <c r="AH422" i="11"/>
  <c r="AI422" i="11"/>
  <c r="AJ422" i="11"/>
  <c r="AD423" i="11"/>
  <c r="AE423" i="11"/>
  <c r="AF423" i="11"/>
  <c r="AG423" i="11"/>
  <c r="AH423" i="11"/>
  <c r="AI423" i="11"/>
  <c r="AJ423" i="11"/>
  <c r="AD424" i="11"/>
  <c r="AE424" i="11"/>
  <c r="AF424" i="11"/>
  <c r="AG424" i="11"/>
  <c r="AH424" i="11"/>
  <c r="AI424" i="11"/>
  <c r="AJ424" i="11"/>
  <c r="AD425" i="11"/>
  <c r="AE425" i="11"/>
  <c r="AF425" i="11"/>
  <c r="AG425" i="11"/>
  <c r="AH425" i="11"/>
  <c r="AI425" i="11"/>
  <c r="AJ425" i="11"/>
  <c r="AD426" i="11"/>
  <c r="AE426" i="11"/>
  <c r="AF426" i="11"/>
  <c r="AG426" i="11"/>
  <c r="AH426" i="11"/>
  <c r="AI426" i="11"/>
  <c r="AJ426" i="11"/>
  <c r="AD427" i="11"/>
  <c r="AE427" i="11"/>
  <c r="AF427" i="11"/>
  <c r="AG427" i="11"/>
  <c r="AH427" i="11"/>
  <c r="AI427" i="11"/>
  <c r="AJ427" i="11"/>
  <c r="AD428" i="11"/>
  <c r="AE428" i="11"/>
  <c r="AF428" i="11"/>
  <c r="AG428" i="11"/>
  <c r="AH428" i="11"/>
  <c r="AI428" i="11"/>
  <c r="AJ428" i="11"/>
  <c r="AD429" i="11"/>
  <c r="AE429" i="11"/>
  <c r="AF429" i="11"/>
  <c r="AG429" i="11"/>
  <c r="AH429" i="11"/>
  <c r="AI429" i="11"/>
  <c r="AJ429" i="11"/>
  <c r="AD430" i="11"/>
  <c r="AE430" i="11"/>
  <c r="AF430" i="11"/>
  <c r="AG430" i="11"/>
  <c r="AH430" i="11"/>
  <c r="AI430" i="11"/>
  <c r="AJ430" i="11"/>
  <c r="AD431" i="11"/>
  <c r="AE431" i="11"/>
  <c r="AF431" i="11"/>
  <c r="AG431" i="11"/>
  <c r="AH431" i="11"/>
  <c r="AI431" i="11"/>
  <c r="AJ431" i="11"/>
  <c r="AD432" i="11"/>
  <c r="AE432" i="11"/>
  <c r="AF432" i="11"/>
  <c r="AG432" i="11"/>
  <c r="AH432" i="11"/>
  <c r="AI432" i="11"/>
  <c r="AJ432" i="11"/>
  <c r="AD433" i="11"/>
  <c r="AE433" i="11"/>
  <c r="AF433" i="11"/>
  <c r="AG433" i="11"/>
  <c r="AH433" i="11"/>
  <c r="AI433" i="11"/>
  <c r="AJ433" i="11"/>
  <c r="AD434" i="11"/>
  <c r="AE434" i="11"/>
  <c r="AF434" i="11"/>
  <c r="AG434" i="11"/>
  <c r="AH434" i="11"/>
  <c r="AI434" i="11"/>
  <c r="AJ434" i="11"/>
  <c r="AD435" i="11"/>
  <c r="AE435" i="11"/>
  <c r="AF435" i="11"/>
  <c r="AG435" i="11"/>
  <c r="AH435" i="11"/>
  <c r="AI435" i="11"/>
  <c r="AJ435" i="11"/>
  <c r="AD436" i="11"/>
  <c r="AE436" i="11"/>
  <c r="AF436" i="11"/>
  <c r="AG436" i="11"/>
  <c r="AH436" i="11"/>
  <c r="AI436" i="11"/>
  <c r="AJ436" i="11"/>
  <c r="AD437" i="11"/>
  <c r="AE437" i="11"/>
  <c r="AF437" i="11"/>
  <c r="AG437" i="11"/>
  <c r="AH437" i="11"/>
  <c r="AI437" i="11"/>
  <c r="AJ437" i="11"/>
  <c r="AD438" i="11"/>
  <c r="AE438" i="11"/>
  <c r="AF438" i="11"/>
  <c r="AG438" i="11"/>
  <c r="AH438" i="11"/>
  <c r="AI438" i="11"/>
  <c r="AJ438" i="11"/>
  <c r="AD439" i="11"/>
  <c r="AE439" i="11"/>
  <c r="AF439" i="11"/>
  <c r="AG439" i="11"/>
  <c r="AH439" i="11"/>
  <c r="AI439" i="11"/>
  <c r="AJ439" i="11"/>
  <c r="AD440" i="11"/>
  <c r="AE440" i="11"/>
  <c r="AF440" i="11"/>
  <c r="AG440" i="11"/>
  <c r="AH440" i="11"/>
  <c r="AI440" i="11"/>
  <c r="AJ440" i="11"/>
  <c r="AD441" i="11"/>
  <c r="AE441" i="11"/>
  <c r="AF441" i="11"/>
  <c r="AG441" i="11"/>
  <c r="AH441" i="11"/>
  <c r="AI441" i="11"/>
  <c r="AJ441" i="11"/>
  <c r="AD442" i="11"/>
  <c r="AE442" i="11"/>
  <c r="AF442" i="11"/>
  <c r="AG442" i="11"/>
  <c r="AH442" i="11"/>
  <c r="AI442" i="11"/>
  <c r="AJ442" i="11"/>
  <c r="AD443" i="11"/>
  <c r="AE443" i="11"/>
  <c r="AF443" i="11"/>
  <c r="AG443" i="11"/>
  <c r="AH443" i="11"/>
  <c r="AI443" i="11"/>
  <c r="AJ443" i="11"/>
  <c r="AD444" i="11"/>
  <c r="AE444" i="11"/>
  <c r="AF444" i="11"/>
  <c r="AG444" i="11"/>
  <c r="AH444" i="11"/>
  <c r="AI444" i="11"/>
  <c r="AJ444" i="11"/>
  <c r="AD445" i="11"/>
  <c r="AE445" i="11"/>
  <c r="AF445" i="11"/>
  <c r="AG445" i="11"/>
  <c r="AH445" i="11"/>
  <c r="AI445" i="11"/>
  <c r="AJ445" i="11"/>
  <c r="AD446" i="11"/>
  <c r="AE446" i="11"/>
  <c r="AF446" i="11"/>
  <c r="AG446" i="11"/>
  <c r="AH446" i="11"/>
  <c r="AI446" i="11"/>
  <c r="AJ446" i="11"/>
  <c r="AD447" i="11"/>
  <c r="AE447" i="11"/>
  <c r="AF447" i="11"/>
  <c r="AG447" i="11"/>
  <c r="AH447" i="11"/>
  <c r="AI447" i="11"/>
  <c r="AJ447" i="11"/>
  <c r="AD448" i="11"/>
  <c r="AE448" i="11"/>
  <c r="AF448" i="11"/>
  <c r="AG448" i="11"/>
  <c r="AH448" i="11"/>
  <c r="AI448" i="11"/>
  <c r="AJ448" i="11"/>
  <c r="AD449" i="11"/>
  <c r="AE449" i="11"/>
  <c r="AF449" i="11"/>
  <c r="AG449" i="11"/>
  <c r="AH449" i="11"/>
  <c r="AI449" i="11"/>
  <c r="AJ449" i="11"/>
  <c r="AD450" i="11"/>
  <c r="AE450" i="11"/>
  <c r="AF450" i="11"/>
  <c r="AG450" i="11"/>
  <c r="AH450" i="11"/>
  <c r="AI450" i="11"/>
  <c r="AJ450" i="11"/>
  <c r="AD451" i="11"/>
  <c r="AE451" i="11"/>
  <c r="AF451" i="11"/>
  <c r="AG451" i="11"/>
  <c r="AH451" i="11"/>
  <c r="AI451" i="11"/>
  <c r="AJ451" i="11"/>
  <c r="AD452" i="11"/>
  <c r="AE452" i="11"/>
  <c r="AF452" i="11"/>
  <c r="AG452" i="11"/>
  <c r="AH452" i="11"/>
  <c r="AI452" i="11"/>
  <c r="AJ452" i="11"/>
  <c r="AD453" i="11"/>
  <c r="AE453" i="11"/>
  <c r="AF453" i="11"/>
  <c r="AG453" i="11"/>
  <c r="AH453" i="11"/>
  <c r="AI453" i="11"/>
  <c r="AJ453" i="11"/>
  <c r="AD454" i="11"/>
  <c r="AE454" i="11"/>
  <c r="AF454" i="11"/>
  <c r="AG454" i="11"/>
  <c r="AH454" i="11"/>
  <c r="AI454" i="11"/>
  <c r="AJ454" i="11"/>
  <c r="AD455" i="11"/>
  <c r="AE455" i="11"/>
  <c r="AF455" i="11"/>
  <c r="AG455" i="11"/>
  <c r="AH455" i="11"/>
  <c r="AI455" i="11"/>
  <c r="AJ455" i="11"/>
  <c r="AD456" i="11"/>
  <c r="AE456" i="11"/>
  <c r="AF456" i="11"/>
  <c r="AG456" i="11"/>
  <c r="AH456" i="11"/>
  <c r="AI456" i="11"/>
  <c r="AJ456" i="11"/>
  <c r="AD457" i="11"/>
  <c r="AE457" i="11"/>
  <c r="AF457" i="11"/>
  <c r="AG457" i="11"/>
  <c r="AH457" i="11"/>
  <c r="AI457" i="11"/>
  <c r="AJ457" i="11"/>
  <c r="AD458" i="11"/>
  <c r="AE458" i="11"/>
  <c r="AF458" i="11"/>
  <c r="AG458" i="11"/>
  <c r="AH458" i="11"/>
  <c r="AI458" i="11"/>
  <c r="AJ458" i="11"/>
  <c r="AD459" i="11"/>
  <c r="AE459" i="11"/>
  <c r="AF459" i="11"/>
  <c r="AG459" i="11"/>
  <c r="AH459" i="11"/>
  <c r="AI459" i="11"/>
  <c r="AJ459" i="11"/>
  <c r="AD460" i="11"/>
  <c r="AE460" i="11"/>
  <c r="AF460" i="11"/>
  <c r="AG460" i="11"/>
  <c r="AH460" i="11"/>
  <c r="AI460" i="11"/>
  <c r="AJ460" i="11"/>
  <c r="AD461" i="11"/>
  <c r="AE461" i="11"/>
  <c r="AF461" i="11"/>
  <c r="AG461" i="11"/>
  <c r="AH461" i="11"/>
  <c r="AI461" i="11"/>
  <c r="AJ461" i="11"/>
  <c r="AD462" i="11"/>
  <c r="AE462" i="11"/>
  <c r="AF462" i="11"/>
  <c r="AG462" i="11"/>
  <c r="AH462" i="11"/>
  <c r="AI462" i="11"/>
  <c r="AJ462" i="11"/>
  <c r="AD463" i="11"/>
  <c r="AE463" i="11"/>
  <c r="AF463" i="11"/>
  <c r="AG463" i="11"/>
  <c r="AH463" i="11"/>
  <c r="AI463" i="11"/>
  <c r="AJ463" i="11"/>
  <c r="AD464" i="11"/>
  <c r="AE464" i="11"/>
  <c r="AF464" i="11"/>
  <c r="AG464" i="11"/>
  <c r="AH464" i="11"/>
  <c r="AI464" i="11"/>
  <c r="AJ464" i="11"/>
  <c r="AD465" i="11"/>
  <c r="AE465" i="11"/>
  <c r="AF465" i="11"/>
  <c r="AG465" i="11"/>
  <c r="AH465" i="11"/>
  <c r="AI465" i="11"/>
  <c r="AJ465" i="11"/>
  <c r="AD466" i="11"/>
  <c r="AE466" i="11"/>
  <c r="AF466" i="11"/>
  <c r="AG466" i="11"/>
  <c r="AH466" i="11"/>
  <c r="AI466" i="11"/>
  <c r="AJ466" i="11"/>
  <c r="AD467" i="11"/>
  <c r="AE467" i="11"/>
  <c r="AF467" i="11"/>
  <c r="AG467" i="11"/>
  <c r="AH467" i="11"/>
  <c r="AI467" i="11"/>
  <c r="AJ467" i="11"/>
  <c r="AD468" i="11"/>
  <c r="AE468" i="11"/>
  <c r="AF468" i="11"/>
  <c r="AG468" i="11"/>
  <c r="AH468" i="11"/>
  <c r="AI468" i="11"/>
  <c r="AJ468" i="11"/>
  <c r="AD469" i="11"/>
  <c r="AE469" i="11"/>
  <c r="AF469" i="11"/>
  <c r="AG469" i="11"/>
  <c r="AH469" i="11"/>
  <c r="AI469" i="11"/>
  <c r="AJ469" i="11"/>
  <c r="AD470" i="11"/>
  <c r="AE470" i="11"/>
  <c r="AF470" i="11"/>
  <c r="AG470" i="11"/>
  <c r="AH470" i="11"/>
  <c r="AI470" i="11"/>
  <c r="AJ470" i="11"/>
  <c r="AD471" i="11"/>
  <c r="AE471" i="11"/>
  <c r="AF471" i="11"/>
  <c r="AG471" i="11"/>
  <c r="AH471" i="11"/>
  <c r="AI471" i="11"/>
  <c r="AJ471" i="11"/>
  <c r="AD472" i="11"/>
  <c r="AE472" i="11"/>
  <c r="AF472" i="11"/>
  <c r="AG472" i="11"/>
  <c r="AH472" i="11"/>
  <c r="AI472" i="11"/>
  <c r="AJ472" i="11"/>
  <c r="AD473" i="11"/>
  <c r="AE473" i="11"/>
  <c r="AF473" i="11"/>
  <c r="AG473" i="11"/>
  <c r="AH473" i="11"/>
  <c r="AI473" i="11"/>
  <c r="AJ473" i="11"/>
  <c r="AD474" i="11"/>
  <c r="AE474" i="11"/>
  <c r="AF474" i="11"/>
  <c r="AG474" i="11"/>
  <c r="AH474" i="11"/>
  <c r="AI474" i="11"/>
  <c r="AJ474" i="11"/>
  <c r="AD475" i="11"/>
  <c r="AE475" i="11"/>
  <c r="AF475" i="11"/>
  <c r="AG475" i="11"/>
  <c r="AH475" i="11"/>
  <c r="AI475" i="11"/>
  <c r="AJ475" i="11"/>
  <c r="AD476" i="11"/>
  <c r="AE476" i="11"/>
  <c r="AF476" i="11"/>
  <c r="AG476" i="11"/>
  <c r="AH476" i="11"/>
  <c r="AI476" i="11"/>
  <c r="AJ476" i="11"/>
  <c r="AD477" i="11"/>
  <c r="AE477" i="11"/>
  <c r="AF477" i="11"/>
  <c r="AG477" i="11"/>
  <c r="AH477" i="11"/>
  <c r="AI477" i="11"/>
  <c r="AJ477" i="11"/>
  <c r="AD478" i="11"/>
  <c r="AE478" i="11"/>
  <c r="AF478" i="11"/>
  <c r="AG478" i="11"/>
  <c r="AH478" i="11"/>
  <c r="AI478" i="11"/>
  <c r="AJ478" i="11"/>
  <c r="AD479" i="11"/>
  <c r="AE479" i="11"/>
  <c r="AF479" i="11"/>
  <c r="AG479" i="11"/>
  <c r="AH479" i="11"/>
  <c r="AI479" i="11"/>
  <c r="AJ479" i="11"/>
  <c r="AD480" i="11"/>
  <c r="AE480" i="11"/>
  <c r="AF480" i="11"/>
  <c r="AG480" i="11"/>
  <c r="AH480" i="11"/>
  <c r="AI480" i="11"/>
  <c r="AJ480" i="11"/>
  <c r="AD481" i="11"/>
  <c r="AE481" i="11"/>
  <c r="AF481" i="11"/>
  <c r="AG481" i="11"/>
  <c r="AH481" i="11"/>
  <c r="AI481" i="11"/>
  <c r="AJ481" i="11"/>
  <c r="AD482" i="11"/>
  <c r="AE482" i="11"/>
  <c r="AF482" i="11"/>
  <c r="AG482" i="11"/>
  <c r="AH482" i="11"/>
  <c r="AI482" i="11"/>
  <c r="AJ482" i="11"/>
  <c r="AD483" i="11"/>
  <c r="AE483" i="11"/>
  <c r="AF483" i="11"/>
  <c r="AG483" i="11"/>
  <c r="AH483" i="11"/>
  <c r="AI483" i="11"/>
  <c r="AJ483" i="11"/>
  <c r="AD484" i="11"/>
  <c r="AE484" i="11"/>
  <c r="AF484" i="11"/>
  <c r="AG484" i="11"/>
  <c r="AH484" i="11"/>
  <c r="AI484" i="11"/>
  <c r="AJ484" i="11"/>
  <c r="AD485" i="11"/>
  <c r="AE485" i="11"/>
  <c r="AF485" i="11"/>
  <c r="AG485" i="11"/>
  <c r="AH485" i="11"/>
  <c r="AI485" i="11"/>
  <c r="AJ485" i="11"/>
  <c r="AD486" i="11"/>
  <c r="AE486" i="11"/>
  <c r="AF486" i="11"/>
  <c r="AG486" i="11"/>
  <c r="AH486" i="11"/>
  <c r="AI486" i="11"/>
  <c r="AJ486" i="11"/>
  <c r="AD487" i="11"/>
  <c r="AE487" i="11"/>
  <c r="AF487" i="11"/>
  <c r="AG487" i="11"/>
  <c r="AH487" i="11"/>
  <c r="AI487" i="11"/>
  <c r="AJ487" i="11"/>
  <c r="AD488" i="11"/>
  <c r="AE488" i="11"/>
  <c r="AF488" i="11"/>
  <c r="AG488" i="11"/>
  <c r="AH488" i="11"/>
  <c r="AI488" i="11"/>
  <c r="AJ488" i="11"/>
  <c r="AD489" i="11"/>
  <c r="AE489" i="11"/>
  <c r="AF489" i="11"/>
  <c r="AG489" i="11"/>
  <c r="AH489" i="11"/>
  <c r="AI489" i="11"/>
  <c r="AJ489" i="11"/>
  <c r="AD490" i="11"/>
  <c r="AE490" i="11"/>
  <c r="AF490" i="11"/>
  <c r="AG490" i="11"/>
  <c r="AH490" i="11"/>
  <c r="AI490" i="11"/>
  <c r="AJ490" i="11"/>
  <c r="AD491" i="11"/>
  <c r="AE491" i="11"/>
  <c r="AF491" i="11"/>
  <c r="AG491" i="11"/>
  <c r="AH491" i="11"/>
  <c r="AI491" i="11"/>
  <c r="AJ491" i="11"/>
  <c r="AD492" i="11"/>
  <c r="AE492" i="11"/>
  <c r="AF492" i="11"/>
  <c r="AG492" i="11"/>
  <c r="AH492" i="11"/>
  <c r="AI492" i="11"/>
  <c r="AJ492" i="11"/>
  <c r="AD493" i="11"/>
  <c r="AE493" i="11"/>
  <c r="AF493" i="11"/>
  <c r="AG493" i="11"/>
  <c r="AH493" i="11"/>
  <c r="AI493" i="11"/>
  <c r="AJ493" i="11"/>
  <c r="AD494" i="11"/>
  <c r="AE494" i="11"/>
  <c r="AF494" i="11"/>
  <c r="AG494" i="11"/>
  <c r="AH494" i="11"/>
  <c r="AI494" i="11"/>
  <c r="AJ494" i="11"/>
  <c r="AD495" i="11"/>
  <c r="AE495" i="11"/>
  <c r="AF495" i="11"/>
  <c r="AG495" i="11"/>
  <c r="AH495" i="11"/>
  <c r="AI495" i="11"/>
  <c r="AJ495" i="11"/>
  <c r="AD496" i="11"/>
  <c r="AE496" i="11"/>
  <c r="AF496" i="11"/>
  <c r="AG496" i="11"/>
  <c r="AH496" i="11"/>
  <c r="AI496" i="11"/>
  <c r="AJ496" i="11"/>
  <c r="AD497" i="11"/>
  <c r="AE497" i="11"/>
  <c r="AF497" i="11"/>
  <c r="AG497" i="11"/>
  <c r="AH497" i="11"/>
  <c r="AI497" i="11"/>
  <c r="AJ497" i="11"/>
  <c r="AD498" i="11"/>
  <c r="AE498" i="11"/>
  <c r="AF498" i="11"/>
  <c r="AG498" i="11"/>
  <c r="AH498" i="11"/>
  <c r="AI498" i="11"/>
  <c r="AJ498" i="11"/>
  <c r="AD499" i="11"/>
  <c r="AE499" i="11"/>
  <c r="AF499" i="11"/>
  <c r="AG499" i="11"/>
  <c r="AH499" i="11"/>
  <c r="AI499" i="11"/>
  <c r="AJ499" i="11"/>
  <c r="AD500" i="11"/>
  <c r="AE500" i="11"/>
  <c r="AF500" i="11"/>
  <c r="AG500" i="11"/>
  <c r="AH500" i="11"/>
  <c r="AI500" i="11"/>
  <c r="AJ500" i="11"/>
  <c r="AD501" i="11"/>
  <c r="AE501" i="11"/>
  <c r="AF501" i="11"/>
  <c r="AG501" i="11"/>
  <c r="AH501" i="11"/>
  <c r="AI501" i="11"/>
  <c r="AJ501" i="11"/>
  <c r="AD502" i="11"/>
  <c r="AE502" i="11"/>
  <c r="AF502" i="11"/>
  <c r="AG502" i="11"/>
  <c r="AH502" i="11"/>
  <c r="AI502" i="11"/>
  <c r="AJ502" i="11"/>
  <c r="AD503" i="11"/>
  <c r="AE503" i="11"/>
  <c r="AF503" i="11"/>
  <c r="AG503" i="11"/>
  <c r="AH503" i="11"/>
  <c r="AI503" i="11"/>
  <c r="AJ503" i="11"/>
  <c r="AD504" i="11"/>
  <c r="AE504" i="11"/>
  <c r="AF504" i="11"/>
  <c r="AG504" i="11"/>
  <c r="AH504" i="11"/>
  <c r="AI504" i="11"/>
  <c r="AJ504" i="11"/>
  <c r="AD505" i="11"/>
  <c r="AE505" i="11"/>
  <c r="AF505" i="11"/>
  <c r="AG505" i="11"/>
  <c r="AH505" i="11"/>
  <c r="AI505" i="11"/>
  <c r="AJ505" i="11"/>
  <c r="AD506" i="11"/>
  <c r="AE506" i="11"/>
  <c r="AF506" i="11"/>
  <c r="AG506" i="11"/>
  <c r="AH506" i="11"/>
  <c r="AI506" i="11"/>
  <c r="AJ506" i="11"/>
  <c r="AD507" i="11"/>
  <c r="AE507" i="11"/>
  <c r="AF507" i="11"/>
  <c r="AG507" i="11"/>
  <c r="AH507" i="11"/>
  <c r="AI507" i="11"/>
  <c r="AJ507" i="11"/>
  <c r="AD508" i="11"/>
  <c r="AE508" i="11"/>
  <c r="AF508" i="11"/>
  <c r="AG508" i="11"/>
  <c r="AH508" i="11"/>
  <c r="AI508" i="11"/>
  <c r="AJ508" i="11"/>
  <c r="AD509" i="11"/>
  <c r="AE509" i="11"/>
  <c r="AF509" i="11"/>
  <c r="AG509" i="11"/>
  <c r="AH509" i="11"/>
  <c r="AI509" i="11"/>
  <c r="AJ509" i="11"/>
  <c r="AD510" i="11"/>
  <c r="AE510" i="11"/>
  <c r="AF510" i="11"/>
  <c r="AG510" i="11"/>
  <c r="AH510" i="11"/>
  <c r="AI510" i="11"/>
  <c r="AJ510" i="11"/>
  <c r="AD511" i="11"/>
  <c r="AE511" i="11"/>
  <c r="AF511" i="11"/>
  <c r="AG511" i="11"/>
  <c r="AH511" i="11"/>
  <c r="AI511" i="11"/>
  <c r="AJ511" i="11"/>
  <c r="AD512" i="11"/>
  <c r="AE512" i="11"/>
  <c r="AF512" i="11"/>
  <c r="AG512" i="11"/>
  <c r="AH512" i="11"/>
  <c r="AI512" i="11"/>
  <c r="AJ512" i="11"/>
  <c r="AD513" i="11"/>
  <c r="AE513" i="11"/>
  <c r="AF513" i="11"/>
  <c r="AG513" i="11"/>
  <c r="AH513" i="11"/>
  <c r="AI513" i="11"/>
  <c r="AJ513" i="11"/>
  <c r="AD514" i="11"/>
  <c r="AE514" i="11"/>
  <c r="AF514" i="11"/>
  <c r="AG514" i="11"/>
  <c r="AH514" i="11"/>
  <c r="AI514" i="11"/>
  <c r="AJ514" i="11"/>
  <c r="AD515" i="11"/>
  <c r="AE515" i="11"/>
  <c r="AF515" i="11"/>
  <c r="AG515" i="11"/>
  <c r="AH515" i="11"/>
  <c r="AI515" i="11"/>
  <c r="AJ515" i="11"/>
  <c r="AD516" i="11"/>
  <c r="AE516" i="11"/>
  <c r="AF516" i="11"/>
  <c r="AG516" i="11"/>
  <c r="AH516" i="11"/>
  <c r="AI516" i="11"/>
  <c r="AJ516" i="11"/>
  <c r="AD517" i="11"/>
  <c r="AE517" i="11"/>
  <c r="AF517" i="11"/>
  <c r="AG517" i="11"/>
  <c r="AH517" i="11"/>
  <c r="AI517" i="11"/>
  <c r="AJ517" i="11"/>
  <c r="AD518" i="11"/>
  <c r="AE518" i="11"/>
  <c r="AF518" i="11"/>
  <c r="AG518" i="11"/>
  <c r="AH518" i="11"/>
  <c r="AI518" i="11"/>
  <c r="AJ518" i="11"/>
  <c r="AD519" i="11"/>
  <c r="AE519" i="11"/>
  <c r="AF519" i="11"/>
  <c r="AG519" i="11"/>
  <c r="AH519" i="11"/>
  <c r="AI519" i="11"/>
  <c r="AJ519" i="11"/>
  <c r="AD520" i="11"/>
  <c r="AE520" i="11"/>
  <c r="AF520" i="11"/>
  <c r="AG520" i="11"/>
  <c r="AH520" i="11"/>
  <c r="AI520" i="11"/>
  <c r="AJ520" i="11"/>
  <c r="AD521" i="11"/>
  <c r="AE521" i="11"/>
  <c r="AF521" i="11"/>
  <c r="AG521" i="11"/>
  <c r="AH521" i="11"/>
  <c r="AI521" i="11"/>
  <c r="AJ521" i="11"/>
  <c r="AD522" i="11"/>
  <c r="AE522" i="11"/>
  <c r="AF522" i="11"/>
  <c r="AG522" i="11"/>
  <c r="AH522" i="11"/>
  <c r="AI522" i="11"/>
  <c r="AJ522" i="11"/>
  <c r="AD523" i="11"/>
  <c r="AE523" i="11"/>
  <c r="AF523" i="11"/>
  <c r="AG523" i="11"/>
  <c r="AH523" i="11"/>
  <c r="AI523" i="11"/>
  <c r="AJ523" i="11"/>
  <c r="AD524" i="11"/>
  <c r="AE524" i="11"/>
  <c r="AF524" i="11"/>
  <c r="AG524" i="11"/>
  <c r="AH524" i="11"/>
  <c r="AI524" i="11"/>
  <c r="AJ524" i="11"/>
  <c r="AD525" i="11"/>
  <c r="AE525" i="11"/>
  <c r="AF525" i="11"/>
  <c r="AG525" i="11"/>
  <c r="AH525" i="11"/>
  <c r="AI525" i="11"/>
  <c r="AJ525" i="11"/>
  <c r="AD526" i="11"/>
  <c r="AE526" i="11"/>
  <c r="AF526" i="11"/>
  <c r="AG526" i="11"/>
  <c r="AH526" i="11"/>
  <c r="AI526" i="11"/>
  <c r="AJ526" i="11"/>
  <c r="AD527" i="11"/>
  <c r="AE527" i="11"/>
  <c r="AF527" i="11"/>
  <c r="AG527" i="11"/>
  <c r="AH527" i="11"/>
  <c r="AI527" i="11"/>
  <c r="AJ527" i="11"/>
  <c r="AD528" i="11"/>
  <c r="AE528" i="11"/>
  <c r="AF528" i="11"/>
  <c r="AG528" i="11"/>
  <c r="AH528" i="11"/>
  <c r="AI528" i="11"/>
  <c r="AJ528" i="11"/>
  <c r="AD529" i="11"/>
  <c r="AE529" i="11"/>
  <c r="AF529" i="11"/>
  <c r="AG529" i="11"/>
  <c r="AH529" i="11"/>
  <c r="AI529" i="11"/>
  <c r="AJ529" i="11"/>
  <c r="AD530" i="11"/>
  <c r="AE530" i="11"/>
  <c r="AF530" i="11"/>
  <c r="AG530" i="11"/>
  <c r="AH530" i="11"/>
  <c r="AI530" i="11"/>
  <c r="AJ530" i="11"/>
  <c r="AD531" i="11"/>
  <c r="AE531" i="11"/>
  <c r="AF531" i="11"/>
  <c r="AG531" i="11"/>
  <c r="AH531" i="11"/>
  <c r="AI531" i="11"/>
  <c r="AJ531" i="11"/>
  <c r="AD532" i="11"/>
  <c r="AE532" i="11"/>
  <c r="AF532" i="11"/>
  <c r="AG532" i="11"/>
  <c r="AH532" i="11"/>
  <c r="AI532" i="11"/>
  <c r="AJ532" i="11"/>
  <c r="AD533" i="11"/>
  <c r="AE533" i="11"/>
  <c r="AF533" i="11"/>
  <c r="AG533" i="11"/>
  <c r="AH533" i="11"/>
  <c r="AI533" i="11"/>
  <c r="AJ533" i="11"/>
  <c r="AD534" i="11"/>
  <c r="AE534" i="11"/>
  <c r="AF534" i="11"/>
  <c r="AG534" i="11"/>
  <c r="AH534" i="11"/>
  <c r="AI534" i="11"/>
  <c r="AJ534" i="11"/>
  <c r="AD535" i="11"/>
  <c r="AE535" i="11"/>
  <c r="AF535" i="11"/>
  <c r="AG535" i="11"/>
  <c r="AH535" i="11"/>
  <c r="AI535" i="11"/>
  <c r="AJ535" i="11"/>
  <c r="AD536" i="11"/>
  <c r="AE536" i="11"/>
  <c r="AF536" i="11"/>
  <c r="AG536" i="11"/>
  <c r="AH536" i="11"/>
  <c r="AI536" i="11"/>
  <c r="AJ536" i="11"/>
  <c r="AD537" i="11"/>
  <c r="AE537" i="11"/>
  <c r="AF537" i="11"/>
  <c r="AG537" i="11"/>
  <c r="AH537" i="11"/>
  <c r="AI537" i="11"/>
  <c r="AJ537" i="11"/>
  <c r="AD538" i="11"/>
  <c r="AE538" i="11"/>
  <c r="AF538" i="11"/>
  <c r="AG538" i="11"/>
  <c r="AH538" i="11"/>
  <c r="AI538" i="11"/>
  <c r="AJ538" i="11"/>
  <c r="AD539" i="11"/>
  <c r="AE539" i="11"/>
  <c r="AF539" i="11"/>
  <c r="AG539" i="11"/>
  <c r="AH539" i="11"/>
  <c r="AI539" i="11"/>
  <c r="AJ539" i="11"/>
  <c r="AD540" i="11"/>
  <c r="AE540" i="11"/>
  <c r="AF540" i="11"/>
  <c r="AG540" i="11"/>
  <c r="AH540" i="11"/>
  <c r="AI540" i="11"/>
  <c r="AJ540" i="11"/>
  <c r="AD541" i="11"/>
  <c r="AE541" i="11"/>
  <c r="AF541" i="11"/>
  <c r="AG541" i="11"/>
  <c r="AH541" i="11"/>
  <c r="AI541" i="11"/>
  <c r="AJ541" i="11"/>
  <c r="AD542" i="11"/>
  <c r="AE542" i="11"/>
  <c r="AF542" i="11"/>
  <c r="AG542" i="11"/>
  <c r="AH542" i="11"/>
  <c r="AI542" i="11"/>
  <c r="AJ542" i="11"/>
  <c r="AD543" i="11"/>
  <c r="AE543" i="11"/>
  <c r="AF543" i="11"/>
  <c r="AG543" i="11"/>
  <c r="AH543" i="11"/>
  <c r="AI543" i="11"/>
  <c r="AJ543" i="11"/>
  <c r="AD544" i="11"/>
  <c r="AE544" i="11"/>
  <c r="AF544" i="11"/>
  <c r="AG544" i="11"/>
  <c r="AH544" i="11"/>
  <c r="AI544" i="11"/>
  <c r="AJ544" i="11"/>
  <c r="AD545" i="11"/>
  <c r="AE545" i="11"/>
  <c r="AF545" i="11"/>
  <c r="AG545" i="11"/>
  <c r="AH545" i="11"/>
  <c r="AI545" i="11"/>
  <c r="AJ545" i="11"/>
  <c r="AD546" i="11"/>
  <c r="AE546" i="11"/>
  <c r="AF546" i="11"/>
  <c r="AG546" i="11"/>
  <c r="AH546" i="11"/>
  <c r="AI546" i="11"/>
  <c r="AJ546" i="11"/>
  <c r="AD547" i="11"/>
  <c r="AE547" i="11"/>
  <c r="AF547" i="11"/>
  <c r="AG547" i="11"/>
  <c r="AH547" i="11"/>
  <c r="AI547" i="11"/>
  <c r="AJ547" i="11"/>
  <c r="AD548" i="11"/>
  <c r="AE548" i="11"/>
  <c r="AF548" i="11"/>
  <c r="AG548" i="11"/>
  <c r="AH548" i="11"/>
  <c r="AI548" i="11"/>
  <c r="AJ548" i="11"/>
  <c r="AD549" i="11"/>
  <c r="AE549" i="11"/>
  <c r="AF549" i="11"/>
  <c r="AG549" i="11"/>
  <c r="AH549" i="11"/>
  <c r="AI549" i="11"/>
  <c r="AJ549" i="11"/>
  <c r="AD550" i="11"/>
  <c r="AE550" i="11"/>
  <c r="AF550" i="11"/>
  <c r="AG550" i="11"/>
  <c r="AH550" i="11"/>
  <c r="AI550" i="11"/>
  <c r="AJ550" i="11"/>
  <c r="AD551" i="11"/>
  <c r="AE551" i="11"/>
  <c r="AF551" i="11"/>
  <c r="AG551" i="11"/>
  <c r="AH551" i="11"/>
  <c r="AI551" i="11"/>
  <c r="AJ551" i="11"/>
  <c r="AD552" i="11"/>
  <c r="AE552" i="11"/>
  <c r="AF552" i="11"/>
  <c r="AG552" i="11"/>
  <c r="AH552" i="11"/>
  <c r="AI552" i="11"/>
  <c r="AJ552" i="11"/>
  <c r="AD553" i="11"/>
  <c r="AE553" i="11"/>
  <c r="AF553" i="11"/>
  <c r="AG553" i="11"/>
  <c r="AH553" i="11"/>
  <c r="AI553" i="11"/>
  <c r="AJ553" i="11"/>
  <c r="AD554" i="11"/>
  <c r="AE554" i="11"/>
  <c r="AF554" i="11"/>
  <c r="AG554" i="11"/>
  <c r="AH554" i="11"/>
  <c r="AI554" i="11"/>
  <c r="AJ554" i="11"/>
  <c r="AD555" i="11"/>
  <c r="AE555" i="11"/>
  <c r="AF555" i="11"/>
  <c r="AG555" i="11"/>
  <c r="AH555" i="11"/>
  <c r="AI555" i="11"/>
  <c r="AJ555" i="11"/>
  <c r="AD556" i="11"/>
  <c r="AE556" i="11"/>
  <c r="AF556" i="11"/>
  <c r="AG556" i="11"/>
  <c r="AH556" i="11"/>
  <c r="AI556" i="11"/>
  <c r="AJ556" i="11"/>
  <c r="AD557" i="11"/>
  <c r="AE557" i="11"/>
  <c r="AF557" i="11"/>
  <c r="AG557" i="11"/>
  <c r="AH557" i="11"/>
  <c r="AI557" i="11"/>
  <c r="AJ557" i="11"/>
  <c r="AD558" i="11"/>
  <c r="AE558" i="11"/>
  <c r="AF558" i="11"/>
  <c r="AG558" i="11"/>
  <c r="AH558" i="11"/>
  <c r="AI558" i="11"/>
  <c r="AJ558" i="11"/>
  <c r="AD559" i="11"/>
  <c r="AE559" i="11"/>
  <c r="AF559" i="11"/>
  <c r="AG559" i="11"/>
  <c r="AH559" i="11"/>
  <c r="AI559" i="11"/>
  <c r="AJ559" i="11"/>
  <c r="AD560" i="11"/>
  <c r="AE560" i="11"/>
  <c r="AF560" i="11"/>
  <c r="AG560" i="11"/>
  <c r="AH560" i="11"/>
  <c r="AI560" i="11"/>
  <c r="AJ560" i="11"/>
  <c r="AD561" i="11"/>
  <c r="AE561" i="11"/>
  <c r="AF561" i="11"/>
  <c r="AG561" i="11"/>
  <c r="AH561" i="11"/>
  <c r="AI561" i="11"/>
  <c r="AJ561" i="11"/>
  <c r="AD562" i="11"/>
  <c r="AE562" i="11"/>
  <c r="AF562" i="11"/>
  <c r="AG562" i="11"/>
  <c r="AH562" i="11"/>
  <c r="AI562" i="11"/>
  <c r="AJ562" i="11"/>
  <c r="AD563" i="11"/>
  <c r="AE563" i="11"/>
  <c r="AF563" i="11"/>
  <c r="AG563" i="11"/>
  <c r="AH563" i="11"/>
  <c r="AI563" i="11"/>
  <c r="AJ563" i="11"/>
  <c r="AD564" i="11"/>
  <c r="AE564" i="11"/>
  <c r="AF564" i="11"/>
  <c r="AG564" i="11"/>
  <c r="AH564" i="11"/>
  <c r="AI564" i="11"/>
  <c r="AJ564" i="11"/>
  <c r="AD565" i="11"/>
  <c r="AE565" i="11"/>
  <c r="AF565" i="11"/>
  <c r="AG565" i="11"/>
  <c r="AH565" i="11"/>
  <c r="AI565" i="11"/>
  <c r="AJ565" i="11"/>
  <c r="AD566" i="11"/>
  <c r="AE566" i="11"/>
  <c r="AF566" i="11"/>
  <c r="AG566" i="11"/>
  <c r="AH566" i="11"/>
  <c r="AI566" i="11"/>
  <c r="AJ566" i="11"/>
  <c r="AD567" i="11"/>
  <c r="AE567" i="11"/>
  <c r="AF567" i="11"/>
  <c r="AG567" i="11"/>
  <c r="AH567" i="11"/>
  <c r="AI567" i="11"/>
  <c r="AJ567" i="11"/>
  <c r="AD568" i="11"/>
  <c r="AE568" i="11"/>
  <c r="AF568" i="11"/>
  <c r="AG568" i="11"/>
  <c r="AH568" i="11"/>
  <c r="AI568" i="11"/>
  <c r="AJ568" i="11"/>
  <c r="AD569" i="11"/>
  <c r="AE569" i="11"/>
  <c r="AF569" i="11"/>
  <c r="AG569" i="11"/>
  <c r="AH569" i="11"/>
  <c r="AI569" i="11"/>
  <c r="AJ569" i="11"/>
  <c r="AD570" i="11"/>
  <c r="AE570" i="11"/>
  <c r="AF570" i="11"/>
  <c r="AG570" i="11"/>
  <c r="AH570" i="11"/>
  <c r="AI570" i="11"/>
  <c r="AJ570" i="11"/>
  <c r="AD571" i="11"/>
  <c r="AE571" i="11"/>
  <c r="AF571" i="11"/>
  <c r="AG571" i="11"/>
  <c r="AH571" i="11"/>
  <c r="AI571" i="11"/>
  <c r="AJ571" i="11"/>
  <c r="AD572" i="11"/>
  <c r="AE572" i="11"/>
  <c r="AF572" i="11"/>
  <c r="AG572" i="11"/>
  <c r="AH572" i="11"/>
  <c r="AI572" i="11"/>
  <c r="AJ572" i="11"/>
  <c r="AD573" i="11"/>
  <c r="AE573" i="11"/>
  <c r="AF573" i="11"/>
  <c r="AG573" i="11"/>
  <c r="AH573" i="11"/>
  <c r="AI573" i="11"/>
  <c r="AJ573" i="11"/>
  <c r="AD574" i="11"/>
  <c r="AE574" i="11"/>
  <c r="AF574" i="11"/>
  <c r="AG574" i="11"/>
  <c r="AH574" i="11"/>
  <c r="AI574" i="11"/>
  <c r="AJ574" i="11"/>
  <c r="AD575" i="11"/>
  <c r="AE575" i="11"/>
  <c r="AF575" i="11"/>
  <c r="AG575" i="11"/>
  <c r="AH575" i="11"/>
  <c r="AI575" i="11"/>
  <c r="AJ575" i="11"/>
  <c r="AD576" i="11"/>
  <c r="AE576" i="11"/>
  <c r="AF576" i="11"/>
  <c r="AG576" i="11"/>
  <c r="AH576" i="11"/>
  <c r="AI576" i="11"/>
  <c r="AJ576" i="11"/>
  <c r="AD577" i="11"/>
  <c r="AE577" i="11"/>
  <c r="AF577" i="11"/>
  <c r="AG577" i="11"/>
  <c r="AH577" i="11"/>
  <c r="AI577" i="11"/>
  <c r="AJ577" i="11"/>
  <c r="AD578" i="11"/>
  <c r="AE578" i="11"/>
  <c r="AF578" i="11"/>
  <c r="AG578" i="11"/>
  <c r="AH578" i="11"/>
  <c r="AI578" i="11"/>
  <c r="AJ578" i="11"/>
  <c r="AD579" i="11"/>
  <c r="AE579" i="11"/>
  <c r="AF579" i="11"/>
  <c r="AG579" i="11"/>
  <c r="AH579" i="11"/>
  <c r="AI579" i="11"/>
  <c r="AJ579" i="11"/>
  <c r="AD580" i="11"/>
  <c r="AE580" i="11"/>
  <c r="AF580" i="11"/>
  <c r="AG580" i="11"/>
  <c r="AH580" i="11"/>
  <c r="AI580" i="11"/>
  <c r="AJ580" i="11"/>
  <c r="AD581" i="11"/>
  <c r="AE581" i="11"/>
  <c r="AF581" i="11"/>
  <c r="AG581" i="11"/>
  <c r="AH581" i="11"/>
  <c r="AI581" i="11"/>
  <c r="AJ581" i="11"/>
  <c r="AD582" i="11"/>
  <c r="AE582" i="11"/>
  <c r="AF582" i="11"/>
  <c r="AG582" i="11"/>
  <c r="AH582" i="11"/>
  <c r="AI582" i="11"/>
  <c r="AJ582" i="11"/>
  <c r="AD583" i="11"/>
  <c r="AE583" i="11"/>
  <c r="AF583" i="11"/>
  <c r="AG583" i="11"/>
  <c r="AH583" i="11"/>
  <c r="AI583" i="11"/>
  <c r="AJ583" i="11"/>
  <c r="AD584" i="11"/>
  <c r="AE584" i="11"/>
  <c r="AF584" i="11"/>
  <c r="AG584" i="11"/>
  <c r="AH584" i="11"/>
  <c r="AI584" i="11"/>
  <c r="AJ584" i="11"/>
  <c r="AD585" i="11"/>
  <c r="AE585" i="11"/>
  <c r="AF585" i="11"/>
  <c r="AG585" i="11"/>
  <c r="AH585" i="11"/>
  <c r="AI585" i="11"/>
  <c r="AJ585" i="11"/>
  <c r="AD586" i="11"/>
  <c r="AE586" i="11"/>
  <c r="AF586" i="11"/>
  <c r="AG586" i="11"/>
  <c r="AH586" i="11"/>
  <c r="AI586" i="11"/>
  <c r="AJ586" i="11"/>
  <c r="AD587" i="11"/>
  <c r="AE587" i="11"/>
  <c r="AF587" i="11"/>
  <c r="AG587" i="11"/>
  <c r="AH587" i="11"/>
  <c r="AI587" i="11"/>
  <c r="AJ587" i="11"/>
  <c r="AD588" i="11"/>
  <c r="AE588" i="11"/>
  <c r="AF588" i="11"/>
  <c r="AG588" i="11"/>
  <c r="AH588" i="11"/>
  <c r="AI588" i="11"/>
  <c r="AJ588" i="11"/>
  <c r="AD589" i="11"/>
  <c r="AE589" i="11"/>
  <c r="AF589" i="11"/>
  <c r="AG589" i="11"/>
  <c r="AH589" i="11"/>
  <c r="AI589" i="11"/>
  <c r="AJ589" i="11"/>
  <c r="AD590" i="11"/>
  <c r="AE590" i="11"/>
  <c r="AF590" i="11"/>
  <c r="AG590" i="11"/>
  <c r="AH590" i="11"/>
  <c r="AI590" i="11"/>
  <c r="AJ590" i="11"/>
  <c r="AD591" i="11"/>
  <c r="AE591" i="11"/>
  <c r="AF591" i="11"/>
  <c r="AG591" i="11"/>
  <c r="AH591" i="11"/>
  <c r="AI591" i="11"/>
  <c r="AJ591" i="11"/>
  <c r="AD592" i="11"/>
  <c r="AE592" i="11"/>
  <c r="AF592" i="11"/>
  <c r="AG592" i="11"/>
  <c r="AH592" i="11"/>
  <c r="AI592" i="11"/>
  <c r="AJ592" i="11"/>
  <c r="AD593" i="11"/>
  <c r="AE593" i="11"/>
  <c r="AF593" i="11"/>
  <c r="AG593" i="11"/>
  <c r="AH593" i="11"/>
  <c r="AI593" i="11"/>
  <c r="AJ593" i="11"/>
  <c r="AD594" i="11"/>
  <c r="AE594" i="11"/>
  <c r="AF594" i="11"/>
  <c r="AG594" i="11"/>
  <c r="AH594" i="11"/>
  <c r="AI594" i="11"/>
  <c r="AJ594" i="11"/>
  <c r="AD595" i="11"/>
  <c r="AE595" i="11"/>
  <c r="AF595" i="11"/>
  <c r="AG595" i="11"/>
  <c r="AH595" i="11"/>
  <c r="AI595" i="11"/>
  <c r="AJ595" i="11"/>
  <c r="AD596" i="11"/>
  <c r="AE596" i="11"/>
  <c r="AF596" i="11"/>
  <c r="AG596" i="11"/>
  <c r="AH596" i="11"/>
  <c r="AI596" i="11"/>
  <c r="AJ596" i="11"/>
  <c r="AD597" i="11"/>
  <c r="AE597" i="11"/>
  <c r="AF597" i="11"/>
  <c r="AG597" i="11"/>
  <c r="AH597" i="11"/>
  <c r="AI597" i="11"/>
  <c r="AJ597" i="11"/>
  <c r="AD598" i="11"/>
  <c r="AE598" i="11"/>
  <c r="AF598" i="11"/>
  <c r="AG598" i="11"/>
  <c r="AH598" i="11"/>
  <c r="AI598" i="11"/>
  <c r="AJ598" i="11"/>
  <c r="AD599" i="11"/>
  <c r="AE599" i="11"/>
  <c r="AF599" i="11"/>
  <c r="AG599" i="11"/>
  <c r="AH599" i="11"/>
  <c r="AI599" i="11"/>
  <c r="AJ599" i="11"/>
  <c r="AD600" i="11"/>
  <c r="AE600" i="11"/>
  <c r="AF600" i="11"/>
  <c r="AG600" i="11"/>
  <c r="AH600" i="11"/>
  <c r="AI600" i="11"/>
  <c r="AJ600" i="11"/>
  <c r="AD601" i="11"/>
  <c r="AE601" i="11"/>
  <c r="AF601" i="11"/>
  <c r="AG601" i="11"/>
  <c r="AH601" i="11"/>
  <c r="AI601" i="11"/>
  <c r="AJ601" i="11"/>
  <c r="AD602" i="11"/>
  <c r="AE602" i="11"/>
  <c r="AF602" i="11"/>
  <c r="AG602" i="11"/>
  <c r="AH602" i="11"/>
  <c r="AI602" i="11"/>
  <c r="AJ602" i="11"/>
  <c r="AD603" i="11"/>
  <c r="AE603" i="11"/>
  <c r="AF603" i="11"/>
  <c r="AG603" i="11"/>
  <c r="AH603" i="11"/>
  <c r="AI603" i="11"/>
  <c r="AJ603" i="11"/>
  <c r="AD604" i="11"/>
  <c r="AE604" i="11"/>
  <c r="AF604" i="11"/>
  <c r="AG604" i="11"/>
  <c r="AH604" i="11"/>
  <c r="AI604" i="11"/>
  <c r="AJ604" i="11"/>
  <c r="AD605" i="11"/>
  <c r="AE605" i="11"/>
  <c r="AF605" i="11"/>
  <c r="AG605" i="11"/>
  <c r="AH605" i="11"/>
  <c r="AI605" i="11"/>
  <c r="AJ605" i="11"/>
  <c r="AD606" i="11"/>
  <c r="AE606" i="11"/>
  <c r="AF606" i="11"/>
  <c r="AG606" i="11"/>
  <c r="AH606" i="11"/>
  <c r="AI606" i="11"/>
  <c r="AJ606" i="11"/>
  <c r="AD607" i="11"/>
  <c r="AE607" i="11"/>
  <c r="AF607" i="11"/>
  <c r="AG607" i="11"/>
  <c r="AH607" i="11"/>
  <c r="AI607" i="11"/>
  <c r="AJ607" i="11"/>
  <c r="AD608" i="11"/>
  <c r="AE608" i="11"/>
  <c r="AF608" i="11"/>
  <c r="AG608" i="11"/>
  <c r="AH608" i="11"/>
  <c r="AI608" i="11"/>
  <c r="AJ608" i="11"/>
  <c r="AD609" i="11"/>
  <c r="AE609" i="11"/>
  <c r="AF609" i="11"/>
  <c r="AG609" i="11"/>
  <c r="AH609" i="11"/>
  <c r="AI609" i="11"/>
  <c r="AJ609" i="11"/>
  <c r="AD610" i="11"/>
  <c r="AE610" i="11"/>
  <c r="AF610" i="11"/>
  <c r="AG610" i="11"/>
  <c r="AH610" i="11"/>
  <c r="AI610" i="11"/>
  <c r="AJ610" i="11"/>
  <c r="AD611" i="11"/>
  <c r="AE611" i="11"/>
  <c r="AF611" i="11"/>
  <c r="AG611" i="11"/>
  <c r="AH611" i="11"/>
  <c r="AI611" i="11"/>
  <c r="AJ611" i="11"/>
  <c r="AD612" i="11"/>
  <c r="AE612" i="11"/>
  <c r="AF612" i="11"/>
  <c r="AG612" i="11"/>
  <c r="AH612" i="11"/>
  <c r="AI612" i="11"/>
  <c r="AJ612" i="11"/>
  <c r="AD613" i="11"/>
  <c r="AE613" i="11"/>
  <c r="AF613" i="11"/>
  <c r="AG613" i="11"/>
  <c r="AH613" i="11"/>
  <c r="AI613" i="11"/>
  <c r="AJ613" i="11"/>
  <c r="AD614" i="11"/>
  <c r="AE614" i="11"/>
  <c r="AF614" i="11"/>
  <c r="AG614" i="11"/>
  <c r="AH614" i="11"/>
  <c r="AI614" i="11"/>
  <c r="AJ614" i="11"/>
  <c r="AD615" i="11"/>
  <c r="AE615" i="11"/>
  <c r="AF615" i="11"/>
  <c r="AG615" i="11"/>
  <c r="AH615" i="11"/>
  <c r="AI615" i="11"/>
  <c r="AJ615" i="11"/>
  <c r="AD616" i="11"/>
  <c r="AE616" i="11"/>
  <c r="AF616" i="11"/>
  <c r="AG616" i="11"/>
  <c r="AH616" i="11"/>
  <c r="AI616" i="11"/>
  <c r="AJ616" i="11"/>
  <c r="AD617" i="11"/>
  <c r="AE617" i="11"/>
  <c r="AF617" i="11"/>
  <c r="AG617" i="11"/>
  <c r="AH617" i="11"/>
  <c r="AI617" i="11"/>
  <c r="AJ617" i="11"/>
  <c r="AD618" i="11"/>
  <c r="AE618" i="11"/>
  <c r="AF618" i="11"/>
  <c r="AG618" i="11"/>
  <c r="AH618" i="11"/>
  <c r="AI618" i="11"/>
  <c r="AJ618" i="11"/>
  <c r="AD619" i="11"/>
  <c r="AE619" i="11"/>
  <c r="AF619" i="11"/>
  <c r="AG619" i="11"/>
  <c r="AH619" i="11"/>
  <c r="AI619" i="11"/>
  <c r="AJ619" i="11"/>
  <c r="AD620" i="11"/>
  <c r="AE620" i="11"/>
  <c r="AF620" i="11"/>
  <c r="AG620" i="11"/>
  <c r="AH620" i="11"/>
  <c r="AI620" i="11"/>
  <c r="AJ620" i="11"/>
  <c r="AD621" i="11"/>
  <c r="AE621" i="11"/>
  <c r="AF621" i="11"/>
  <c r="AG621" i="11"/>
  <c r="AH621" i="11"/>
  <c r="AI621" i="11"/>
  <c r="AJ621" i="11"/>
  <c r="AD622" i="11"/>
  <c r="AE622" i="11"/>
  <c r="AF622" i="11"/>
  <c r="AG622" i="11"/>
  <c r="AH622" i="11"/>
  <c r="AI622" i="11"/>
  <c r="AJ622" i="11"/>
  <c r="AD623" i="11"/>
  <c r="AE623" i="11"/>
  <c r="AF623" i="11"/>
  <c r="AG623" i="11"/>
  <c r="AH623" i="11"/>
  <c r="AI623" i="11"/>
  <c r="AJ623" i="11"/>
  <c r="AD624" i="11"/>
  <c r="AE624" i="11"/>
  <c r="AF624" i="11"/>
  <c r="AG624" i="11"/>
  <c r="AH624" i="11"/>
  <c r="AI624" i="11"/>
  <c r="AJ624" i="11"/>
  <c r="AD625" i="11"/>
  <c r="AE625" i="11"/>
  <c r="AF625" i="11"/>
  <c r="AG625" i="11"/>
  <c r="AH625" i="11"/>
  <c r="AI625" i="11"/>
  <c r="AJ625" i="11"/>
  <c r="AD626" i="11"/>
  <c r="AE626" i="11"/>
  <c r="AF626" i="11"/>
  <c r="AG626" i="11"/>
  <c r="AH626" i="11"/>
  <c r="AI626" i="11"/>
  <c r="AJ626" i="11"/>
  <c r="AD627" i="11"/>
  <c r="AE627" i="11"/>
  <c r="AF627" i="11"/>
  <c r="AG627" i="11"/>
  <c r="AH627" i="11"/>
  <c r="AI627" i="11"/>
  <c r="AJ627" i="11"/>
  <c r="AD628" i="11"/>
  <c r="AE628" i="11"/>
  <c r="AF628" i="11"/>
  <c r="AG628" i="11"/>
  <c r="AH628" i="11"/>
  <c r="AI628" i="11"/>
  <c r="AJ628" i="11"/>
  <c r="AD629" i="11"/>
  <c r="AE629" i="11"/>
  <c r="AF629" i="11"/>
  <c r="AG629" i="11"/>
  <c r="AH629" i="11"/>
  <c r="AI629" i="11"/>
  <c r="AJ629" i="11"/>
  <c r="AD630" i="11"/>
  <c r="AE630" i="11"/>
  <c r="AF630" i="11"/>
  <c r="AG630" i="11"/>
  <c r="AH630" i="11"/>
  <c r="AI630" i="11"/>
  <c r="AJ630" i="11"/>
  <c r="AD631" i="11"/>
  <c r="AE631" i="11"/>
  <c r="AF631" i="11"/>
  <c r="AG631" i="11"/>
  <c r="AH631" i="11"/>
  <c r="AI631" i="11"/>
  <c r="AJ631" i="11"/>
  <c r="AD632" i="11"/>
  <c r="AE632" i="11"/>
  <c r="AF632" i="11"/>
  <c r="AG632" i="11"/>
  <c r="AH632" i="11"/>
  <c r="AI632" i="11"/>
  <c r="AJ632" i="11"/>
  <c r="AD633" i="11"/>
  <c r="AE633" i="11"/>
  <c r="AF633" i="11"/>
  <c r="AG633" i="11"/>
  <c r="AH633" i="11"/>
  <c r="AI633" i="11"/>
  <c r="AJ633" i="11"/>
  <c r="AD634" i="11"/>
  <c r="AE634" i="11"/>
  <c r="AF634" i="11"/>
  <c r="AG634" i="11"/>
  <c r="AH634" i="11"/>
  <c r="AI634" i="11"/>
  <c r="AJ634" i="11"/>
  <c r="AD635" i="11"/>
  <c r="AE635" i="11"/>
  <c r="AF635" i="11"/>
  <c r="AG635" i="11"/>
  <c r="AH635" i="11"/>
  <c r="AI635" i="11"/>
  <c r="AJ635" i="11"/>
  <c r="AD636" i="11"/>
  <c r="AE636" i="11"/>
  <c r="AF636" i="11"/>
  <c r="AG636" i="11"/>
  <c r="AH636" i="11"/>
  <c r="AI636" i="11"/>
  <c r="AJ636" i="11"/>
  <c r="AD637" i="11"/>
  <c r="AE637" i="11"/>
  <c r="AF637" i="11"/>
  <c r="AG637" i="11"/>
  <c r="AH637" i="11"/>
  <c r="AI637" i="11"/>
  <c r="AJ637" i="11"/>
  <c r="AD638" i="11"/>
  <c r="AE638" i="11"/>
  <c r="AF638" i="11"/>
  <c r="AG638" i="11"/>
  <c r="AH638" i="11"/>
  <c r="AI638" i="11"/>
  <c r="AJ638" i="11"/>
  <c r="AD639" i="11"/>
  <c r="AE639" i="11"/>
  <c r="AF639" i="11"/>
  <c r="AG639" i="11"/>
  <c r="AH639" i="11"/>
  <c r="AI639" i="11"/>
  <c r="AJ639" i="11"/>
  <c r="AD640" i="11"/>
  <c r="AE640" i="11"/>
  <c r="AF640" i="11"/>
  <c r="AG640" i="11"/>
  <c r="AH640" i="11"/>
  <c r="AI640" i="11"/>
  <c r="AJ640" i="11"/>
  <c r="AD641" i="11"/>
  <c r="AE641" i="11"/>
  <c r="AF641" i="11"/>
  <c r="AG641" i="11"/>
  <c r="AH641" i="11"/>
  <c r="AI641" i="11"/>
  <c r="AJ641" i="11"/>
  <c r="AD642" i="11"/>
  <c r="AE642" i="11"/>
  <c r="AF642" i="11"/>
  <c r="AG642" i="11"/>
  <c r="AH642" i="11"/>
  <c r="AI642" i="11"/>
  <c r="AJ642" i="11"/>
  <c r="AD643" i="11"/>
  <c r="AE643" i="11"/>
  <c r="AF643" i="11"/>
  <c r="AG643" i="11"/>
  <c r="AH643" i="11"/>
  <c r="AI643" i="11"/>
  <c r="AJ643" i="11"/>
  <c r="AD644" i="11"/>
  <c r="AE644" i="11"/>
  <c r="AF644" i="11"/>
  <c r="AG644" i="11"/>
  <c r="AH644" i="11"/>
  <c r="AI644" i="11"/>
  <c r="AJ644" i="11"/>
  <c r="AD645" i="11"/>
  <c r="AE645" i="11"/>
  <c r="AF645" i="11"/>
  <c r="AG645" i="11"/>
  <c r="AH645" i="11"/>
  <c r="AI645" i="11"/>
  <c r="AJ645" i="11"/>
  <c r="AD646" i="11"/>
  <c r="AE646" i="11"/>
  <c r="AF646" i="11"/>
  <c r="AG646" i="11"/>
  <c r="AH646" i="11"/>
  <c r="AI646" i="11"/>
  <c r="AJ646" i="11"/>
  <c r="AD647" i="11"/>
  <c r="AE647" i="11"/>
  <c r="AF647" i="11"/>
  <c r="AG647" i="11"/>
  <c r="AH647" i="11"/>
  <c r="AI647" i="11"/>
  <c r="AJ647" i="11"/>
  <c r="AD648" i="11"/>
  <c r="AE648" i="11"/>
  <c r="AF648" i="11"/>
  <c r="AG648" i="11"/>
  <c r="AH648" i="11"/>
  <c r="AI648" i="11"/>
  <c r="AJ648" i="11"/>
  <c r="AD649" i="11"/>
  <c r="AE649" i="11"/>
  <c r="AF649" i="11"/>
  <c r="AG649" i="11"/>
  <c r="AH649" i="11"/>
  <c r="AI649" i="11"/>
  <c r="AJ649" i="11"/>
  <c r="AD650" i="11"/>
  <c r="AE650" i="11"/>
  <c r="AF650" i="11"/>
  <c r="AG650" i="11"/>
  <c r="AH650" i="11"/>
  <c r="AI650" i="11"/>
  <c r="AJ650" i="11"/>
  <c r="AD651" i="11"/>
  <c r="AE651" i="11"/>
  <c r="AF651" i="11"/>
  <c r="AG651" i="11"/>
  <c r="AH651" i="11"/>
  <c r="AI651" i="11"/>
  <c r="AJ651" i="11"/>
  <c r="AD652" i="11"/>
  <c r="AE652" i="11"/>
  <c r="AF652" i="11"/>
  <c r="AG652" i="11"/>
  <c r="AH652" i="11"/>
  <c r="AI652" i="11"/>
  <c r="AJ652" i="11"/>
  <c r="AD653" i="11"/>
  <c r="AE653" i="11"/>
  <c r="AF653" i="11"/>
  <c r="AG653" i="11"/>
  <c r="AH653" i="11"/>
  <c r="AI653" i="11"/>
  <c r="AJ653" i="11"/>
  <c r="AD654" i="11"/>
  <c r="AE654" i="11"/>
  <c r="AF654" i="11"/>
  <c r="AG654" i="11"/>
  <c r="AH654" i="11"/>
  <c r="AI654" i="11"/>
  <c r="AJ654" i="11"/>
  <c r="AD655" i="11"/>
  <c r="AE655" i="11"/>
  <c r="AF655" i="11"/>
  <c r="AG655" i="11"/>
  <c r="AH655" i="11"/>
  <c r="AI655" i="11"/>
  <c r="AJ655" i="11"/>
  <c r="AD656" i="11"/>
  <c r="AE656" i="11"/>
  <c r="AF656" i="11"/>
  <c r="AG656" i="11"/>
  <c r="AH656" i="11"/>
  <c r="AI656" i="11"/>
  <c r="AJ656" i="11"/>
  <c r="AD657" i="11"/>
  <c r="AE657" i="11"/>
  <c r="AF657" i="11"/>
  <c r="AG657" i="11"/>
  <c r="AH657" i="11"/>
  <c r="AI657" i="11"/>
  <c r="AJ657" i="11"/>
  <c r="AD658" i="11"/>
  <c r="AE658" i="11"/>
  <c r="AF658" i="11"/>
  <c r="AG658" i="11"/>
  <c r="AH658" i="11"/>
  <c r="AI658" i="11"/>
  <c r="AJ658" i="11"/>
  <c r="AD659" i="11"/>
  <c r="AE659" i="11"/>
  <c r="AF659" i="11"/>
  <c r="AG659" i="11"/>
  <c r="AH659" i="11"/>
  <c r="AI659" i="11"/>
  <c r="AJ659" i="11"/>
  <c r="AD660" i="11"/>
  <c r="AE660" i="11"/>
  <c r="AF660" i="11"/>
  <c r="AG660" i="11"/>
  <c r="AH660" i="11"/>
  <c r="AI660" i="11"/>
  <c r="AJ660" i="11"/>
  <c r="AD661" i="11"/>
  <c r="AE661" i="11"/>
  <c r="AF661" i="11"/>
  <c r="AG661" i="11"/>
  <c r="AH661" i="11"/>
  <c r="AI661" i="11"/>
  <c r="AJ661" i="11"/>
  <c r="AD662" i="11"/>
  <c r="AE662" i="11"/>
  <c r="AF662" i="11"/>
  <c r="AG662" i="11"/>
  <c r="AH662" i="11"/>
  <c r="AI662" i="11"/>
  <c r="AJ662" i="11"/>
  <c r="AD663" i="11"/>
  <c r="AE663" i="11"/>
  <c r="AF663" i="11"/>
  <c r="AG663" i="11"/>
  <c r="AH663" i="11"/>
  <c r="AI663" i="11"/>
  <c r="AJ663" i="11"/>
  <c r="AD664" i="11"/>
  <c r="AE664" i="11"/>
  <c r="AF664" i="11"/>
  <c r="AG664" i="11"/>
  <c r="AH664" i="11"/>
  <c r="AI664" i="11"/>
  <c r="AJ664" i="11"/>
  <c r="AD665" i="11"/>
  <c r="AE665" i="11"/>
  <c r="AF665" i="11"/>
  <c r="AG665" i="11"/>
  <c r="AH665" i="11"/>
  <c r="AI665" i="11"/>
  <c r="AJ665" i="11"/>
  <c r="AD666" i="11"/>
  <c r="AE666" i="11"/>
  <c r="AF666" i="11"/>
  <c r="AG666" i="11"/>
  <c r="AH666" i="11"/>
  <c r="AI666" i="11"/>
  <c r="AJ666" i="11"/>
  <c r="AD667" i="11"/>
  <c r="AE667" i="11"/>
  <c r="AF667" i="11"/>
  <c r="AG667" i="11"/>
  <c r="AH667" i="11"/>
  <c r="AI667" i="11"/>
  <c r="AJ667" i="11"/>
  <c r="AD668" i="11"/>
  <c r="AE668" i="11"/>
  <c r="AF668" i="11"/>
  <c r="AG668" i="11"/>
  <c r="AH668" i="11"/>
  <c r="AI668" i="11"/>
  <c r="AJ668" i="11"/>
  <c r="AD669" i="11"/>
  <c r="AE669" i="11"/>
  <c r="AF669" i="11"/>
  <c r="AG669" i="11"/>
  <c r="AH669" i="11"/>
  <c r="AI669" i="11"/>
  <c r="AJ669" i="11"/>
  <c r="AD670" i="11"/>
  <c r="AE670" i="11"/>
  <c r="AF670" i="11"/>
  <c r="AG670" i="11"/>
  <c r="AH670" i="11"/>
  <c r="AI670" i="11"/>
  <c r="AJ670" i="11"/>
  <c r="AD671" i="11"/>
  <c r="AE671" i="11"/>
  <c r="AF671" i="11"/>
  <c r="AG671" i="11"/>
  <c r="AH671" i="11"/>
  <c r="AI671" i="11"/>
  <c r="AJ671" i="11"/>
  <c r="AD672" i="11"/>
  <c r="AE672" i="11"/>
  <c r="AF672" i="11"/>
  <c r="AG672" i="11"/>
  <c r="AH672" i="11"/>
  <c r="AI672" i="11"/>
  <c r="AJ672" i="11"/>
  <c r="AD673" i="11"/>
  <c r="AE673" i="11"/>
  <c r="AF673" i="11"/>
  <c r="AG673" i="11"/>
  <c r="AH673" i="11"/>
  <c r="AI673" i="11"/>
  <c r="AJ673" i="11"/>
  <c r="AD674" i="11"/>
  <c r="AE674" i="11"/>
  <c r="AF674" i="11"/>
  <c r="AG674" i="11"/>
  <c r="AH674" i="11"/>
  <c r="AI674" i="11"/>
  <c r="AJ674" i="11"/>
  <c r="AD675" i="11"/>
  <c r="AE675" i="11"/>
  <c r="AF675" i="11"/>
  <c r="AG675" i="11"/>
  <c r="AH675" i="11"/>
  <c r="AI675" i="11"/>
  <c r="AJ675" i="11"/>
  <c r="AD676" i="11"/>
  <c r="AE676" i="11"/>
  <c r="AF676" i="11"/>
  <c r="AG676" i="11"/>
  <c r="AH676" i="11"/>
  <c r="AI676" i="11"/>
  <c r="AJ676" i="11"/>
  <c r="AD677" i="11"/>
  <c r="AE677" i="11"/>
  <c r="AF677" i="11"/>
  <c r="AG677" i="11"/>
  <c r="AH677" i="11"/>
  <c r="AI677" i="11"/>
  <c r="AJ677" i="11"/>
  <c r="AD678" i="11"/>
  <c r="AE678" i="11"/>
  <c r="AF678" i="11"/>
  <c r="AG678" i="11"/>
  <c r="AH678" i="11"/>
  <c r="AI678" i="11"/>
  <c r="AJ678" i="11"/>
  <c r="AD679" i="11"/>
  <c r="AE679" i="11"/>
  <c r="AF679" i="11"/>
  <c r="AG679" i="11"/>
  <c r="AH679" i="11"/>
  <c r="AI679" i="11"/>
  <c r="AJ679" i="11"/>
  <c r="AD680" i="11"/>
  <c r="AE680" i="11"/>
  <c r="AF680" i="11"/>
  <c r="AG680" i="11"/>
  <c r="AH680" i="11"/>
  <c r="AI680" i="11"/>
  <c r="AJ680" i="11"/>
  <c r="AD681" i="11"/>
  <c r="AE681" i="11"/>
  <c r="AF681" i="11"/>
  <c r="AG681" i="11"/>
  <c r="AH681" i="11"/>
  <c r="AI681" i="11"/>
  <c r="AJ681" i="11"/>
  <c r="AD682" i="11"/>
  <c r="AE682" i="11"/>
  <c r="AF682" i="11"/>
  <c r="AG682" i="11"/>
  <c r="AH682" i="11"/>
  <c r="AI682" i="11"/>
  <c r="AJ682" i="11"/>
  <c r="AD683" i="11"/>
  <c r="AE683" i="11"/>
  <c r="AF683" i="11"/>
  <c r="AG683" i="11"/>
  <c r="AH683" i="11"/>
  <c r="AI683" i="11"/>
  <c r="AJ683" i="11"/>
  <c r="AD684" i="11"/>
  <c r="AE684" i="11"/>
  <c r="AF684" i="11"/>
  <c r="AG684" i="11"/>
  <c r="AH684" i="11"/>
  <c r="AI684" i="11"/>
  <c r="AJ684" i="11"/>
  <c r="AD685" i="11"/>
  <c r="AE685" i="11"/>
  <c r="AF685" i="11"/>
  <c r="AG685" i="11"/>
  <c r="AH685" i="11"/>
  <c r="AI685" i="11"/>
  <c r="AJ685" i="11"/>
  <c r="AD686" i="11"/>
  <c r="AE686" i="11"/>
  <c r="AF686" i="11"/>
  <c r="AG686" i="11"/>
  <c r="AH686" i="11"/>
  <c r="AI686" i="11"/>
  <c r="AJ686" i="11"/>
  <c r="AD687" i="11"/>
  <c r="AE687" i="11"/>
  <c r="AF687" i="11"/>
  <c r="AG687" i="11"/>
  <c r="AH687" i="11"/>
  <c r="AI687" i="11"/>
  <c r="AJ687" i="11"/>
  <c r="AD688" i="11"/>
  <c r="AE688" i="11"/>
  <c r="AF688" i="11"/>
  <c r="AG688" i="11"/>
  <c r="AH688" i="11"/>
  <c r="AI688" i="11"/>
  <c r="AJ688" i="11"/>
  <c r="AD689" i="11"/>
  <c r="AE689" i="11"/>
  <c r="AF689" i="11"/>
  <c r="AG689" i="11"/>
  <c r="AH689" i="11"/>
  <c r="AI689" i="11"/>
  <c r="AJ689" i="11"/>
  <c r="AD690" i="11"/>
  <c r="AE690" i="11"/>
  <c r="AF690" i="11"/>
  <c r="AG690" i="11"/>
  <c r="AH690" i="11"/>
  <c r="AI690" i="11"/>
  <c r="AJ690" i="11"/>
  <c r="AD691" i="11"/>
  <c r="AE691" i="11"/>
  <c r="AF691" i="11"/>
  <c r="AG691" i="11"/>
  <c r="AH691" i="11"/>
  <c r="AI691" i="11"/>
  <c r="AJ691" i="11"/>
  <c r="AD692" i="11"/>
  <c r="AE692" i="11"/>
  <c r="AF692" i="11"/>
  <c r="AG692" i="11"/>
  <c r="AH692" i="11"/>
  <c r="AI692" i="11"/>
  <c r="AJ692" i="11"/>
  <c r="AD693" i="11"/>
  <c r="AE693" i="11"/>
  <c r="AF693" i="11"/>
  <c r="AG693" i="11"/>
  <c r="AH693" i="11"/>
  <c r="AI693" i="11"/>
  <c r="AJ693" i="11"/>
  <c r="AD694" i="11"/>
  <c r="AE694" i="11"/>
  <c r="AF694" i="11"/>
  <c r="AG694" i="11"/>
  <c r="AH694" i="11"/>
  <c r="AI694" i="11"/>
  <c r="AJ694" i="11"/>
  <c r="AD695" i="11"/>
  <c r="AE695" i="11"/>
  <c r="AF695" i="11"/>
  <c r="AG695" i="11"/>
  <c r="AH695" i="11"/>
  <c r="AI695" i="11"/>
  <c r="AJ695" i="11"/>
  <c r="AD696" i="11"/>
  <c r="AE696" i="11"/>
  <c r="AF696" i="11"/>
  <c r="AG696" i="11"/>
  <c r="AH696" i="11"/>
  <c r="AI696" i="11"/>
  <c r="AJ696" i="11"/>
  <c r="AD697" i="11"/>
  <c r="AE697" i="11"/>
  <c r="AF697" i="11"/>
  <c r="AG697" i="11"/>
  <c r="AH697" i="11"/>
  <c r="AI697" i="11"/>
  <c r="AJ697" i="11"/>
  <c r="AD698" i="11"/>
  <c r="AE698" i="11"/>
  <c r="AF698" i="11"/>
  <c r="AG698" i="11"/>
  <c r="AH698" i="11"/>
  <c r="AI698" i="11"/>
  <c r="AJ698" i="11"/>
  <c r="AD699" i="11"/>
  <c r="AE699" i="11"/>
  <c r="AF699" i="11"/>
  <c r="AG699" i="11"/>
  <c r="AH699" i="11"/>
  <c r="AI699" i="11"/>
  <c r="AJ699" i="11"/>
  <c r="AD700" i="11"/>
  <c r="AE700" i="11"/>
  <c r="AF700" i="11"/>
  <c r="AG700" i="11"/>
  <c r="AH700" i="11"/>
  <c r="AI700" i="11"/>
  <c r="AJ700" i="11"/>
  <c r="AD701" i="11"/>
  <c r="AE701" i="11"/>
  <c r="AF701" i="11"/>
  <c r="AG701" i="11"/>
  <c r="AH701" i="11"/>
  <c r="AI701" i="11"/>
  <c r="AJ701" i="11"/>
  <c r="AD702" i="11"/>
  <c r="AE702" i="11"/>
  <c r="AF702" i="11"/>
  <c r="AG702" i="11"/>
  <c r="AH702" i="11"/>
  <c r="AI702" i="11"/>
  <c r="AJ702" i="11"/>
  <c r="AD703" i="11"/>
  <c r="AE703" i="11"/>
  <c r="AF703" i="11"/>
  <c r="AG703" i="11"/>
  <c r="AH703" i="11"/>
  <c r="AI703" i="11"/>
  <c r="AJ703" i="11"/>
  <c r="AD704" i="11"/>
  <c r="AE704" i="11"/>
  <c r="AF704" i="11"/>
  <c r="AG704" i="11"/>
  <c r="AH704" i="11"/>
  <c r="AI704" i="11"/>
  <c r="AJ704" i="11"/>
  <c r="AD705" i="11"/>
  <c r="AE705" i="11"/>
  <c r="AF705" i="11"/>
  <c r="AG705" i="11"/>
  <c r="AH705" i="11"/>
  <c r="AI705" i="11"/>
  <c r="AJ705" i="11"/>
  <c r="AD706" i="11"/>
  <c r="AE706" i="11"/>
  <c r="AF706" i="11"/>
  <c r="AG706" i="11"/>
  <c r="AH706" i="11"/>
  <c r="AI706" i="11"/>
  <c r="AJ706" i="11"/>
  <c r="AD707" i="11"/>
  <c r="AE707" i="11"/>
  <c r="AF707" i="11"/>
  <c r="AG707" i="11"/>
  <c r="AH707" i="11"/>
  <c r="AI707" i="11"/>
  <c r="AJ707" i="11"/>
  <c r="AD708" i="11"/>
  <c r="AE708" i="11"/>
  <c r="AF708" i="11"/>
  <c r="AG708" i="11"/>
  <c r="AH708" i="11"/>
  <c r="AI708" i="11"/>
  <c r="AJ708" i="11"/>
  <c r="AD709" i="11"/>
  <c r="AE709" i="11"/>
  <c r="AF709" i="11"/>
  <c r="AG709" i="11"/>
  <c r="AH709" i="11"/>
  <c r="AI709" i="11"/>
  <c r="AJ709" i="11"/>
  <c r="AD710" i="11"/>
  <c r="AE710" i="11"/>
  <c r="AF710" i="11"/>
  <c r="AG710" i="11"/>
  <c r="AH710" i="11"/>
  <c r="AI710" i="11"/>
  <c r="AJ710" i="11"/>
  <c r="AD711" i="11"/>
  <c r="AE711" i="11"/>
  <c r="AF711" i="11"/>
  <c r="AG711" i="11"/>
  <c r="AH711" i="11"/>
  <c r="AI711" i="11"/>
  <c r="AJ711" i="11"/>
  <c r="AD712" i="11"/>
  <c r="AE712" i="11"/>
  <c r="AF712" i="11"/>
  <c r="AG712" i="11"/>
  <c r="AH712" i="11"/>
  <c r="AI712" i="11"/>
  <c r="AJ712" i="11"/>
  <c r="AD713" i="11"/>
  <c r="AE713" i="11"/>
  <c r="AF713" i="11"/>
  <c r="AG713" i="11"/>
  <c r="AH713" i="11"/>
  <c r="AI713" i="11"/>
  <c r="AJ713" i="11"/>
  <c r="AD714" i="11"/>
  <c r="AE714" i="11"/>
  <c r="AF714" i="11"/>
  <c r="AG714" i="11"/>
  <c r="AH714" i="11"/>
  <c r="AI714" i="11"/>
  <c r="AJ714" i="11"/>
  <c r="AD715" i="11"/>
  <c r="AE715" i="11"/>
  <c r="AF715" i="11"/>
  <c r="AG715" i="11"/>
  <c r="AH715" i="11"/>
  <c r="AI715" i="11"/>
  <c r="AJ715" i="11"/>
  <c r="AD716" i="11"/>
  <c r="AE716" i="11"/>
  <c r="AF716" i="11"/>
  <c r="AG716" i="11"/>
  <c r="AH716" i="11"/>
  <c r="AI716" i="11"/>
  <c r="AJ716" i="11"/>
  <c r="AD717" i="11"/>
  <c r="AE717" i="11"/>
  <c r="AF717" i="11"/>
  <c r="AG717" i="11"/>
  <c r="AH717" i="11"/>
  <c r="AI717" i="11"/>
  <c r="AJ717" i="11"/>
  <c r="AD718" i="11"/>
  <c r="AE718" i="11"/>
  <c r="AF718" i="11"/>
  <c r="AG718" i="11"/>
  <c r="AH718" i="11"/>
  <c r="AI718" i="11"/>
  <c r="AJ718" i="11"/>
  <c r="AD719" i="11"/>
  <c r="AE719" i="11"/>
  <c r="AF719" i="11"/>
  <c r="AG719" i="11"/>
  <c r="AH719" i="11"/>
  <c r="AI719" i="11"/>
  <c r="AJ719" i="11"/>
  <c r="AD720" i="11"/>
  <c r="AE720" i="11"/>
  <c r="AF720" i="11"/>
  <c r="AG720" i="11"/>
  <c r="AH720" i="11"/>
  <c r="AI720" i="11"/>
  <c r="AJ720" i="11"/>
  <c r="AD721" i="11"/>
  <c r="AE721" i="11"/>
  <c r="AF721" i="11"/>
  <c r="AG721" i="11"/>
  <c r="AH721" i="11"/>
  <c r="AI721" i="11"/>
  <c r="AJ721" i="11"/>
  <c r="AD722" i="11"/>
  <c r="AE722" i="11"/>
  <c r="AF722" i="11"/>
  <c r="AG722" i="11"/>
  <c r="AH722" i="11"/>
  <c r="AI722" i="11"/>
  <c r="AJ722" i="11"/>
  <c r="AD723" i="11"/>
  <c r="AE723" i="11"/>
  <c r="AF723" i="11"/>
  <c r="AG723" i="11"/>
  <c r="AH723" i="11"/>
  <c r="AI723" i="11"/>
  <c r="AJ723" i="11"/>
  <c r="AD724" i="11"/>
  <c r="AE724" i="11"/>
  <c r="AF724" i="11"/>
  <c r="AG724" i="11"/>
  <c r="AH724" i="11"/>
  <c r="AI724" i="11"/>
  <c r="AJ724" i="11"/>
  <c r="AD725" i="11"/>
  <c r="AE725" i="11"/>
  <c r="AF725" i="11"/>
  <c r="AG725" i="11"/>
  <c r="AH725" i="11"/>
  <c r="AI725" i="11"/>
  <c r="AJ725" i="11"/>
  <c r="AD726" i="11"/>
  <c r="AE726" i="11"/>
  <c r="AF726" i="11"/>
  <c r="AG726" i="11"/>
  <c r="AH726" i="11"/>
  <c r="AI726" i="11"/>
  <c r="AJ726" i="11"/>
  <c r="AD727" i="11"/>
  <c r="AE727" i="11"/>
  <c r="AF727" i="11"/>
  <c r="AG727" i="11"/>
  <c r="AH727" i="11"/>
  <c r="AI727" i="11"/>
  <c r="AJ727" i="11"/>
  <c r="AD728" i="11"/>
  <c r="AE728" i="11"/>
  <c r="AF728" i="11"/>
  <c r="AG728" i="11"/>
  <c r="AH728" i="11"/>
  <c r="AI728" i="11"/>
  <c r="AJ728" i="11"/>
  <c r="AD729" i="11"/>
  <c r="AE729" i="11"/>
  <c r="AF729" i="11"/>
  <c r="AG729" i="11"/>
  <c r="AH729" i="11"/>
  <c r="AI729" i="11"/>
  <c r="AJ729" i="11"/>
  <c r="AD730" i="11"/>
  <c r="AE730" i="11"/>
  <c r="AF730" i="11"/>
  <c r="AG730" i="11"/>
  <c r="AH730" i="11"/>
  <c r="AI730" i="11"/>
  <c r="AJ730" i="11"/>
  <c r="AD731" i="11"/>
  <c r="AE731" i="11"/>
  <c r="AF731" i="11"/>
  <c r="AG731" i="11"/>
  <c r="AH731" i="11"/>
  <c r="AI731" i="11"/>
  <c r="AJ731" i="11"/>
  <c r="AD732" i="11"/>
  <c r="AE732" i="11"/>
  <c r="AF732" i="11"/>
  <c r="AG732" i="11"/>
  <c r="AH732" i="11"/>
  <c r="AI732" i="11"/>
  <c r="AJ732" i="11"/>
  <c r="AJ2" i="11"/>
  <c r="AI2" i="11"/>
  <c r="AH2" i="11"/>
  <c r="AG2" i="11"/>
  <c r="AF2" i="11"/>
  <c r="AE2" i="11"/>
  <c r="AD2" i="11"/>
  <c r="R3" i="11"/>
  <c r="S3" i="11"/>
  <c r="T3" i="11"/>
  <c r="U3" i="11"/>
  <c r="V3" i="11"/>
  <c r="W3" i="11"/>
  <c r="X3" i="11"/>
  <c r="Y3" i="11"/>
  <c r="Z3" i="11"/>
  <c r="AA3" i="11"/>
  <c r="AB3" i="11"/>
  <c r="AC3" i="11"/>
  <c r="R4" i="11"/>
  <c r="S4" i="11"/>
  <c r="T4" i="11"/>
  <c r="U4" i="11"/>
  <c r="V4" i="11"/>
  <c r="W4" i="11"/>
  <c r="X4" i="11"/>
  <c r="Y4" i="11"/>
  <c r="Z4" i="11"/>
  <c r="AA4" i="11"/>
  <c r="AB4" i="11"/>
  <c r="AC4" i="11"/>
  <c r="R5" i="11"/>
  <c r="S5" i="11"/>
  <c r="T5" i="11"/>
  <c r="U5" i="11"/>
  <c r="V5" i="11"/>
  <c r="W5" i="11"/>
  <c r="X5" i="11"/>
  <c r="Y5" i="11"/>
  <c r="Z5" i="11"/>
  <c r="AA5" i="11"/>
  <c r="AB5" i="11"/>
  <c r="AC5" i="11"/>
  <c r="R6" i="11"/>
  <c r="S6" i="11"/>
  <c r="T6" i="11"/>
  <c r="U6" i="11"/>
  <c r="V6" i="11"/>
  <c r="W6" i="11"/>
  <c r="X6" i="11"/>
  <c r="Y6" i="11"/>
  <c r="Z6" i="11"/>
  <c r="AA6" i="11"/>
  <c r="AB6" i="11"/>
  <c r="AC6" i="11"/>
  <c r="R7" i="11"/>
  <c r="S7" i="11"/>
  <c r="T7" i="11"/>
  <c r="U7" i="11"/>
  <c r="V7" i="11"/>
  <c r="W7" i="11"/>
  <c r="X7" i="11"/>
  <c r="Y7" i="11"/>
  <c r="Z7" i="11"/>
  <c r="AA7" i="11"/>
  <c r="AB7" i="11"/>
  <c r="AC7" i="11"/>
  <c r="R8" i="11"/>
  <c r="S8" i="11"/>
  <c r="T8" i="11"/>
  <c r="U8" i="11"/>
  <c r="V8" i="11"/>
  <c r="W8" i="11"/>
  <c r="X8" i="11"/>
  <c r="Y8" i="11"/>
  <c r="Z8" i="11"/>
  <c r="AA8" i="11"/>
  <c r="AB8" i="11"/>
  <c r="AC8" i="11"/>
  <c r="R9" i="11"/>
  <c r="S9" i="11"/>
  <c r="T9" i="11"/>
  <c r="U9" i="11"/>
  <c r="V9" i="11"/>
  <c r="W9" i="11"/>
  <c r="X9" i="11"/>
  <c r="Y9" i="11"/>
  <c r="Z9" i="11"/>
  <c r="AA9" i="11"/>
  <c r="AB9" i="11"/>
  <c r="AC9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R687" i="11"/>
  <c r="S687" i="11"/>
  <c r="T687" i="11"/>
  <c r="U687" i="11"/>
  <c r="V687" i="11"/>
  <c r="W687" i="11"/>
  <c r="X687" i="11"/>
  <c r="Y687" i="11"/>
  <c r="Z687" i="11"/>
  <c r="AA687" i="11"/>
  <c r="AB687" i="11"/>
  <c r="AC687" i="11"/>
  <c r="R688" i="11"/>
  <c r="S688" i="11"/>
  <c r="T688" i="11"/>
  <c r="U688" i="11"/>
  <c r="V688" i="11"/>
  <c r="W688" i="11"/>
  <c r="X688" i="11"/>
  <c r="Y688" i="11"/>
  <c r="Z688" i="11"/>
  <c r="AA688" i="11"/>
  <c r="AB688" i="11"/>
  <c r="AC688" i="11"/>
  <c r="R689" i="11"/>
  <c r="S689" i="11"/>
  <c r="T689" i="11"/>
  <c r="U689" i="11"/>
  <c r="V689" i="11"/>
  <c r="W689" i="11"/>
  <c r="X689" i="11"/>
  <c r="Y689" i="11"/>
  <c r="Z689" i="11"/>
  <c r="AA689" i="11"/>
  <c r="AB689" i="11"/>
  <c r="AC689" i="11"/>
  <c r="R690" i="11"/>
  <c r="S690" i="11"/>
  <c r="T690" i="11"/>
  <c r="U690" i="11"/>
  <c r="V690" i="11"/>
  <c r="W690" i="11"/>
  <c r="X690" i="11"/>
  <c r="Y690" i="11"/>
  <c r="Z690" i="11"/>
  <c r="AA690" i="11"/>
  <c r="AB690" i="11"/>
  <c r="AC690" i="11"/>
  <c r="R691" i="11"/>
  <c r="S691" i="11"/>
  <c r="T691" i="11"/>
  <c r="U691" i="11"/>
  <c r="V691" i="11"/>
  <c r="W691" i="11"/>
  <c r="X691" i="11"/>
  <c r="Y691" i="11"/>
  <c r="Z691" i="11"/>
  <c r="AA691" i="11"/>
  <c r="AB691" i="11"/>
  <c r="AC691" i="11"/>
  <c r="R692" i="11"/>
  <c r="S692" i="11"/>
  <c r="T692" i="11"/>
  <c r="U692" i="11"/>
  <c r="V692" i="11"/>
  <c r="W692" i="11"/>
  <c r="X692" i="11"/>
  <c r="Y692" i="11"/>
  <c r="Z692" i="11"/>
  <c r="AA692" i="11"/>
  <c r="AB692" i="11"/>
  <c r="AC692" i="11"/>
  <c r="R693" i="11"/>
  <c r="S693" i="11"/>
  <c r="T693" i="11"/>
  <c r="U693" i="11"/>
  <c r="V693" i="11"/>
  <c r="W693" i="11"/>
  <c r="X693" i="11"/>
  <c r="Y693" i="11"/>
  <c r="Z693" i="11"/>
  <c r="AA693" i="11"/>
  <c r="AB693" i="11"/>
  <c r="AC693" i="11"/>
  <c r="R694" i="11"/>
  <c r="S694" i="11"/>
  <c r="T694" i="11"/>
  <c r="U694" i="11"/>
  <c r="V694" i="11"/>
  <c r="W694" i="11"/>
  <c r="X694" i="11"/>
  <c r="Y694" i="11"/>
  <c r="Z694" i="11"/>
  <c r="AA694" i="11"/>
  <c r="AB694" i="11"/>
  <c r="AC694" i="11"/>
  <c r="R695" i="11"/>
  <c r="S695" i="11"/>
  <c r="T695" i="11"/>
  <c r="U695" i="11"/>
  <c r="V695" i="11"/>
  <c r="W695" i="11"/>
  <c r="X695" i="11"/>
  <c r="Y695" i="11"/>
  <c r="Z695" i="11"/>
  <c r="AA695" i="11"/>
  <c r="AB695" i="11"/>
  <c r="AC695" i="11"/>
  <c r="R696" i="11"/>
  <c r="S696" i="11"/>
  <c r="T696" i="11"/>
  <c r="U696" i="11"/>
  <c r="V696" i="11"/>
  <c r="W696" i="11"/>
  <c r="X696" i="11"/>
  <c r="Y696" i="11"/>
  <c r="Z696" i="11"/>
  <c r="AA696" i="11"/>
  <c r="AB696" i="11"/>
  <c r="AC696" i="11"/>
  <c r="R697" i="11"/>
  <c r="S697" i="11"/>
  <c r="T697" i="11"/>
  <c r="U697" i="11"/>
  <c r="V697" i="11"/>
  <c r="W697" i="11"/>
  <c r="X697" i="11"/>
  <c r="Y697" i="11"/>
  <c r="Z697" i="11"/>
  <c r="AA697" i="11"/>
  <c r="AB697" i="11"/>
  <c r="AC697" i="11"/>
  <c r="R698" i="11"/>
  <c r="S698" i="11"/>
  <c r="T698" i="11"/>
  <c r="U698" i="11"/>
  <c r="V698" i="11"/>
  <c r="W698" i="11"/>
  <c r="X698" i="11"/>
  <c r="Y698" i="11"/>
  <c r="Z698" i="11"/>
  <c r="AA698" i="11"/>
  <c r="AB698" i="11"/>
  <c r="AC698" i="11"/>
  <c r="R699" i="11"/>
  <c r="S699" i="11"/>
  <c r="T699" i="11"/>
  <c r="U699" i="11"/>
  <c r="V699" i="11"/>
  <c r="W699" i="11"/>
  <c r="X699" i="11"/>
  <c r="Y699" i="11"/>
  <c r="Z699" i="11"/>
  <c r="AA699" i="11"/>
  <c r="AB699" i="11"/>
  <c r="AC699" i="11"/>
  <c r="R700" i="11"/>
  <c r="S700" i="11"/>
  <c r="T700" i="11"/>
  <c r="U700" i="11"/>
  <c r="V700" i="11"/>
  <c r="W700" i="11"/>
  <c r="X700" i="11"/>
  <c r="Y700" i="11"/>
  <c r="Z700" i="11"/>
  <c r="AA700" i="11"/>
  <c r="AB700" i="11"/>
  <c r="AC700" i="11"/>
  <c r="R701" i="11"/>
  <c r="S701" i="11"/>
  <c r="T701" i="11"/>
  <c r="U701" i="11"/>
  <c r="V701" i="11"/>
  <c r="W701" i="11"/>
  <c r="X701" i="11"/>
  <c r="Y701" i="11"/>
  <c r="Z701" i="11"/>
  <c r="AA701" i="11"/>
  <c r="AB701" i="11"/>
  <c r="AC701" i="11"/>
  <c r="R702" i="11"/>
  <c r="S702" i="11"/>
  <c r="T702" i="11"/>
  <c r="U702" i="11"/>
  <c r="V702" i="11"/>
  <c r="W702" i="11"/>
  <c r="X702" i="11"/>
  <c r="Y702" i="11"/>
  <c r="Z702" i="11"/>
  <c r="AA702" i="11"/>
  <c r="AB702" i="11"/>
  <c r="AC702" i="11"/>
  <c r="R703" i="11"/>
  <c r="S703" i="11"/>
  <c r="T703" i="11"/>
  <c r="U703" i="11"/>
  <c r="V703" i="11"/>
  <c r="W703" i="11"/>
  <c r="X703" i="11"/>
  <c r="Y703" i="11"/>
  <c r="Z703" i="11"/>
  <c r="AA703" i="11"/>
  <c r="AB703" i="11"/>
  <c r="AC703" i="11"/>
  <c r="R704" i="11"/>
  <c r="S704" i="11"/>
  <c r="T704" i="11"/>
  <c r="U704" i="11"/>
  <c r="V704" i="11"/>
  <c r="W704" i="11"/>
  <c r="X704" i="11"/>
  <c r="Y704" i="11"/>
  <c r="Z704" i="11"/>
  <c r="AA704" i="11"/>
  <c r="AB704" i="11"/>
  <c r="AC704" i="11"/>
  <c r="R705" i="11"/>
  <c r="S705" i="11"/>
  <c r="T705" i="11"/>
  <c r="U705" i="11"/>
  <c r="V705" i="11"/>
  <c r="W705" i="11"/>
  <c r="X705" i="11"/>
  <c r="Y705" i="11"/>
  <c r="Z705" i="11"/>
  <c r="AA705" i="11"/>
  <c r="AB705" i="11"/>
  <c r="AC705" i="11"/>
  <c r="R706" i="11"/>
  <c r="S706" i="11"/>
  <c r="T706" i="11"/>
  <c r="U706" i="11"/>
  <c r="V706" i="11"/>
  <c r="W706" i="11"/>
  <c r="X706" i="11"/>
  <c r="Y706" i="11"/>
  <c r="Z706" i="11"/>
  <c r="AA706" i="11"/>
  <c r="AB706" i="11"/>
  <c r="AC706" i="11"/>
  <c r="R707" i="11"/>
  <c r="S707" i="11"/>
  <c r="T707" i="11"/>
  <c r="U707" i="11"/>
  <c r="V707" i="11"/>
  <c r="W707" i="11"/>
  <c r="X707" i="11"/>
  <c r="Y707" i="11"/>
  <c r="Z707" i="11"/>
  <c r="AA707" i="11"/>
  <c r="AB707" i="11"/>
  <c r="AC707" i="11"/>
  <c r="R708" i="11"/>
  <c r="S708" i="11"/>
  <c r="T708" i="11"/>
  <c r="U708" i="11"/>
  <c r="V708" i="11"/>
  <c r="W708" i="11"/>
  <c r="X708" i="11"/>
  <c r="Y708" i="11"/>
  <c r="Z708" i="11"/>
  <c r="AA708" i="11"/>
  <c r="AB708" i="11"/>
  <c r="AC708" i="11"/>
  <c r="R709" i="11"/>
  <c r="S709" i="11"/>
  <c r="T709" i="11"/>
  <c r="U709" i="11"/>
  <c r="V709" i="11"/>
  <c r="W709" i="11"/>
  <c r="X709" i="11"/>
  <c r="Y709" i="11"/>
  <c r="Z709" i="11"/>
  <c r="AA709" i="11"/>
  <c r="AB709" i="11"/>
  <c r="AC709" i="11"/>
  <c r="R710" i="11"/>
  <c r="S710" i="11"/>
  <c r="T710" i="11"/>
  <c r="U710" i="11"/>
  <c r="V710" i="11"/>
  <c r="W710" i="11"/>
  <c r="X710" i="11"/>
  <c r="Y710" i="11"/>
  <c r="Z710" i="11"/>
  <c r="AA710" i="11"/>
  <c r="AB710" i="11"/>
  <c r="AC710" i="11"/>
  <c r="R711" i="11"/>
  <c r="S711" i="11"/>
  <c r="T711" i="11"/>
  <c r="U711" i="11"/>
  <c r="V711" i="11"/>
  <c r="W711" i="11"/>
  <c r="X711" i="11"/>
  <c r="Y711" i="11"/>
  <c r="Z711" i="11"/>
  <c r="AA711" i="11"/>
  <c r="AB711" i="11"/>
  <c r="AC711" i="11"/>
  <c r="R712" i="11"/>
  <c r="S712" i="11"/>
  <c r="T712" i="11"/>
  <c r="U712" i="11"/>
  <c r="V712" i="11"/>
  <c r="W712" i="11"/>
  <c r="X712" i="11"/>
  <c r="Y712" i="11"/>
  <c r="Z712" i="11"/>
  <c r="AA712" i="11"/>
  <c r="AB712" i="11"/>
  <c r="AC712" i="11"/>
  <c r="R713" i="11"/>
  <c r="S713" i="11"/>
  <c r="T713" i="11"/>
  <c r="U713" i="11"/>
  <c r="V713" i="11"/>
  <c r="W713" i="11"/>
  <c r="X713" i="11"/>
  <c r="Y713" i="11"/>
  <c r="Z713" i="11"/>
  <c r="AA713" i="11"/>
  <c r="AB713" i="11"/>
  <c r="AC713" i="11"/>
  <c r="R714" i="11"/>
  <c r="S714" i="11"/>
  <c r="T714" i="11"/>
  <c r="U714" i="11"/>
  <c r="V714" i="11"/>
  <c r="W714" i="11"/>
  <c r="X714" i="11"/>
  <c r="Y714" i="11"/>
  <c r="Z714" i="11"/>
  <c r="AA714" i="11"/>
  <c r="AB714" i="11"/>
  <c r="AC714" i="11"/>
  <c r="R715" i="11"/>
  <c r="S715" i="11"/>
  <c r="T715" i="11"/>
  <c r="U715" i="11"/>
  <c r="V715" i="11"/>
  <c r="W715" i="11"/>
  <c r="X715" i="11"/>
  <c r="Y715" i="11"/>
  <c r="Z715" i="11"/>
  <c r="AA715" i="11"/>
  <c r="AB715" i="11"/>
  <c r="AC715" i="11"/>
  <c r="R716" i="11"/>
  <c r="S716" i="11"/>
  <c r="T716" i="11"/>
  <c r="U716" i="11"/>
  <c r="V716" i="11"/>
  <c r="W716" i="11"/>
  <c r="X716" i="11"/>
  <c r="Y716" i="11"/>
  <c r="Z716" i="11"/>
  <c r="AA716" i="11"/>
  <c r="AB716" i="11"/>
  <c r="AC716" i="11"/>
  <c r="R717" i="11"/>
  <c r="S717" i="11"/>
  <c r="T717" i="11"/>
  <c r="U717" i="11"/>
  <c r="V717" i="11"/>
  <c r="W717" i="11"/>
  <c r="X717" i="11"/>
  <c r="Y717" i="11"/>
  <c r="Z717" i="11"/>
  <c r="AA717" i="11"/>
  <c r="AB717" i="11"/>
  <c r="AC717" i="11"/>
  <c r="R718" i="11"/>
  <c r="S718" i="11"/>
  <c r="T718" i="11"/>
  <c r="U718" i="11"/>
  <c r="V718" i="11"/>
  <c r="W718" i="11"/>
  <c r="X718" i="11"/>
  <c r="Y718" i="11"/>
  <c r="Z718" i="11"/>
  <c r="AA718" i="11"/>
  <c r="AB718" i="11"/>
  <c r="AC718" i="11"/>
  <c r="R719" i="11"/>
  <c r="S719" i="11"/>
  <c r="T719" i="11"/>
  <c r="U719" i="11"/>
  <c r="V719" i="11"/>
  <c r="W719" i="11"/>
  <c r="X719" i="11"/>
  <c r="Y719" i="11"/>
  <c r="Z719" i="11"/>
  <c r="AA719" i="11"/>
  <c r="AB719" i="11"/>
  <c r="AC719" i="11"/>
  <c r="R720" i="11"/>
  <c r="S720" i="11"/>
  <c r="T720" i="11"/>
  <c r="U720" i="11"/>
  <c r="V720" i="11"/>
  <c r="W720" i="11"/>
  <c r="X720" i="11"/>
  <c r="Y720" i="11"/>
  <c r="Z720" i="11"/>
  <c r="AA720" i="11"/>
  <c r="AB720" i="11"/>
  <c r="AC720" i="11"/>
  <c r="R721" i="11"/>
  <c r="S721" i="11"/>
  <c r="T721" i="11"/>
  <c r="U721" i="11"/>
  <c r="V721" i="11"/>
  <c r="W721" i="11"/>
  <c r="X721" i="11"/>
  <c r="Y721" i="11"/>
  <c r="Z721" i="11"/>
  <c r="AA721" i="11"/>
  <c r="AB721" i="11"/>
  <c r="AC721" i="11"/>
  <c r="R722" i="11"/>
  <c r="S722" i="11"/>
  <c r="T722" i="11"/>
  <c r="U722" i="11"/>
  <c r="V722" i="11"/>
  <c r="W722" i="11"/>
  <c r="X722" i="11"/>
  <c r="Y722" i="11"/>
  <c r="Z722" i="11"/>
  <c r="AA722" i="11"/>
  <c r="AB722" i="11"/>
  <c r="AC722" i="11"/>
  <c r="R723" i="11"/>
  <c r="S723" i="11"/>
  <c r="T723" i="11"/>
  <c r="U723" i="11"/>
  <c r="V723" i="11"/>
  <c r="W723" i="11"/>
  <c r="X723" i="11"/>
  <c r="Y723" i="11"/>
  <c r="Z723" i="11"/>
  <c r="AA723" i="11"/>
  <c r="AB723" i="11"/>
  <c r="AC723" i="11"/>
  <c r="R724" i="11"/>
  <c r="S724" i="11"/>
  <c r="T724" i="11"/>
  <c r="U724" i="11"/>
  <c r="V724" i="11"/>
  <c r="W724" i="11"/>
  <c r="X724" i="11"/>
  <c r="Y724" i="11"/>
  <c r="Z724" i="11"/>
  <c r="AA724" i="11"/>
  <c r="AB724" i="11"/>
  <c r="AC724" i="11"/>
  <c r="R725" i="11"/>
  <c r="S725" i="11"/>
  <c r="T725" i="11"/>
  <c r="U725" i="11"/>
  <c r="V725" i="11"/>
  <c r="W725" i="11"/>
  <c r="X725" i="11"/>
  <c r="Y725" i="11"/>
  <c r="Z725" i="11"/>
  <c r="AA725" i="11"/>
  <c r="AB725" i="11"/>
  <c r="AC725" i="11"/>
  <c r="R726" i="11"/>
  <c r="S726" i="11"/>
  <c r="T726" i="11"/>
  <c r="U726" i="11"/>
  <c r="V726" i="11"/>
  <c r="W726" i="11"/>
  <c r="X726" i="11"/>
  <c r="Y726" i="11"/>
  <c r="Z726" i="11"/>
  <c r="AA726" i="11"/>
  <c r="AB726" i="11"/>
  <c r="AC726" i="11"/>
  <c r="R727" i="11"/>
  <c r="S727" i="11"/>
  <c r="T727" i="11"/>
  <c r="U727" i="11"/>
  <c r="V727" i="11"/>
  <c r="W727" i="11"/>
  <c r="X727" i="11"/>
  <c r="Y727" i="11"/>
  <c r="Z727" i="11"/>
  <c r="AA727" i="11"/>
  <c r="AB727" i="11"/>
  <c r="AC727" i="11"/>
  <c r="R728" i="11"/>
  <c r="S728" i="11"/>
  <c r="T728" i="11"/>
  <c r="U728" i="11"/>
  <c r="V728" i="11"/>
  <c r="W728" i="11"/>
  <c r="X728" i="11"/>
  <c r="Y728" i="11"/>
  <c r="Z728" i="11"/>
  <c r="AA728" i="11"/>
  <c r="AB728" i="11"/>
  <c r="AC728" i="11"/>
  <c r="R729" i="11"/>
  <c r="S729" i="11"/>
  <c r="T729" i="11"/>
  <c r="U729" i="11"/>
  <c r="V729" i="11"/>
  <c r="W729" i="11"/>
  <c r="X729" i="11"/>
  <c r="Y729" i="11"/>
  <c r="Z729" i="11"/>
  <c r="AA729" i="11"/>
  <c r="AB729" i="11"/>
  <c r="AC729" i="11"/>
  <c r="R730" i="11"/>
  <c r="S730" i="11"/>
  <c r="T730" i="11"/>
  <c r="U730" i="11"/>
  <c r="V730" i="11"/>
  <c r="W730" i="11"/>
  <c r="X730" i="11"/>
  <c r="Y730" i="11"/>
  <c r="Z730" i="11"/>
  <c r="AA730" i="11"/>
  <c r="AB730" i="11"/>
  <c r="AC730" i="11"/>
  <c r="R731" i="11"/>
  <c r="S731" i="11"/>
  <c r="T731" i="11"/>
  <c r="U731" i="11"/>
  <c r="V731" i="11"/>
  <c r="W731" i="11"/>
  <c r="X731" i="11"/>
  <c r="Y731" i="11"/>
  <c r="Z731" i="11"/>
  <c r="AA731" i="11"/>
  <c r="AB731" i="11"/>
  <c r="AC731" i="11"/>
  <c r="R732" i="11"/>
  <c r="S732" i="11"/>
  <c r="T732" i="11"/>
  <c r="U732" i="11"/>
  <c r="V732" i="11"/>
  <c r="W732" i="11"/>
  <c r="X732" i="11"/>
  <c r="Y732" i="11"/>
  <c r="Z732" i="11"/>
  <c r="AA732" i="11"/>
  <c r="AB732" i="11"/>
  <c r="AC732" i="11"/>
  <c r="AC2" i="11"/>
  <c r="AB2" i="11"/>
  <c r="AA2" i="11"/>
  <c r="Z2" i="11"/>
  <c r="Y2" i="11"/>
  <c r="X2" i="11"/>
  <c r="W2" i="11"/>
  <c r="V2" i="11"/>
  <c r="U2" i="11"/>
  <c r="T2" i="11"/>
  <c r="S2" i="11"/>
  <c r="R2" i="11"/>
</calcChain>
</file>

<file path=xl/sharedStrings.xml><?xml version="1.0" encoding="utf-8"?>
<sst xmlns="http://schemas.openxmlformats.org/spreadsheetml/2006/main" count="189" uniqueCount="72">
  <si>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</si>
  <si>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</si>
  <si>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</si>
  <si>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</si>
  <si>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</si>
  <si>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</si>
  <si>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</si>
  <si>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</si>
  <si>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</si>
  <si>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</si>
  <si>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</si>
  <si>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</si>
  <si>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</si>
  <si>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</si>
  <si>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</si>
  <si>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</si>
  <si>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Summer</t>
  </si>
  <si>
    <t>Spring</t>
  </si>
  <si>
    <t>Fall</t>
  </si>
  <si>
    <t>Winter</t>
  </si>
  <si>
    <t>Weathersit_a</t>
  </si>
  <si>
    <t>Weathersit_b</t>
  </si>
  <si>
    <t>Weathersit_c</t>
  </si>
  <si>
    <t>atemp_scaled</t>
  </si>
  <si>
    <t>hum_scaled</t>
  </si>
  <si>
    <t>windspeed_scaled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</si>
  <si>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</si>
  <si>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</si>
  <si>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</si>
  <si>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</si>
  <si>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</si>
  <si>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</si>
  <si>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</si>
  <si>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</si>
  <si>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</si>
  <si>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</si>
  <si>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</si>
  <si>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</si>
  <si>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</si>
  <si>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</si>
  <si>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</si>
  <si>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</si>
  <si>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</si>
  <si>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</si>
  <si>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</si>
  <si>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</si>
  <si>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</si>
  <si>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</si>
  <si>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</si>
  <si>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</si>
  <si>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cnt_scaled</t>
  </si>
  <si>
    <t>Jan</t>
  </si>
  <si>
    <t xml:space="preserve">Feb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</si>
  <si>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</si>
  <si>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</si>
  <si>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</si>
  <si>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</si>
  <si>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</si>
  <si>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</si>
  <si>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</si>
  <si>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</si>
  <si>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</si>
  <si>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</si>
  <si>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Monday</t>
  </si>
  <si>
    <t>Tuesday</t>
  </si>
  <si>
    <t>Wednesday</t>
  </si>
  <si>
    <t>Thursday</t>
  </si>
  <si>
    <t>Friday</t>
  </si>
  <si>
    <t>Saturday</t>
  </si>
  <si>
    <t>Sunday</t>
  </si>
  <si>
    <t>Mean:</t>
  </si>
  <si>
    <t>Std. Deviation: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</si>
</sst>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0" xfId="0" applyFill="1"/>
    <xf numFmtId="2" fontId="0" fillId="0" borderId="0" xfId="0" applyNumberFormat="1" applyFill="1"/>
    <xf numFmtId="0" fontId="2" fillId="0" borderId="2" xfId="0" applyFont="1" applyFill="1" applyBorder="1" applyAlignment="1">
      <alignment horizontal="centerContinuous"/>
    </xf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3">
    <dxf>
      <font>
        <b/>
        <i val="0"/>
      </font>
      <fill>
        <patternFill patternType="darkGray">
          <fgColor rgb="FF92D050"/>
          <bgColor theme="0"/>
        </patternFill>
      </fill>
    </dxf>
    <dxf>
      <font>
        <b/>
        <i val="0"/>
      </font>
      <fill>
        <patternFill patternType="darkGray">
          <fgColor rgb="FFFF0000"/>
        </patternFill>
      </fill>
    </dxf>
    <dxf>
      <font>
        <b/>
        <i val="0"/>
      </font>
      <fill>
        <patternFill patternType="darkGray">
          <f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732"/>
  <sheetViews>
    <sheetView tabSelected="1" workbookViewId="0"/>
  </sheetViews>
  <sheetFormatPr defaultRowHeight="14.4" x14ac:dyDescent="0.3"/>
  <cols>
    <col min="1" max="1" width="6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14.110847</v>
      </c>
      <c r="K2">
        <v>18.181249999999999</v>
      </c>
      <c r="L2">
        <v>80.583299999999994</v>
      </c>
      <c r="M2">
        <v>10.749881999999999</v>
      </c>
      <c r="N2">
        <v>331</v>
      </c>
      <c r="O2">
        <v>654</v>
      </c>
      <c r="P2">
        <v>985</v>
      </c>
    </row>
    <row r="3" spans="1:16" x14ac:dyDescent="0.3">
      <c r="A3">
        <v>2</v>
      </c>
      <c r="B3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14.902597999999999</v>
      </c>
      <c r="K3">
        <v>17.68695</v>
      </c>
      <c r="L3">
        <v>69.608699999999999</v>
      </c>
      <c r="M3">
        <v>16.652113</v>
      </c>
      <c r="N3">
        <v>131</v>
      </c>
      <c r="O3">
        <v>670</v>
      </c>
      <c r="P3">
        <v>801</v>
      </c>
    </row>
    <row r="4" spans="1:16" x14ac:dyDescent="0.3">
      <c r="A4">
        <v>3</v>
      </c>
      <c r="B4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8.0509240000000002</v>
      </c>
      <c r="K4">
        <v>9.4702500000000001</v>
      </c>
      <c r="L4">
        <v>43.7273</v>
      </c>
      <c r="M4">
        <v>16.636703000000001</v>
      </c>
      <c r="N4">
        <v>120</v>
      </c>
      <c r="O4">
        <v>1229</v>
      </c>
      <c r="P4">
        <v>1349</v>
      </c>
    </row>
    <row r="5" spans="1:16" x14ac:dyDescent="0.3">
      <c r="A5">
        <v>4</v>
      </c>
      <c r="B5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8.1999999999999993</v>
      </c>
      <c r="K5">
        <v>10.6061</v>
      </c>
      <c r="L5">
        <v>59.043500000000002</v>
      </c>
      <c r="M5">
        <v>10.739832</v>
      </c>
      <c r="N5">
        <v>108</v>
      </c>
      <c r="O5">
        <v>1454</v>
      </c>
      <c r="P5">
        <v>1562</v>
      </c>
    </row>
    <row r="6" spans="1:16" x14ac:dyDescent="0.3">
      <c r="A6">
        <v>5</v>
      </c>
      <c r="B6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9.305237</v>
      </c>
      <c r="K6">
        <v>11.4635</v>
      </c>
      <c r="L6">
        <v>43.695700000000002</v>
      </c>
      <c r="M6">
        <v>12.5223</v>
      </c>
      <c r="N6">
        <v>82</v>
      </c>
      <c r="O6">
        <v>1518</v>
      </c>
      <c r="P6">
        <v>1600</v>
      </c>
    </row>
    <row r="7" spans="1:16" x14ac:dyDescent="0.3">
      <c r="A7">
        <v>6</v>
      </c>
      <c r="B7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8.3782680000000003</v>
      </c>
      <c r="K7">
        <v>11.660450000000001</v>
      </c>
      <c r="L7">
        <v>51.826099999999997</v>
      </c>
      <c r="M7">
        <v>6.0008683999999999</v>
      </c>
      <c r="N7">
        <v>88</v>
      </c>
      <c r="O7">
        <v>1518</v>
      </c>
      <c r="P7">
        <v>1606</v>
      </c>
    </row>
    <row r="8" spans="1:16" x14ac:dyDescent="0.3">
      <c r="A8">
        <v>7</v>
      </c>
      <c r="B8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8.0574019999999997</v>
      </c>
      <c r="K8">
        <v>10.44195</v>
      </c>
      <c r="L8">
        <v>49.869599999999998</v>
      </c>
      <c r="M8">
        <v>11.304641999999999</v>
      </c>
      <c r="N8">
        <v>148</v>
      </c>
      <c r="O8">
        <v>1362</v>
      </c>
      <c r="P8">
        <v>1510</v>
      </c>
    </row>
    <row r="9" spans="1:16" x14ac:dyDescent="0.3">
      <c r="A9">
        <v>8</v>
      </c>
      <c r="B9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6.7649999999999997</v>
      </c>
      <c r="K9">
        <v>8.1127000000000002</v>
      </c>
      <c r="L9">
        <v>53.583300000000001</v>
      </c>
      <c r="M9">
        <v>17.875868000000001</v>
      </c>
      <c r="N9">
        <v>68</v>
      </c>
      <c r="O9">
        <v>891</v>
      </c>
      <c r="P9">
        <v>959</v>
      </c>
    </row>
    <row r="10" spans="1:16" x14ac:dyDescent="0.3">
      <c r="A10">
        <v>9</v>
      </c>
      <c r="B10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5.6716530000000001</v>
      </c>
      <c r="K10">
        <v>5.8087499999999999</v>
      </c>
      <c r="L10">
        <v>43.416699999999999</v>
      </c>
      <c r="M10">
        <v>24.25065</v>
      </c>
      <c r="N10">
        <v>54</v>
      </c>
      <c r="O10">
        <v>768</v>
      </c>
      <c r="P10">
        <v>822</v>
      </c>
    </row>
    <row r="11" spans="1:16" x14ac:dyDescent="0.3">
      <c r="A11">
        <v>10</v>
      </c>
      <c r="B1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6.1841530000000002</v>
      </c>
      <c r="K11">
        <v>7.5444000000000004</v>
      </c>
      <c r="L11">
        <v>48.291699999999999</v>
      </c>
      <c r="M11">
        <v>14.958888999999999</v>
      </c>
      <c r="N11">
        <v>41</v>
      </c>
      <c r="O11">
        <v>1280</v>
      </c>
      <c r="P11">
        <v>1321</v>
      </c>
    </row>
    <row r="12" spans="1:16" x14ac:dyDescent="0.3">
      <c r="A12">
        <v>11</v>
      </c>
      <c r="B12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6.9327310000000004</v>
      </c>
      <c r="K12">
        <v>9.5731999999999999</v>
      </c>
      <c r="L12">
        <v>68.636399999999995</v>
      </c>
      <c r="M12">
        <v>8.1828439999999993</v>
      </c>
      <c r="N12">
        <v>43</v>
      </c>
      <c r="O12">
        <v>1220</v>
      </c>
      <c r="P12">
        <v>1263</v>
      </c>
    </row>
    <row r="13" spans="1:16" x14ac:dyDescent="0.3">
      <c r="A13">
        <v>12</v>
      </c>
      <c r="B13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7.0818070000000004</v>
      </c>
      <c r="K13">
        <v>8.0236499999999999</v>
      </c>
      <c r="L13">
        <v>59.954500000000003</v>
      </c>
      <c r="M13">
        <v>20.410008999999999</v>
      </c>
      <c r="N13">
        <v>25</v>
      </c>
      <c r="O13">
        <v>1137</v>
      </c>
      <c r="P13">
        <v>1162</v>
      </c>
    </row>
    <row r="14" spans="1:16" x14ac:dyDescent="0.3">
      <c r="A14">
        <v>13</v>
      </c>
      <c r="B14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6.7649999999999997</v>
      </c>
      <c r="K14">
        <v>7.5441500000000001</v>
      </c>
      <c r="L14">
        <v>47.041699999999999</v>
      </c>
      <c r="M14">
        <v>20.167000000000002</v>
      </c>
      <c r="N14">
        <v>38</v>
      </c>
      <c r="O14">
        <v>1368</v>
      </c>
      <c r="P14">
        <v>1406</v>
      </c>
    </row>
    <row r="15" spans="1:16" x14ac:dyDescent="0.3">
      <c r="A15">
        <v>14</v>
      </c>
      <c r="B15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6.5956700000000001</v>
      </c>
      <c r="K15">
        <v>9.4206500000000002</v>
      </c>
      <c r="L15">
        <v>53.782600000000002</v>
      </c>
      <c r="M15">
        <v>8.4787160000000004</v>
      </c>
      <c r="N15">
        <v>54</v>
      </c>
      <c r="O15">
        <v>1367</v>
      </c>
      <c r="P15">
        <v>1421</v>
      </c>
    </row>
    <row r="16" spans="1:16" x14ac:dyDescent="0.3">
      <c r="A16">
        <v>15</v>
      </c>
      <c r="B16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9.5666530000000005</v>
      </c>
      <c r="K16">
        <v>12.4056</v>
      </c>
      <c r="L16">
        <v>49.875</v>
      </c>
      <c r="M16">
        <v>10.583520999999999</v>
      </c>
      <c r="N16">
        <v>222</v>
      </c>
      <c r="O16">
        <v>1026</v>
      </c>
      <c r="P16">
        <v>1248</v>
      </c>
    </row>
    <row r="17" spans="1:16" x14ac:dyDescent="0.3">
      <c r="A17">
        <v>16</v>
      </c>
      <c r="B17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9.4983470000000008</v>
      </c>
      <c r="K17">
        <v>11.710850000000001</v>
      </c>
      <c r="L17">
        <v>48.375</v>
      </c>
      <c r="M17">
        <v>12.625011000000001</v>
      </c>
      <c r="N17">
        <v>251</v>
      </c>
      <c r="O17">
        <v>953</v>
      </c>
      <c r="P17">
        <v>1204</v>
      </c>
    </row>
    <row r="18" spans="1:16" x14ac:dyDescent="0.3">
      <c r="A18">
        <v>17</v>
      </c>
      <c r="B18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7.2091529999999997</v>
      </c>
      <c r="K18">
        <v>8.8385499999999997</v>
      </c>
      <c r="L18">
        <v>53.75</v>
      </c>
      <c r="M18">
        <v>12.999139</v>
      </c>
      <c r="N18">
        <v>117</v>
      </c>
      <c r="O18">
        <v>883</v>
      </c>
      <c r="P18">
        <v>1000</v>
      </c>
    </row>
    <row r="19" spans="1:16" x14ac:dyDescent="0.3">
      <c r="A19">
        <v>18</v>
      </c>
      <c r="B19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8.8833470000000005</v>
      </c>
      <c r="K19">
        <v>11.61665</v>
      </c>
      <c r="L19">
        <v>86.166700000000006</v>
      </c>
      <c r="M19">
        <v>9.8339250000000007</v>
      </c>
      <c r="N19">
        <v>9</v>
      </c>
      <c r="O19">
        <v>674</v>
      </c>
      <c r="P19">
        <v>683</v>
      </c>
    </row>
    <row r="20" spans="1:16" x14ac:dyDescent="0.3">
      <c r="A20">
        <v>19</v>
      </c>
      <c r="B20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11.979134</v>
      </c>
      <c r="K20">
        <v>14.921099999999999</v>
      </c>
      <c r="L20">
        <v>74.173900000000003</v>
      </c>
      <c r="M20">
        <v>13.957239</v>
      </c>
      <c r="N20">
        <v>78</v>
      </c>
      <c r="O20">
        <v>1572</v>
      </c>
      <c r="P20">
        <v>1650</v>
      </c>
    </row>
    <row r="21" spans="1:16" x14ac:dyDescent="0.3">
      <c r="A21">
        <v>20</v>
      </c>
      <c r="B2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10.728346999999999</v>
      </c>
      <c r="K21">
        <v>12.7525</v>
      </c>
      <c r="L21">
        <v>53.833300000000001</v>
      </c>
      <c r="M21">
        <v>13.125567999999999</v>
      </c>
      <c r="N21">
        <v>83</v>
      </c>
      <c r="O21">
        <v>1844</v>
      </c>
      <c r="P21">
        <v>1927</v>
      </c>
    </row>
    <row r="22" spans="1:16" x14ac:dyDescent="0.3">
      <c r="A22">
        <v>21</v>
      </c>
      <c r="B22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7.2774999999999999</v>
      </c>
      <c r="K22">
        <v>7.8916500000000003</v>
      </c>
      <c r="L22">
        <v>45.708300000000001</v>
      </c>
      <c r="M22">
        <v>23.667214000000001</v>
      </c>
      <c r="N22">
        <v>75</v>
      </c>
      <c r="O22">
        <v>1468</v>
      </c>
      <c r="P22">
        <v>1543</v>
      </c>
    </row>
    <row r="23" spans="1:16" x14ac:dyDescent="0.3">
      <c r="A23">
        <v>22</v>
      </c>
      <c r="B23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2.4243464000000001</v>
      </c>
      <c r="K23">
        <v>3.9534799999999999</v>
      </c>
      <c r="L23">
        <v>40</v>
      </c>
      <c r="M23">
        <v>11.521990000000001</v>
      </c>
      <c r="N23">
        <v>93</v>
      </c>
      <c r="O23">
        <v>888</v>
      </c>
      <c r="P23">
        <v>981</v>
      </c>
    </row>
    <row r="24" spans="1:16" x14ac:dyDescent="0.3">
      <c r="A24">
        <v>23</v>
      </c>
      <c r="B24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3.9573896999999998</v>
      </c>
      <c r="K24">
        <v>4.9419550000000001</v>
      </c>
      <c r="L24">
        <v>43.652200000000001</v>
      </c>
      <c r="M24">
        <v>16.522200000000002</v>
      </c>
      <c r="N24">
        <v>150</v>
      </c>
      <c r="O24">
        <v>836</v>
      </c>
      <c r="P24">
        <v>986</v>
      </c>
    </row>
    <row r="25" spans="1:16" x14ac:dyDescent="0.3">
      <c r="A25">
        <v>24</v>
      </c>
      <c r="B25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3.9930433000000001</v>
      </c>
      <c r="K25">
        <v>5.8964999999999996</v>
      </c>
      <c r="L25">
        <v>49.173900000000003</v>
      </c>
      <c r="M25">
        <v>10.60811</v>
      </c>
      <c r="N25">
        <v>86</v>
      </c>
      <c r="O25">
        <v>1330</v>
      </c>
      <c r="P25">
        <v>1416</v>
      </c>
    </row>
    <row r="26" spans="1:16" x14ac:dyDescent="0.3">
      <c r="A26">
        <v>25</v>
      </c>
      <c r="B26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9.1625979999999991</v>
      </c>
      <c r="K26">
        <v>11.7263</v>
      </c>
      <c r="L26">
        <v>61.695700000000002</v>
      </c>
      <c r="M26">
        <v>8.696332</v>
      </c>
      <c r="N26">
        <v>186</v>
      </c>
      <c r="O26">
        <v>1799</v>
      </c>
      <c r="P26">
        <v>1985</v>
      </c>
    </row>
    <row r="27" spans="1:16" x14ac:dyDescent="0.3">
      <c r="A27">
        <v>26</v>
      </c>
      <c r="B27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8.9175000000000004</v>
      </c>
      <c r="K27">
        <v>10.18</v>
      </c>
      <c r="L27">
        <v>86.25</v>
      </c>
      <c r="M27">
        <v>19.687950000000001</v>
      </c>
      <c r="N27">
        <v>34</v>
      </c>
      <c r="O27">
        <v>472</v>
      </c>
      <c r="P27">
        <v>506</v>
      </c>
    </row>
    <row r="28" spans="1:16" x14ac:dyDescent="0.3">
      <c r="A28">
        <v>27</v>
      </c>
      <c r="B28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7.9950000000000001</v>
      </c>
      <c r="K28">
        <v>10.984999999999999</v>
      </c>
      <c r="L28">
        <v>68.75</v>
      </c>
      <c r="M28">
        <v>7.6270790000000002</v>
      </c>
      <c r="N28">
        <v>15</v>
      </c>
      <c r="O28">
        <v>416</v>
      </c>
      <c r="P28">
        <v>431</v>
      </c>
    </row>
    <row r="29" spans="1:16" x14ac:dyDescent="0.3">
      <c r="A29">
        <v>28</v>
      </c>
      <c r="B29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8.3425980000000006</v>
      </c>
      <c r="K29">
        <v>11.165850000000001</v>
      </c>
      <c r="L29">
        <v>79.304299999999998</v>
      </c>
      <c r="M29">
        <v>8.2611000000000008</v>
      </c>
      <c r="N29">
        <v>38</v>
      </c>
      <c r="O29">
        <v>1129</v>
      </c>
      <c r="P29">
        <v>1167</v>
      </c>
    </row>
    <row r="30" spans="1:16" x14ac:dyDescent="0.3">
      <c r="A30">
        <v>29</v>
      </c>
      <c r="B30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8.0574019999999997</v>
      </c>
      <c r="K30">
        <v>10.606299999999999</v>
      </c>
      <c r="L30">
        <v>65.173900000000003</v>
      </c>
      <c r="M30">
        <v>9.7394549999999995</v>
      </c>
      <c r="N30">
        <v>123</v>
      </c>
      <c r="O30">
        <v>975</v>
      </c>
      <c r="P30">
        <v>1098</v>
      </c>
    </row>
    <row r="31" spans="1:16" x14ac:dyDescent="0.3">
      <c r="A31">
        <v>30</v>
      </c>
      <c r="B3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8.877402</v>
      </c>
      <c r="K31">
        <v>12.5161</v>
      </c>
      <c r="L31">
        <v>72.217399999999998</v>
      </c>
      <c r="M31">
        <v>4.9568342000000003</v>
      </c>
      <c r="N31">
        <v>140</v>
      </c>
      <c r="O31">
        <v>956</v>
      </c>
      <c r="P31">
        <v>1096</v>
      </c>
    </row>
    <row r="32" spans="1:16" x14ac:dyDescent="0.3">
      <c r="A32">
        <v>31</v>
      </c>
      <c r="B32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7.4141529999999998</v>
      </c>
      <c r="K32">
        <v>9.3125</v>
      </c>
      <c r="L32">
        <v>60.375</v>
      </c>
      <c r="M32">
        <v>12.541864</v>
      </c>
      <c r="N32">
        <v>42</v>
      </c>
      <c r="O32">
        <v>1459</v>
      </c>
      <c r="P32">
        <v>1501</v>
      </c>
    </row>
    <row r="33" spans="1:16" x14ac:dyDescent="0.3">
      <c r="A33">
        <v>32</v>
      </c>
      <c r="B33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7.8791339999999996</v>
      </c>
      <c r="K33">
        <v>11.7265</v>
      </c>
      <c r="L33">
        <v>82.956500000000005</v>
      </c>
      <c r="M33">
        <v>3.5652710000000001</v>
      </c>
      <c r="N33">
        <v>47</v>
      </c>
      <c r="O33">
        <v>1313</v>
      </c>
      <c r="P33">
        <v>1360</v>
      </c>
    </row>
    <row r="34" spans="1:16" x14ac:dyDescent="0.3">
      <c r="A34">
        <v>33</v>
      </c>
      <c r="B34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10.66</v>
      </c>
      <c r="K34">
        <v>12.72085</v>
      </c>
      <c r="L34">
        <v>77.541700000000006</v>
      </c>
      <c r="M34">
        <v>17.708635999999998</v>
      </c>
      <c r="N34">
        <v>72</v>
      </c>
      <c r="O34">
        <v>1454</v>
      </c>
      <c r="P34">
        <v>1526</v>
      </c>
    </row>
    <row r="35" spans="1:16" x14ac:dyDescent="0.3">
      <c r="A35">
        <v>34</v>
      </c>
      <c r="B35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7.6652370000000003</v>
      </c>
      <c r="K35">
        <v>8.8939000000000004</v>
      </c>
      <c r="L35">
        <v>43.782600000000002</v>
      </c>
      <c r="M35">
        <v>18.609383999999999</v>
      </c>
      <c r="N35">
        <v>61</v>
      </c>
      <c r="O35">
        <v>1489</v>
      </c>
      <c r="P35">
        <v>1550</v>
      </c>
    </row>
    <row r="36" spans="1:16" x14ac:dyDescent="0.3">
      <c r="A36">
        <v>35</v>
      </c>
      <c r="B36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8.6634639999999994</v>
      </c>
      <c r="K36">
        <v>11.429349999999999</v>
      </c>
      <c r="L36">
        <v>58.521700000000003</v>
      </c>
      <c r="M36">
        <v>8.565213</v>
      </c>
      <c r="N36">
        <v>88</v>
      </c>
      <c r="O36">
        <v>1620</v>
      </c>
      <c r="P36">
        <v>1708</v>
      </c>
    </row>
    <row r="37" spans="1:16" x14ac:dyDescent="0.3">
      <c r="A37">
        <v>36</v>
      </c>
      <c r="B37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9.5666530000000005</v>
      </c>
      <c r="K37">
        <v>12.152900000000001</v>
      </c>
      <c r="L37">
        <v>92.916700000000006</v>
      </c>
      <c r="M37">
        <v>10.792293000000001</v>
      </c>
      <c r="N37">
        <v>100</v>
      </c>
      <c r="O37">
        <v>905</v>
      </c>
      <c r="P37">
        <v>1005</v>
      </c>
    </row>
    <row r="38" spans="1:16" x14ac:dyDescent="0.3">
      <c r="A38">
        <v>37</v>
      </c>
      <c r="B38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11.719153</v>
      </c>
      <c r="K38">
        <v>14.583550000000001</v>
      </c>
      <c r="L38">
        <v>56.833300000000001</v>
      </c>
      <c r="M38">
        <v>9.5006000000000004</v>
      </c>
      <c r="N38">
        <v>354</v>
      </c>
      <c r="O38">
        <v>1269</v>
      </c>
      <c r="P38">
        <v>1623</v>
      </c>
    </row>
    <row r="39" spans="1:16" x14ac:dyDescent="0.3">
      <c r="A39">
        <v>38</v>
      </c>
      <c r="B39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11.138347</v>
      </c>
      <c r="K39">
        <v>15.1829</v>
      </c>
      <c r="L39">
        <v>73.833299999999994</v>
      </c>
      <c r="M39">
        <v>3.0423561000000001</v>
      </c>
      <c r="N39">
        <v>120</v>
      </c>
      <c r="O39">
        <v>1592</v>
      </c>
      <c r="P39">
        <v>1712</v>
      </c>
    </row>
    <row r="40" spans="1:16" x14ac:dyDescent="0.3">
      <c r="A40">
        <v>39</v>
      </c>
      <c r="B40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9.0541529999999995</v>
      </c>
      <c r="K40">
        <v>9.9123000000000001</v>
      </c>
      <c r="L40">
        <v>53.791699999999999</v>
      </c>
      <c r="M40">
        <v>24.25065</v>
      </c>
      <c r="N40">
        <v>64</v>
      </c>
      <c r="O40">
        <v>1466</v>
      </c>
      <c r="P40">
        <v>1530</v>
      </c>
    </row>
    <row r="41" spans="1:16" x14ac:dyDescent="0.3">
      <c r="A41">
        <v>40</v>
      </c>
      <c r="B4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5.526103</v>
      </c>
      <c r="K41">
        <v>7.2141500000000001</v>
      </c>
      <c r="L41">
        <v>49.478299999999997</v>
      </c>
      <c r="M41">
        <v>12.652213</v>
      </c>
      <c r="N41">
        <v>53</v>
      </c>
      <c r="O41">
        <v>1552</v>
      </c>
      <c r="P41">
        <v>1605</v>
      </c>
    </row>
    <row r="42" spans="1:16" x14ac:dyDescent="0.3">
      <c r="A42">
        <v>41</v>
      </c>
      <c r="B42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5.9182680000000003</v>
      </c>
      <c r="K42">
        <v>7.4774000000000003</v>
      </c>
      <c r="L42">
        <v>43.739100000000001</v>
      </c>
      <c r="M42">
        <v>14.869645</v>
      </c>
      <c r="N42">
        <v>47</v>
      </c>
      <c r="O42">
        <v>1491</v>
      </c>
      <c r="P42">
        <v>1538</v>
      </c>
    </row>
    <row r="43" spans="1:16" x14ac:dyDescent="0.3">
      <c r="A43">
        <v>42</v>
      </c>
      <c r="B43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7.7527309999999998</v>
      </c>
      <c r="K43">
        <v>10.67545</v>
      </c>
      <c r="L43">
        <v>50.636400000000002</v>
      </c>
      <c r="M43">
        <v>7.27285</v>
      </c>
      <c r="N43">
        <v>149</v>
      </c>
      <c r="O43">
        <v>1597</v>
      </c>
      <c r="P43">
        <v>1746</v>
      </c>
    </row>
    <row r="44" spans="1:16" x14ac:dyDescent="0.3">
      <c r="A44">
        <v>43</v>
      </c>
      <c r="B44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9.1225000000000005</v>
      </c>
      <c r="K44">
        <v>11.6477</v>
      </c>
      <c r="L44">
        <v>54.416699999999999</v>
      </c>
      <c r="M44">
        <v>13.625589</v>
      </c>
      <c r="N44">
        <v>288</v>
      </c>
      <c r="O44">
        <v>1184</v>
      </c>
      <c r="P44">
        <v>1472</v>
      </c>
    </row>
    <row r="45" spans="1:16" x14ac:dyDescent="0.3">
      <c r="A45">
        <v>44</v>
      </c>
      <c r="B45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12.977402</v>
      </c>
      <c r="K45">
        <v>16.205649999999999</v>
      </c>
      <c r="L45">
        <v>45.739100000000001</v>
      </c>
      <c r="M45">
        <v>17.479161000000001</v>
      </c>
      <c r="N45">
        <v>397</v>
      </c>
      <c r="O45">
        <v>1192</v>
      </c>
      <c r="P45">
        <v>1589</v>
      </c>
    </row>
    <row r="46" spans="1:16" x14ac:dyDescent="0.3">
      <c r="A46">
        <v>45</v>
      </c>
      <c r="B46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17.015000000000001</v>
      </c>
      <c r="K46">
        <v>19.9175</v>
      </c>
      <c r="L46">
        <v>37.583300000000001</v>
      </c>
      <c r="M46">
        <v>27.999835999999998</v>
      </c>
      <c r="N46">
        <v>208</v>
      </c>
      <c r="O46">
        <v>1705</v>
      </c>
      <c r="P46">
        <v>1913</v>
      </c>
    </row>
    <row r="47" spans="1:16" x14ac:dyDescent="0.3">
      <c r="A47">
        <v>46</v>
      </c>
      <c r="B47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10.909566999999999</v>
      </c>
      <c r="K47">
        <v>12.713699999999999</v>
      </c>
      <c r="L47">
        <v>31.434799999999999</v>
      </c>
      <c r="M47">
        <v>19.522058000000001</v>
      </c>
      <c r="N47">
        <v>140</v>
      </c>
      <c r="O47">
        <v>1675</v>
      </c>
      <c r="P47">
        <v>1815</v>
      </c>
    </row>
    <row r="48" spans="1:16" x14ac:dyDescent="0.3">
      <c r="A48">
        <v>47</v>
      </c>
      <c r="B48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13.048700999999999</v>
      </c>
      <c r="K48">
        <v>15.81</v>
      </c>
      <c r="L48">
        <v>42.347799999999999</v>
      </c>
      <c r="M48">
        <v>16.869997000000001</v>
      </c>
      <c r="N48">
        <v>218</v>
      </c>
      <c r="O48">
        <v>1897</v>
      </c>
      <c r="P48">
        <v>2115</v>
      </c>
    </row>
    <row r="49" spans="1:16" x14ac:dyDescent="0.3">
      <c r="A49">
        <v>48</v>
      </c>
      <c r="B49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17.869153000000001</v>
      </c>
      <c r="K49">
        <v>21.4329</v>
      </c>
      <c r="L49">
        <v>50.5</v>
      </c>
      <c r="M49">
        <v>15.416968000000001</v>
      </c>
      <c r="N49">
        <v>259</v>
      </c>
      <c r="O49">
        <v>2216</v>
      </c>
      <c r="P49">
        <v>2475</v>
      </c>
    </row>
    <row r="50" spans="1:16" x14ac:dyDescent="0.3">
      <c r="A50">
        <v>49</v>
      </c>
      <c r="B50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21.388347</v>
      </c>
      <c r="K50">
        <v>25.599150000000002</v>
      </c>
      <c r="L50">
        <v>51.666699999999999</v>
      </c>
      <c r="M50">
        <v>17.749974999999999</v>
      </c>
      <c r="N50">
        <v>579</v>
      </c>
      <c r="O50">
        <v>2348</v>
      </c>
      <c r="P50">
        <v>2927</v>
      </c>
    </row>
    <row r="51" spans="1:16" x14ac:dyDescent="0.3">
      <c r="A51">
        <v>50</v>
      </c>
      <c r="B5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16.365846999999999</v>
      </c>
      <c r="K51">
        <v>19.5702</v>
      </c>
      <c r="L51">
        <v>18.791699999999999</v>
      </c>
      <c r="M51">
        <v>34.000020999999997</v>
      </c>
      <c r="N51">
        <v>532</v>
      </c>
      <c r="O51">
        <v>1103</v>
      </c>
      <c r="P51">
        <v>1635</v>
      </c>
    </row>
    <row r="52" spans="1:16" x14ac:dyDescent="0.3">
      <c r="A52">
        <v>51</v>
      </c>
      <c r="B52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11.693897</v>
      </c>
      <c r="K52">
        <v>13.8665</v>
      </c>
      <c r="L52">
        <v>40.782600000000002</v>
      </c>
      <c r="M52">
        <v>14.956745</v>
      </c>
      <c r="N52">
        <v>639</v>
      </c>
      <c r="O52">
        <v>1173</v>
      </c>
      <c r="P52">
        <v>1812</v>
      </c>
    </row>
    <row r="53" spans="1:16" x14ac:dyDescent="0.3">
      <c r="A53">
        <v>52</v>
      </c>
      <c r="B53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12.436653</v>
      </c>
      <c r="K53">
        <v>14.203749999999999</v>
      </c>
      <c r="L53">
        <v>60.5</v>
      </c>
      <c r="M53">
        <v>20.625682000000001</v>
      </c>
      <c r="N53">
        <v>195</v>
      </c>
      <c r="O53">
        <v>912</v>
      </c>
      <c r="P53">
        <v>1107</v>
      </c>
    </row>
    <row r="54" spans="1:16" x14ac:dyDescent="0.3">
      <c r="A54">
        <v>53</v>
      </c>
      <c r="B54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7.4711020000000001</v>
      </c>
      <c r="K54">
        <v>9.3016500000000004</v>
      </c>
      <c r="L54">
        <v>57.777799999999999</v>
      </c>
      <c r="M54">
        <v>13.110761</v>
      </c>
      <c r="N54">
        <v>74</v>
      </c>
      <c r="O54">
        <v>1376</v>
      </c>
      <c r="P54">
        <v>1450</v>
      </c>
    </row>
    <row r="55" spans="1:16" x14ac:dyDescent="0.3">
      <c r="A55">
        <v>54</v>
      </c>
      <c r="B55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9.0912989999999994</v>
      </c>
      <c r="K55">
        <v>12.28585</v>
      </c>
      <c r="L55">
        <v>42.304299999999998</v>
      </c>
      <c r="M55">
        <v>6.3055709999999996</v>
      </c>
      <c r="N55">
        <v>139</v>
      </c>
      <c r="O55">
        <v>1778</v>
      </c>
      <c r="P55">
        <v>1917</v>
      </c>
    </row>
    <row r="56" spans="1:16" x14ac:dyDescent="0.3">
      <c r="A56">
        <v>55</v>
      </c>
      <c r="B56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12.121732</v>
      </c>
      <c r="K56">
        <v>14.45955</v>
      </c>
      <c r="L56">
        <v>69.739099999999993</v>
      </c>
      <c r="M56">
        <v>16.783232000000002</v>
      </c>
      <c r="N56">
        <v>100</v>
      </c>
      <c r="O56">
        <v>1707</v>
      </c>
      <c r="P56">
        <v>1807</v>
      </c>
    </row>
    <row r="57" spans="1:16" x14ac:dyDescent="0.3">
      <c r="A57">
        <v>56</v>
      </c>
      <c r="B57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14.938268000000001</v>
      </c>
      <c r="K57">
        <v>17.523050000000001</v>
      </c>
      <c r="L57">
        <v>71.217399999999998</v>
      </c>
      <c r="M57">
        <v>23.218112999999999</v>
      </c>
      <c r="N57">
        <v>120</v>
      </c>
      <c r="O57">
        <v>1341</v>
      </c>
      <c r="P57">
        <v>1461</v>
      </c>
    </row>
    <row r="58" spans="1:16" x14ac:dyDescent="0.3">
      <c r="A58">
        <v>57</v>
      </c>
      <c r="B58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11.5825</v>
      </c>
      <c r="K58">
        <v>14.1096</v>
      </c>
      <c r="L58">
        <v>53.791699999999999</v>
      </c>
      <c r="M58">
        <v>12.500257</v>
      </c>
      <c r="N58">
        <v>424</v>
      </c>
      <c r="O58">
        <v>1545</v>
      </c>
      <c r="P58">
        <v>1969</v>
      </c>
    </row>
    <row r="59" spans="1:16" x14ac:dyDescent="0.3">
      <c r="A59">
        <v>58</v>
      </c>
      <c r="B59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14.082598000000001</v>
      </c>
      <c r="K59">
        <v>17.55545</v>
      </c>
      <c r="L59">
        <v>68</v>
      </c>
      <c r="M59">
        <v>8.3916160000000009</v>
      </c>
      <c r="N59">
        <v>694</v>
      </c>
      <c r="O59">
        <v>1708</v>
      </c>
      <c r="P59">
        <v>2402</v>
      </c>
    </row>
    <row r="60" spans="1:16" x14ac:dyDescent="0.3">
      <c r="A60">
        <v>59</v>
      </c>
      <c r="B60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16.698193</v>
      </c>
      <c r="K60">
        <v>20.0059</v>
      </c>
      <c r="L60">
        <v>87.636399999999995</v>
      </c>
      <c r="M60">
        <v>19.408961999999999</v>
      </c>
      <c r="N60">
        <v>81</v>
      </c>
      <c r="O60">
        <v>1365</v>
      </c>
      <c r="P60">
        <v>1446</v>
      </c>
    </row>
    <row r="61" spans="1:16" x14ac:dyDescent="0.3">
      <c r="A61">
        <v>60</v>
      </c>
      <c r="B6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10.933346999999999</v>
      </c>
      <c r="K61">
        <v>13.193949999999999</v>
      </c>
      <c r="L61">
        <v>53.5</v>
      </c>
      <c r="M61">
        <v>14.500475</v>
      </c>
      <c r="N61">
        <v>137</v>
      </c>
      <c r="O61">
        <v>1714</v>
      </c>
      <c r="P61">
        <v>1851</v>
      </c>
    </row>
    <row r="62" spans="1:16" x14ac:dyDescent="0.3">
      <c r="A62">
        <v>61</v>
      </c>
      <c r="B62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13.734999999999999</v>
      </c>
      <c r="K62">
        <v>16.003550000000001</v>
      </c>
      <c r="L62">
        <v>44.958300000000001</v>
      </c>
      <c r="M62">
        <v>20.624811000000001</v>
      </c>
      <c r="N62">
        <v>231</v>
      </c>
      <c r="O62">
        <v>1903</v>
      </c>
      <c r="P62">
        <v>2134</v>
      </c>
    </row>
    <row r="63" spans="1:16" x14ac:dyDescent="0.3">
      <c r="A63">
        <v>62</v>
      </c>
      <c r="B63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8.131653</v>
      </c>
      <c r="K63">
        <v>10.00665</v>
      </c>
      <c r="L63">
        <v>31.833300000000001</v>
      </c>
      <c r="M63">
        <v>15.125518</v>
      </c>
      <c r="N63">
        <v>123</v>
      </c>
      <c r="O63">
        <v>1562</v>
      </c>
      <c r="P63">
        <v>1685</v>
      </c>
    </row>
    <row r="64" spans="1:16" x14ac:dyDescent="0.3">
      <c r="A64">
        <v>63</v>
      </c>
      <c r="B64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10.728346999999999</v>
      </c>
      <c r="K64">
        <v>12.783950000000001</v>
      </c>
      <c r="L64">
        <v>61.041699999999999</v>
      </c>
      <c r="M64">
        <v>13.624181999999999</v>
      </c>
      <c r="N64">
        <v>214</v>
      </c>
      <c r="O64">
        <v>1730</v>
      </c>
      <c r="P64">
        <v>1944</v>
      </c>
    </row>
    <row r="65" spans="1:16" x14ac:dyDescent="0.3">
      <c r="A65">
        <v>64</v>
      </c>
      <c r="B65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15.750847</v>
      </c>
      <c r="K65">
        <v>18.938949999999998</v>
      </c>
      <c r="L65">
        <v>78.916700000000006</v>
      </c>
      <c r="M65">
        <v>16.875357000000001</v>
      </c>
      <c r="N65">
        <v>640</v>
      </c>
      <c r="O65">
        <v>1437</v>
      </c>
      <c r="P65">
        <v>2077</v>
      </c>
    </row>
    <row r="66" spans="1:16" x14ac:dyDescent="0.3">
      <c r="A66">
        <v>65</v>
      </c>
      <c r="B66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15.437402000000001</v>
      </c>
      <c r="K66">
        <v>18.3126</v>
      </c>
      <c r="L66">
        <v>94.826099999999997</v>
      </c>
      <c r="M66">
        <v>23.000229000000001</v>
      </c>
      <c r="N66">
        <v>114</v>
      </c>
      <c r="O66">
        <v>491</v>
      </c>
      <c r="P66">
        <v>605</v>
      </c>
    </row>
    <row r="67" spans="1:16" x14ac:dyDescent="0.3">
      <c r="A67">
        <v>66</v>
      </c>
      <c r="B67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10.731299</v>
      </c>
      <c r="K67">
        <v>11.92305</v>
      </c>
      <c r="L67">
        <v>55.130400000000002</v>
      </c>
      <c r="M67">
        <v>22.870584000000001</v>
      </c>
      <c r="N67">
        <v>244</v>
      </c>
      <c r="O67">
        <v>1628</v>
      </c>
      <c r="P67">
        <v>1872</v>
      </c>
    </row>
    <row r="68" spans="1:16" x14ac:dyDescent="0.3">
      <c r="A68">
        <v>67</v>
      </c>
      <c r="B68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11.9925</v>
      </c>
      <c r="K68">
        <v>15.12</v>
      </c>
      <c r="L68">
        <v>42.083300000000001</v>
      </c>
      <c r="M68">
        <v>8.0835500000000007</v>
      </c>
      <c r="N68">
        <v>316</v>
      </c>
      <c r="O68">
        <v>1817</v>
      </c>
      <c r="P68">
        <v>2133</v>
      </c>
    </row>
    <row r="69" spans="1:16" x14ac:dyDescent="0.3">
      <c r="A69">
        <v>68</v>
      </c>
      <c r="B69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12.129153000000001</v>
      </c>
      <c r="K69">
        <v>14.330399999999999</v>
      </c>
      <c r="L69">
        <v>77.541700000000006</v>
      </c>
      <c r="M69">
        <v>14.75005</v>
      </c>
      <c r="N69">
        <v>191</v>
      </c>
      <c r="O69">
        <v>1700</v>
      </c>
      <c r="P69">
        <v>1891</v>
      </c>
    </row>
    <row r="70" spans="1:16" x14ac:dyDescent="0.3">
      <c r="A70">
        <v>69</v>
      </c>
      <c r="B70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15.952731</v>
      </c>
      <c r="K70">
        <v>19.2834</v>
      </c>
      <c r="L70">
        <v>0</v>
      </c>
      <c r="M70">
        <v>17.545759</v>
      </c>
      <c r="N70">
        <v>46</v>
      </c>
      <c r="O70">
        <v>577</v>
      </c>
      <c r="P70">
        <v>623</v>
      </c>
    </row>
    <row r="71" spans="1:16" x14ac:dyDescent="0.3">
      <c r="A71">
        <v>70</v>
      </c>
      <c r="B7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12.977402</v>
      </c>
      <c r="K71">
        <v>15.25</v>
      </c>
      <c r="L71">
        <v>64.956500000000005</v>
      </c>
      <c r="M71">
        <v>15.60899</v>
      </c>
      <c r="N71">
        <v>247</v>
      </c>
      <c r="O71">
        <v>1730</v>
      </c>
      <c r="P71">
        <v>1977</v>
      </c>
    </row>
    <row r="72" spans="1:16" x14ac:dyDescent="0.3">
      <c r="A72">
        <v>71</v>
      </c>
      <c r="B72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13.495846999999999</v>
      </c>
      <c r="K72">
        <v>16.287500000000001</v>
      </c>
      <c r="L72">
        <v>59.458300000000001</v>
      </c>
      <c r="M72">
        <v>14.791925000000001</v>
      </c>
      <c r="N72">
        <v>724</v>
      </c>
      <c r="O72">
        <v>1408</v>
      </c>
      <c r="P72">
        <v>2132</v>
      </c>
    </row>
    <row r="73" spans="1:16" x14ac:dyDescent="0.3">
      <c r="A73">
        <v>72</v>
      </c>
      <c r="B73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15.758267999999999</v>
      </c>
      <c r="K73">
        <v>19.004549999999998</v>
      </c>
      <c r="L73">
        <v>52.739100000000001</v>
      </c>
      <c r="M73">
        <v>18.130468</v>
      </c>
      <c r="N73">
        <v>982</v>
      </c>
      <c r="O73">
        <v>1435</v>
      </c>
      <c r="P73">
        <v>2417</v>
      </c>
    </row>
    <row r="74" spans="1:16" x14ac:dyDescent="0.3">
      <c r="A74">
        <v>73</v>
      </c>
      <c r="B74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13.333897</v>
      </c>
      <c r="K74">
        <v>16.600000000000001</v>
      </c>
      <c r="L74">
        <v>49.695700000000002</v>
      </c>
      <c r="M74">
        <v>9.174042</v>
      </c>
      <c r="N74">
        <v>359</v>
      </c>
      <c r="O74">
        <v>1687</v>
      </c>
      <c r="P74">
        <v>2046</v>
      </c>
    </row>
    <row r="75" spans="1:16" x14ac:dyDescent="0.3">
      <c r="A75">
        <v>74</v>
      </c>
      <c r="B75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13.013031</v>
      </c>
      <c r="K75">
        <v>15.908899999999999</v>
      </c>
      <c r="L75">
        <v>65.565200000000004</v>
      </c>
      <c r="M75">
        <v>12.348703</v>
      </c>
      <c r="N75">
        <v>289</v>
      </c>
      <c r="O75">
        <v>1767</v>
      </c>
      <c r="P75">
        <v>2056</v>
      </c>
    </row>
    <row r="76" spans="1:16" x14ac:dyDescent="0.3">
      <c r="A76">
        <v>75</v>
      </c>
      <c r="B76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14.973896999999999</v>
      </c>
      <c r="K76">
        <v>18.346499999999999</v>
      </c>
      <c r="L76">
        <v>77.652199999999993</v>
      </c>
      <c r="M76">
        <v>13.608839</v>
      </c>
      <c r="N76">
        <v>321</v>
      </c>
      <c r="O76">
        <v>1871</v>
      </c>
      <c r="P76">
        <v>2192</v>
      </c>
    </row>
    <row r="77" spans="1:16" x14ac:dyDescent="0.3">
      <c r="A77">
        <v>76</v>
      </c>
      <c r="B77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17.015000000000001</v>
      </c>
      <c r="K77">
        <v>20.516649999999998</v>
      </c>
      <c r="L77">
        <v>60.291699999999999</v>
      </c>
      <c r="M77">
        <v>14.041793</v>
      </c>
      <c r="N77">
        <v>424</v>
      </c>
      <c r="O77">
        <v>2320</v>
      </c>
      <c r="P77">
        <v>2744</v>
      </c>
    </row>
    <row r="78" spans="1:16" x14ac:dyDescent="0.3">
      <c r="A78">
        <v>77</v>
      </c>
      <c r="B78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22.14</v>
      </c>
      <c r="K78">
        <v>26.350449999999999</v>
      </c>
      <c r="L78">
        <v>52.521700000000003</v>
      </c>
      <c r="M78">
        <v>15.478139000000001</v>
      </c>
      <c r="N78">
        <v>884</v>
      </c>
      <c r="O78">
        <v>2355</v>
      </c>
      <c r="P78">
        <v>3239</v>
      </c>
    </row>
    <row r="79" spans="1:16" x14ac:dyDescent="0.3">
      <c r="A79">
        <v>78</v>
      </c>
      <c r="B79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19.372499999999999</v>
      </c>
      <c r="K79">
        <v>23.326250000000002</v>
      </c>
      <c r="L79">
        <v>37.916699999999999</v>
      </c>
      <c r="M79">
        <v>24.667189</v>
      </c>
      <c r="N79">
        <v>1424</v>
      </c>
      <c r="O79">
        <v>1693</v>
      </c>
      <c r="P79">
        <v>3117</v>
      </c>
    </row>
    <row r="80" spans="1:16" x14ac:dyDescent="0.3">
      <c r="A80">
        <v>79</v>
      </c>
      <c r="B80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13.6325</v>
      </c>
      <c r="K80">
        <v>16.287500000000001</v>
      </c>
      <c r="L80">
        <v>47.375</v>
      </c>
      <c r="M80">
        <v>13.917306999999999</v>
      </c>
      <c r="N80">
        <v>1047</v>
      </c>
      <c r="O80">
        <v>1424</v>
      </c>
      <c r="P80">
        <v>2471</v>
      </c>
    </row>
    <row r="81" spans="1:16" x14ac:dyDescent="0.3">
      <c r="A81">
        <v>80</v>
      </c>
      <c r="B8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17.647835000000001</v>
      </c>
      <c r="K81">
        <v>20.486750000000001</v>
      </c>
      <c r="L81">
        <v>73.739099999999993</v>
      </c>
      <c r="M81">
        <v>19.348461</v>
      </c>
      <c r="N81">
        <v>401</v>
      </c>
      <c r="O81">
        <v>1676</v>
      </c>
      <c r="P81">
        <v>2077</v>
      </c>
    </row>
    <row r="82" spans="1:16" x14ac:dyDescent="0.3">
      <c r="A82">
        <v>81</v>
      </c>
      <c r="B82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18.108346999999998</v>
      </c>
      <c r="K82">
        <v>22.0321</v>
      </c>
      <c r="L82">
        <v>62.458300000000001</v>
      </c>
      <c r="M82">
        <v>15.125249999999999</v>
      </c>
      <c r="N82">
        <v>460</v>
      </c>
      <c r="O82">
        <v>2243</v>
      </c>
      <c r="P82">
        <v>2703</v>
      </c>
    </row>
    <row r="83" spans="1:16" x14ac:dyDescent="0.3">
      <c r="A83">
        <v>82</v>
      </c>
      <c r="B83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14.225237</v>
      </c>
      <c r="K83">
        <v>16.89695</v>
      </c>
      <c r="L83">
        <v>83.956500000000005</v>
      </c>
      <c r="M83">
        <v>15.695487</v>
      </c>
      <c r="N83">
        <v>203</v>
      </c>
      <c r="O83">
        <v>1918</v>
      </c>
      <c r="P83">
        <v>2121</v>
      </c>
    </row>
    <row r="84" spans="1:16" x14ac:dyDescent="0.3">
      <c r="A84">
        <v>83</v>
      </c>
      <c r="B84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11.685</v>
      </c>
      <c r="K84">
        <v>13.541650000000001</v>
      </c>
      <c r="L84">
        <v>80.583299999999994</v>
      </c>
      <c r="M84">
        <v>16.333729000000002</v>
      </c>
      <c r="N84">
        <v>166</v>
      </c>
      <c r="O84">
        <v>1699</v>
      </c>
      <c r="P84">
        <v>1865</v>
      </c>
    </row>
    <row r="85" spans="1:16" x14ac:dyDescent="0.3">
      <c r="A85">
        <v>84</v>
      </c>
      <c r="B85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10.830847</v>
      </c>
      <c r="K85">
        <v>12.8156</v>
      </c>
      <c r="L85">
        <v>49.5</v>
      </c>
      <c r="M85">
        <v>15.458575</v>
      </c>
      <c r="N85">
        <v>300</v>
      </c>
      <c r="O85">
        <v>1910</v>
      </c>
      <c r="P85">
        <v>2210</v>
      </c>
    </row>
    <row r="86" spans="1:16" x14ac:dyDescent="0.3">
      <c r="A86">
        <v>85</v>
      </c>
      <c r="B86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10.899153</v>
      </c>
      <c r="K86">
        <v>12.878550000000001</v>
      </c>
      <c r="L86">
        <v>39.416699999999999</v>
      </c>
      <c r="M86">
        <v>14.041257</v>
      </c>
      <c r="N86">
        <v>981</v>
      </c>
      <c r="O86">
        <v>1515</v>
      </c>
      <c r="P86">
        <v>2496</v>
      </c>
    </row>
    <row r="87" spans="1:16" x14ac:dyDescent="0.3">
      <c r="A87">
        <v>86</v>
      </c>
      <c r="B87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10.374763</v>
      </c>
      <c r="K87">
        <v>12.51695</v>
      </c>
      <c r="L87">
        <v>49.391300000000001</v>
      </c>
      <c r="M87">
        <v>12.348100000000001</v>
      </c>
      <c r="N87">
        <v>472</v>
      </c>
      <c r="O87">
        <v>1221</v>
      </c>
      <c r="P87">
        <v>1693</v>
      </c>
    </row>
    <row r="88" spans="1:16" x14ac:dyDescent="0.3">
      <c r="A88">
        <v>87</v>
      </c>
      <c r="B88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10.838267999999999</v>
      </c>
      <c r="K88">
        <v>12.8787</v>
      </c>
      <c r="L88">
        <v>30.217400000000001</v>
      </c>
      <c r="M88">
        <v>14.217668</v>
      </c>
      <c r="N88">
        <v>222</v>
      </c>
      <c r="O88">
        <v>1806</v>
      </c>
      <c r="P88">
        <v>2028</v>
      </c>
    </row>
    <row r="89" spans="1:16" x14ac:dyDescent="0.3">
      <c r="A89">
        <v>88</v>
      </c>
      <c r="B89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12.4025</v>
      </c>
      <c r="K89">
        <v>14.6454</v>
      </c>
      <c r="L89">
        <v>31.416699999999999</v>
      </c>
      <c r="M89">
        <v>15.208731999999999</v>
      </c>
      <c r="N89">
        <v>317</v>
      </c>
      <c r="O89">
        <v>2108</v>
      </c>
      <c r="P89">
        <v>2425</v>
      </c>
    </row>
    <row r="90" spans="1:16" x14ac:dyDescent="0.3">
      <c r="A90">
        <v>89</v>
      </c>
      <c r="B90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12.3</v>
      </c>
      <c r="K90">
        <v>14.8675</v>
      </c>
      <c r="L90">
        <v>64.666700000000006</v>
      </c>
      <c r="M90">
        <v>11.583496</v>
      </c>
      <c r="N90">
        <v>168</v>
      </c>
      <c r="O90">
        <v>1368</v>
      </c>
      <c r="P90">
        <v>1536</v>
      </c>
    </row>
    <row r="91" spans="1:16" x14ac:dyDescent="0.3">
      <c r="A91">
        <v>90</v>
      </c>
      <c r="B9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11.001652999999999</v>
      </c>
      <c r="K91">
        <v>12.87875</v>
      </c>
      <c r="L91">
        <v>91.833299999999994</v>
      </c>
      <c r="M91">
        <v>14.582281999999999</v>
      </c>
      <c r="N91">
        <v>179</v>
      </c>
      <c r="O91">
        <v>1506</v>
      </c>
      <c r="P91">
        <v>1685</v>
      </c>
    </row>
    <row r="92" spans="1:16" x14ac:dyDescent="0.3">
      <c r="A92">
        <v>91</v>
      </c>
      <c r="B92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12.3</v>
      </c>
      <c r="K92">
        <v>14.172700000000001</v>
      </c>
      <c r="L92">
        <v>68.625</v>
      </c>
      <c r="M92">
        <v>17.333435999999999</v>
      </c>
      <c r="N92">
        <v>307</v>
      </c>
      <c r="O92">
        <v>1920</v>
      </c>
      <c r="P92">
        <v>2227</v>
      </c>
    </row>
    <row r="93" spans="1:16" x14ac:dyDescent="0.3">
      <c r="A93">
        <v>92</v>
      </c>
      <c r="B93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12.914999999999999</v>
      </c>
      <c r="K93">
        <v>15.78185</v>
      </c>
      <c r="L93">
        <v>65.375</v>
      </c>
      <c r="M93">
        <v>13.208781999999999</v>
      </c>
      <c r="N93">
        <v>898</v>
      </c>
      <c r="O93">
        <v>1354</v>
      </c>
      <c r="P93">
        <v>2252</v>
      </c>
    </row>
    <row r="94" spans="1:16" x14ac:dyDescent="0.3">
      <c r="A94">
        <v>93</v>
      </c>
      <c r="B94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15.511653000000001</v>
      </c>
      <c r="K94">
        <v>18.93835</v>
      </c>
      <c r="L94">
        <v>48</v>
      </c>
      <c r="M94">
        <v>12.208271</v>
      </c>
      <c r="N94">
        <v>1651</v>
      </c>
      <c r="O94">
        <v>1598</v>
      </c>
      <c r="P94">
        <v>3249</v>
      </c>
    </row>
    <row r="95" spans="1:16" x14ac:dyDescent="0.3">
      <c r="A95">
        <v>94</v>
      </c>
      <c r="B95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23.506653</v>
      </c>
      <c r="K95">
        <v>27.146450000000002</v>
      </c>
      <c r="L95">
        <v>42.625</v>
      </c>
      <c r="M95">
        <v>25.833257</v>
      </c>
      <c r="N95">
        <v>734</v>
      </c>
      <c r="O95">
        <v>2381</v>
      </c>
      <c r="P95">
        <v>3115</v>
      </c>
    </row>
    <row r="96" spans="1:16" x14ac:dyDescent="0.3">
      <c r="A96">
        <v>95</v>
      </c>
      <c r="B96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16.980847000000001</v>
      </c>
      <c r="K96">
        <v>19.9175</v>
      </c>
      <c r="L96">
        <v>64.208299999999994</v>
      </c>
      <c r="M96">
        <v>26.000489000000002</v>
      </c>
      <c r="N96">
        <v>167</v>
      </c>
      <c r="O96">
        <v>1628</v>
      </c>
      <c r="P96">
        <v>1795</v>
      </c>
    </row>
    <row r="97" spans="1:16" x14ac:dyDescent="0.3">
      <c r="A97">
        <v>96</v>
      </c>
      <c r="B97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16.024152999999998</v>
      </c>
      <c r="K97">
        <v>19.380400000000002</v>
      </c>
      <c r="L97">
        <v>47.083300000000001</v>
      </c>
      <c r="M97">
        <v>17.625221</v>
      </c>
      <c r="N97">
        <v>413</v>
      </c>
      <c r="O97">
        <v>2395</v>
      </c>
      <c r="P97">
        <v>2808</v>
      </c>
    </row>
    <row r="98" spans="1:16" x14ac:dyDescent="0.3">
      <c r="A98">
        <v>97</v>
      </c>
      <c r="B98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17.9375</v>
      </c>
      <c r="K98">
        <v>21.684799999999999</v>
      </c>
      <c r="L98">
        <v>60.291699999999999</v>
      </c>
      <c r="M98">
        <v>10.874904000000001</v>
      </c>
      <c r="N98">
        <v>571</v>
      </c>
      <c r="O98">
        <v>2570</v>
      </c>
      <c r="P98">
        <v>3141</v>
      </c>
    </row>
    <row r="99" spans="1:16" x14ac:dyDescent="0.3">
      <c r="A99">
        <v>98</v>
      </c>
      <c r="B99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13.769152999999999</v>
      </c>
      <c r="K99">
        <v>16.223949999999999</v>
      </c>
      <c r="L99">
        <v>83.625</v>
      </c>
      <c r="M99">
        <v>15.208463999999999</v>
      </c>
      <c r="N99">
        <v>172</v>
      </c>
      <c r="O99">
        <v>1299</v>
      </c>
      <c r="P99">
        <v>1471</v>
      </c>
    </row>
    <row r="100" spans="1:16" x14ac:dyDescent="0.3">
      <c r="A100">
        <v>99</v>
      </c>
      <c r="B100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14.0425</v>
      </c>
      <c r="K100">
        <v>17.076450000000001</v>
      </c>
      <c r="L100">
        <v>87.75</v>
      </c>
      <c r="M100">
        <v>8.9165609999999997</v>
      </c>
      <c r="N100">
        <v>879</v>
      </c>
      <c r="O100">
        <v>1576</v>
      </c>
      <c r="P100">
        <v>2455</v>
      </c>
    </row>
    <row r="101" spans="1:16" x14ac:dyDescent="0.3">
      <c r="A101">
        <v>100</v>
      </c>
      <c r="B10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17.493347</v>
      </c>
      <c r="K101">
        <v>21.336849999999998</v>
      </c>
      <c r="L101">
        <v>85.75</v>
      </c>
      <c r="M101">
        <v>9.8333890000000004</v>
      </c>
      <c r="N101">
        <v>1188</v>
      </c>
      <c r="O101">
        <v>1707</v>
      </c>
      <c r="P101">
        <v>2895</v>
      </c>
    </row>
    <row r="102" spans="1:16" x14ac:dyDescent="0.3">
      <c r="A102">
        <v>101</v>
      </c>
      <c r="B102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24.421731999999999</v>
      </c>
      <c r="K102">
        <v>28.260850000000001</v>
      </c>
      <c r="L102">
        <v>71.695599999999999</v>
      </c>
      <c r="M102">
        <v>21.739757999999998</v>
      </c>
      <c r="N102">
        <v>855</v>
      </c>
      <c r="O102">
        <v>2493</v>
      </c>
      <c r="P102">
        <v>3348</v>
      </c>
    </row>
    <row r="103" spans="1:16" x14ac:dyDescent="0.3">
      <c r="A103">
        <v>102</v>
      </c>
      <c r="B103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20.602499999999999</v>
      </c>
      <c r="K103">
        <v>24.652699999999999</v>
      </c>
      <c r="L103">
        <v>73.916700000000006</v>
      </c>
      <c r="M103">
        <v>18.416893000000002</v>
      </c>
      <c r="N103">
        <v>257</v>
      </c>
      <c r="O103">
        <v>1777</v>
      </c>
      <c r="P103">
        <v>2034</v>
      </c>
    </row>
    <row r="104" spans="1:16" x14ac:dyDescent="0.3">
      <c r="A104">
        <v>103</v>
      </c>
      <c r="B104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16.912500000000001</v>
      </c>
      <c r="K104">
        <v>20.864149999999999</v>
      </c>
      <c r="L104">
        <v>81.916700000000006</v>
      </c>
      <c r="M104">
        <v>16.791339000000001</v>
      </c>
      <c r="N104">
        <v>209</v>
      </c>
      <c r="O104">
        <v>1953</v>
      </c>
      <c r="P104">
        <v>2162</v>
      </c>
    </row>
    <row r="105" spans="1:16" x14ac:dyDescent="0.3">
      <c r="A105">
        <v>104</v>
      </c>
      <c r="B105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19.1675</v>
      </c>
      <c r="K105">
        <v>23.1371</v>
      </c>
      <c r="L105">
        <v>54.041699999999999</v>
      </c>
      <c r="M105">
        <v>7.4169</v>
      </c>
      <c r="N105">
        <v>529</v>
      </c>
      <c r="O105">
        <v>2738</v>
      </c>
      <c r="P105">
        <v>3267</v>
      </c>
    </row>
    <row r="106" spans="1:16" x14ac:dyDescent="0.3">
      <c r="A106">
        <v>105</v>
      </c>
      <c r="B106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18.313347</v>
      </c>
      <c r="K106">
        <v>22.095649999999999</v>
      </c>
      <c r="L106">
        <v>67.125</v>
      </c>
      <c r="M106">
        <v>15.167125</v>
      </c>
      <c r="N106">
        <v>642</v>
      </c>
      <c r="O106">
        <v>2484</v>
      </c>
      <c r="P106">
        <v>3126</v>
      </c>
    </row>
    <row r="107" spans="1:16" x14ac:dyDescent="0.3">
      <c r="A107">
        <v>106</v>
      </c>
      <c r="B107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17.664152999999999</v>
      </c>
      <c r="K107">
        <v>21.2746</v>
      </c>
      <c r="L107">
        <v>88.833299999999994</v>
      </c>
      <c r="M107">
        <v>22.834136000000001</v>
      </c>
      <c r="N107">
        <v>121</v>
      </c>
      <c r="O107">
        <v>674</v>
      </c>
      <c r="P107">
        <v>795</v>
      </c>
    </row>
    <row r="108" spans="1:16" x14ac:dyDescent="0.3">
      <c r="A108">
        <v>107</v>
      </c>
      <c r="B108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18.723347</v>
      </c>
      <c r="K108">
        <v>22.284800000000001</v>
      </c>
      <c r="L108">
        <v>47.958300000000001</v>
      </c>
      <c r="M108">
        <v>20.334232</v>
      </c>
      <c r="N108">
        <v>1558</v>
      </c>
      <c r="O108">
        <v>2186</v>
      </c>
      <c r="P108">
        <v>3744</v>
      </c>
    </row>
    <row r="109" spans="1:16" x14ac:dyDescent="0.3">
      <c r="A109">
        <v>108</v>
      </c>
      <c r="B109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21.012499999999999</v>
      </c>
      <c r="K109">
        <v>25.157299999999999</v>
      </c>
      <c r="L109">
        <v>54.25</v>
      </c>
      <c r="M109">
        <v>10.958989000000001</v>
      </c>
      <c r="N109">
        <v>669</v>
      </c>
      <c r="O109">
        <v>2760</v>
      </c>
      <c r="P109">
        <v>3429</v>
      </c>
    </row>
    <row r="110" spans="1:16" x14ac:dyDescent="0.3">
      <c r="A110">
        <v>109</v>
      </c>
      <c r="B110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20.739153000000002</v>
      </c>
      <c r="K110">
        <v>24.462900000000001</v>
      </c>
      <c r="L110">
        <v>66.583299999999994</v>
      </c>
      <c r="M110">
        <v>10.584057</v>
      </c>
      <c r="N110">
        <v>409</v>
      </c>
      <c r="O110">
        <v>2795</v>
      </c>
      <c r="P110">
        <v>3204</v>
      </c>
    </row>
    <row r="111" spans="1:16" x14ac:dyDescent="0.3">
      <c r="A111">
        <v>110</v>
      </c>
      <c r="B11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24.395</v>
      </c>
      <c r="K111">
        <v>28.2196</v>
      </c>
      <c r="L111">
        <v>61.416699999999999</v>
      </c>
      <c r="M111">
        <v>16.208974999999999</v>
      </c>
      <c r="N111">
        <v>613</v>
      </c>
      <c r="O111">
        <v>3331</v>
      </c>
      <c r="P111">
        <v>3944</v>
      </c>
    </row>
    <row r="112" spans="1:16" x14ac:dyDescent="0.3">
      <c r="A112">
        <v>111</v>
      </c>
      <c r="B112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18.825847</v>
      </c>
      <c r="K112">
        <v>22.694600000000001</v>
      </c>
      <c r="L112">
        <v>40.708300000000001</v>
      </c>
      <c r="M112">
        <v>21.792286000000001</v>
      </c>
      <c r="N112">
        <v>745</v>
      </c>
      <c r="O112">
        <v>3444</v>
      </c>
      <c r="P112">
        <v>4189</v>
      </c>
    </row>
    <row r="113" spans="1:16" x14ac:dyDescent="0.3">
      <c r="A113">
        <v>112</v>
      </c>
      <c r="B113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13.803347</v>
      </c>
      <c r="K113">
        <v>16.0977</v>
      </c>
      <c r="L113">
        <v>72.958299999999994</v>
      </c>
      <c r="M113">
        <v>14.707907000000001</v>
      </c>
      <c r="N113">
        <v>177</v>
      </c>
      <c r="O113">
        <v>1506</v>
      </c>
      <c r="P113">
        <v>1683</v>
      </c>
    </row>
    <row r="114" spans="1:16" x14ac:dyDescent="0.3">
      <c r="A114">
        <v>113</v>
      </c>
      <c r="B114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18.86</v>
      </c>
      <c r="K114">
        <v>22.506049999999998</v>
      </c>
      <c r="L114">
        <v>88.791700000000006</v>
      </c>
      <c r="M114">
        <v>15.458575</v>
      </c>
      <c r="N114">
        <v>1462</v>
      </c>
      <c r="O114">
        <v>2574</v>
      </c>
      <c r="P114">
        <v>4036</v>
      </c>
    </row>
    <row r="115" spans="1:16" x14ac:dyDescent="0.3">
      <c r="A115">
        <v>114</v>
      </c>
      <c r="B115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23.848347</v>
      </c>
      <c r="K115">
        <v>27.588149999999999</v>
      </c>
      <c r="L115">
        <v>81.083299999999994</v>
      </c>
      <c r="M115">
        <v>12.875724999999999</v>
      </c>
      <c r="N115">
        <v>1710</v>
      </c>
      <c r="O115">
        <v>2481</v>
      </c>
      <c r="P115">
        <v>4191</v>
      </c>
    </row>
    <row r="116" spans="1:16" x14ac:dyDescent="0.3">
      <c r="A116">
        <v>115</v>
      </c>
      <c r="B116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24.873346999999999</v>
      </c>
      <c r="K116">
        <v>28.725000000000001</v>
      </c>
      <c r="L116">
        <v>77.666700000000006</v>
      </c>
      <c r="M116">
        <v>12.417311</v>
      </c>
      <c r="N116">
        <v>773</v>
      </c>
      <c r="O116">
        <v>3300</v>
      </c>
      <c r="P116">
        <v>4073</v>
      </c>
    </row>
    <row r="117" spans="1:16" x14ac:dyDescent="0.3">
      <c r="A117">
        <v>116</v>
      </c>
      <c r="B117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25.898347000000001</v>
      </c>
      <c r="K117">
        <v>29.704149999999998</v>
      </c>
      <c r="L117">
        <v>72.916700000000006</v>
      </c>
      <c r="M117">
        <v>21.875499999999999</v>
      </c>
      <c r="N117">
        <v>678</v>
      </c>
      <c r="O117">
        <v>3722</v>
      </c>
      <c r="P117">
        <v>4400</v>
      </c>
    </row>
    <row r="118" spans="1:16" x14ac:dyDescent="0.3">
      <c r="A118">
        <v>117</v>
      </c>
      <c r="B118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25.42</v>
      </c>
      <c r="K118">
        <v>28.757100000000001</v>
      </c>
      <c r="L118">
        <v>83.541700000000006</v>
      </c>
      <c r="M118">
        <v>20.917400000000001</v>
      </c>
      <c r="N118">
        <v>547</v>
      </c>
      <c r="O118">
        <v>3325</v>
      </c>
      <c r="P118">
        <v>3872</v>
      </c>
    </row>
    <row r="119" spans="1:16" x14ac:dyDescent="0.3">
      <c r="A119">
        <v>118</v>
      </c>
      <c r="B119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25.317499999999999</v>
      </c>
      <c r="K119">
        <v>28.946449999999999</v>
      </c>
      <c r="L119">
        <v>70.083299999999994</v>
      </c>
      <c r="M119">
        <v>21.500836</v>
      </c>
      <c r="N119">
        <v>569</v>
      </c>
      <c r="O119">
        <v>3489</v>
      </c>
      <c r="P119">
        <v>4058</v>
      </c>
    </row>
    <row r="120" spans="1:16" x14ac:dyDescent="0.3">
      <c r="A120">
        <v>119</v>
      </c>
      <c r="B120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20.91</v>
      </c>
      <c r="K120">
        <v>24.873149999999999</v>
      </c>
      <c r="L120">
        <v>45.708300000000001</v>
      </c>
      <c r="M120">
        <v>16.084220999999999</v>
      </c>
      <c r="N120">
        <v>878</v>
      </c>
      <c r="O120">
        <v>3717</v>
      </c>
      <c r="P120">
        <v>4595</v>
      </c>
    </row>
    <row r="121" spans="1:16" x14ac:dyDescent="0.3">
      <c r="A121">
        <v>120</v>
      </c>
      <c r="B12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19.372499999999999</v>
      </c>
      <c r="K121">
        <v>23.201049999999999</v>
      </c>
      <c r="L121">
        <v>50.333300000000001</v>
      </c>
      <c r="M121">
        <v>15.750025000000001</v>
      </c>
      <c r="N121">
        <v>1965</v>
      </c>
      <c r="O121">
        <v>3347</v>
      </c>
      <c r="P121">
        <v>5312</v>
      </c>
    </row>
    <row r="122" spans="1:16" x14ac:dyDescent="0.3">
      <c r="A122">
        <v>121</v>
      </c>
      <c r="B122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18.518346999999999</v>
      </c>
      <c r="K122">
        <v>22.4102</v>
      </c>
      <c r="L122">
        <v>76.208299999999994</v>
      </c>
      <c r="M122">
        <v>7.125718</v>
      </c>
      <c r="N122">
        <v>1138</v>
      </c>
      <c r="O122">
        <v>2213</v>
      </c>
      <c r="P122">
        <v>3351</v>
      </c>
    </row>
    <row r="123" spans="1:16" x14ac:dyDescent="0.3">
      <c r="A123">
        <v>122</v>
      </c>
      <c r="B123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22.515847000000001</v>
      </c>
      <c r="K123">
        <v>26.641649999999998</v>
      </c>
      <c r="L123">
        <v>73</v>
      </c>
      <c r="M123">
        <v>12.291418</v>
      </c>
      <c r="N123">
        <v>847</v>
      </c>
      <c r="O123">
        <v>3554</v>
      </c>
      <c r="P123">
        <v>4401</v>
      </c>
    </row>
    <row r="124" spans="1:16" x14ac:dyDescent="0.3">
      <c r="A124">
        <v>123</v>
      </c>
      <c r="B124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25.283346999999999</v>
      </c>
      <c r="K124">
        <v>29.103950000000001</v>
      </c>
      <c r="L124">
        <v>69.708299999999994</v>
      </c>
      <c r="M124">
        <v>22.958689</v>
      </c>
      <c r="N124">
        <v>603</v>
      </c>
      <c r="O124">
        <v>3848</v>
      </c>
      <c r="P124">
        <v>4451</v>
      </c>
    </row>
    <row r="125" spans="1:16" x14ac:dyDescent="0.3">
      <c r="A125">
        <v>124</v>
      </c>
      <c r="B125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16.980847000000001</v>
      </c>
      <c r="K125">
        <v>20.232500000000002</v>
      </c>
      <c r="L125">
        <v>73.708299999999994</v>
      </c>
      <c r="M125">
        <v>22.042732000000001</v>
      </c>
      <c r="N125">
        <v>255</v>
      </c>
      <c r="O125">
        <v>2378</v>
      </c>
      <c r="P125">
        <v>2633</v>
      </c>
    </row>
    <row r="126" spans="1:16" x14ac:dyDescent="0.3">
      <c r="A126">
        <v>125</v>
      </c>
      <c r="B126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18.825847</v>
      </c>
      <c r="K126">
        <v>22.095849999999999</v>
      </c>
      <c r="L126">
        <v>44.416699999999999</v>
      </c>
      <c r="M126">
        <v>19.791264000000002</v>
      </c>
      <c r="N126">
        <v>614</v>
      </c>
      <c r="O126">
        <v>3819</v>
      </c>
      <c r="P126">
        <v>4433</v>
      </c>
    </row>
    <row r="127" spans="1:16" x14ac:dyDescent="0.3">
      <c r="A127">
        <v>126</v>
      </c>
      <c r="B127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19.645847</v>
      </c>
      <c r="K127">
        <v>23.705850000000002</v>
      </c>
      <c r="L127">
        <v>59</v>
      </c>
      <c r="M127">
        <v>15.292482</v>
      </c>
      <c r="N127">
        <v>894</v>
      </c>
      <c r="O127">
        <v>3714</v>
      </c>
      <c r="P127">
        <v>4608</v>
      </c>
    </row>
    <row r="128" spans="1:16" x14ac:dyDescent="0.3">
      <c r="A128">
        <v>127</v>
      </c>
      <c r="B128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21.32</v>
      </c>
      <c r="K128">
        <v>25.631049999999998</v>
      </c>
      <c r="L128">
        <v>54.125</v>
      </c>
      <c r="M128">
        <v>10.75015</v>
      </c>
      <c r="N128">
        <v>1612</v>
      </c>
      <c r="O128">
        <v>3102</v>
      </c>
      <c r="P128">
        <v>4714</v>
      </c>
    </row>
    <row r="129" spans="1:16" x14ac:dyDescent="0.3">
      <c r="A129">
        <v>128</v>
      </c>
      <c r="B129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21.661653000000001</v>
      </c>
      <c r="K129">
        <v>25.946650000000002</v>
      </c>
      <c r="L129">
        <v>63.166699999999999</v>
      </c>
      <c r="M129">
        <v>5.0007124999999997</v>
      </c>
      <c r="N129">
        <v>1401</v>
      </c>
      <c r="O129">
        <v>2932</v>
      </c>
      <c r="P129">
        <v>4333</v>
      </c>
    </row>
    <row r="130" spans="1:16" x14ac:dyDescent="0.3">
      <c r="A130">
        <v>129</v>
      </c>
      <c r="B130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21.8325</v>
      </c>
      <c r="K130">
        <v>26.2623</v>
      </c>
      <c r="L130">
        <v>58.875</v>
      </c>
      <c r="M130">
        <v>11.792</v>
      </c>
      <c r="N130">
        <v>664</v>
      </c>
      <c r="O130">
        <v>3698</v>
      </c>
      <c r="P130">
        <v>4362</v>
      </c>
    </row>
    <row r="131" spans="1:16" x14ac:dyDescent="0.3">
      <c r="A131">
        <v>130</v>
      </c>
      <c r="B13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21.8325</v>
      </c>
      <c r="K131">
        <v>26.136050000000001</v>
      </c>
      <c r="L131">
        <v>48.916699999999999</v>
      </c>
      <c r="M131">
        <v>7.7499570000000002</v>
      </c>
      <c r="N131">
        <v>694</v>
      </c>
      <c r="O131">
        <v>4109</v>
      </c>
      <c r="P131">
        <v>4803</v>
      </c>
    </row>
    <row r="132" spans="1:16" x14ac:dyDescent="0.3">
      <c r="A132">
        <v>131</v>
      </c>
      <c r="B132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22.2425</v>
      </c>
      <c r="K132">
        <v>26.42</v>
      </c>
      <c r="L132">
        <v>63.291699999999999</v>
      </c>
      <c r="M132">
        <v>8.0830140000000004</v>
      </c>
      <c r="N132">
        <v>550</v>
      </c>
      <c r="O132">
        <v>3632</v>
      </c>
      <c r="P132">
        <v>4182</v>
      </c>
    </row>
    <row r="133" spans="1:16" x14ac:dyDescent="0.3">
      <c r="A133">
        <v>132</v>
      </c>
      <c r="B133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21.934999999999999</v>
      </c>
      <c r="K133">
        <v>26.168150000000001</v>
      </c>
      <c r="L133">
        <v>74.75</v>
      </c>
      <c r="M133">
        <v>12.707689</v>
      </c>
      <c r="N133">
        <v>695</v>
      </c>
      <c r="O133">
        <v>4169</v>
      </c>
      <c r="P133">
        <v>4864</v>
      </c>
    </row>
    <row r="134" spans="1:16" x14ac:dyDescent="0.3">
      <c r="A134">
        <v>133</v>
      </c>
      <c r="B134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21.012499999999999</v>
      </c>
      <c r="K134">
        <v>24.715</v>
      </c>
      <c r="L134">
        <v>86.333299999999994</v>
      </c>
      <c r="M134">
        <v>12.041575</v>
      </c>
      <c r="N134">
        <v>692</v>
      </c>
      <c r="O134">
        <v>3413</v>
      </c>
      <c r="P134">
        <v>4105</v>
      </c>
    </row>
    <row r="135" spans="1:16" x14ac:dyDescent="0.3">
      <c r="A135">
        <v>134</v>
      </c>
      <c r="B135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21.354153</v>
      </c>
      <c r="K135">
        <v>25.03145</v>
      </c>
      <c r="L135">
        <v>92.25</v>
      </c>
      <c r="M135">
        <v>9.0416500000000006</v>
      </c>
      <c r="N135">
        <v>902</v>
      </c>
      <c r="O135">
        <v>2507</v>
      </c>
      <c r="P135">
        <v>3409</v>
      </c>
    </row>
    <row r="136" spans="1:16" x14ac:dyDescent="0.3">
      <c r="A136">
        <v>135</v>
      </c>
      <c r="B136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23.0625</v>
      </c>
      <c r="K136">
        <v>26.8</v>
      </c>
      <c r="L136">
        <v>86.708299999999994</v>
      </c>
      <c r="M136">
        <v>10.249593000000001</v>
      </c>
      <c r="N136">
        <v>1582</v>
      </c>
      <c r="O136">
        <v>2971</v>
      </c>
      <c r="P136">
        <v>4553</v>
      </c>
    </row>
    <row r="137" spans="1:16" x14ac:dyDescent="0.3">
      <c r="A137">
        <v>136</v>
      </c>
      <c r="B137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23.677499999999998</v>
      </c>
      <c r="K137">
        <v>27.525600000000001</v>
      </c>
      <c r="L137">
        <v>78.791700000000006</v>
      </c>
      <c r="M137">
        <v>8.5003569999999993</v>
      </c>
      <c r="N137">
        <v>773</v>
      </c>
      <c r="O137">
        <v>3185</v>
      </c>
      <c r="P137">
        <v>3958</v>
      </c>
    </row>
    <row r="138" spans="1:16" x14ac:dyDescent="0.3">
      <c r="A138">
        <v>137</v>
      </c>
      <c r="B138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23.028347</v>
      </c>
      <c r="K138">
        <v>26.926449999999999</v>
      </c>
      <c r="L138">
        <v>83.791700000000006</v>
      </c>
      <c r="M138">
        <v>18.582718</v>
      </c>
      <c r="N138">
        <v>678</v>
      </c>
      <c r="O138">
        <v>3445</v>
      </c>
      <c r="P138">
        <v>4123</v>
      </c>
    </row>
    <row r="139" spans="1:16" x14ac:dyDescent="0.3">
      <c r="A139">
        <v>138</v>
      </c>
      <c r="B139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22.55</v>
      </c>
      <c r="K139">
        <v>26.357900000000001</v>
      </c>
      <c r="L139">
        <v>87</v>
      </c>
      <c r="M139">
        <v>13.499964</v>
      </c>
      <c r="N139">
        <v>536</v>
      </c>
      <c r="O139">
        <v>3319</v>
      </c>
      <c r="P139">
        <v>3855</v>
      </c>
    </row>
    <row r="140" spans="1:16" x14ac:dyDescent="0.3">
      <c r="A140">
        <v>139</v>
      </c>
      <c r="B140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21.764153</v>
      </c>
      <c r="K140">
        <v>25.537099999999999</v>
      </c>
      <c r="L140">
        <v>82.958299999999994</v>
      </c>
      <c r="M140">
        <v>7.2502709999999997</v>
      </c>
      <c r="N140">
        <v>735</v>
      </c>
      <c r="O140">
        <v>3840</v>
      </c>
      <c r="P140">
        <v>4575</v>
      </c>
    </row>
    <row r="141" spans="1:16" x14ac:dyDescent="0.3">
      <c r="A141">
        <v>140</v>
      </c>
      <c r="B14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22.003347000000002</v>
      </c>
      <c r="K141">
        <v>26.452100000000002</v>
      </c>
      <c r="L141">
        <v>71.958299999999994</v>
      </c>
      <c r="M141">
        <v>8.3758710000000001</v>
      </c>
      <c r="N141">
        <v>909</v>
      </c>
      <c r="O141">
        <v>4008</v>
      </c>
      <c r="P141">
        <v>4917</v>
      </c>
    </row>
    <row r="142" spans="1:16" x14ac:dyDescent="0.3">
      <c r="A142">
        <v>141</v>
      </c>
      <c r="B142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24.702500000000001</v>
      </c>
      <c r="K142">
        <v>28.598749999999999</v>
      </c>
      <c r="L142">
        <v>62.666699999999999</v>
      </c>
      <c r="M142">
        <v>8.0835500000000007</v>
      </c>
      <c r="N142">
        <v>2258</v>
      </c>
      <c r="O142">
        <v>3547</v>
      </c>
      <c r="P142">
        <v>5805</v>
      </c>
    </row>
    <row r="143" spans="1:16" x14ac:dyDescent="0.3">
      <c r="A143">
        <v>142</v>
      </c>
      <c r="B143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24.770847</v>
      </c>
      <c r="K143">
        <v>28.725000000000001</v>
      </c>
      <c r="L143">
        <v>74.958299999999994</v>
      </c>
      <c r="M143">
        <v>9.9165360000000007</v>
      </c>
      <c r="N143">
        <v>1576</v>
      </c>
      <c r="O143">
        <v>3084</v>
      </c>
      <c r="P143">
        <v>4660</v>
      </c>
    </row>
    <row r="144" spans="1:16" x14ac:dyDescent="0.3">
      <c r="A144">
        <v>143</v>
      </c>
      <c r="B144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25.898347000000001</v>
      </c>
      <c r="K144">
        <v>29.514800000000001</v>
      </c>
      <c r="L144">
        <v>81</v>
      </c>
      <c r="M144">
        <v>15.667414000000001</v>
      </c>
      <c r="N144">
        <v>836</v>
      </c>
      <c r="O144">
        <v>3438</v>
      </c>
      <c r="P144">
        <v>4274</v>
      </c>
    </row>
    <row r="145" spans="1:16" x14ac:dyDescent="0.3">
      <c r="A145">
        <v>144</v>
      </c>
      <c r="B145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27.06</v>
      </c>
      <c r="K145">
        <v>30.240649999999999</v>
      </c>
      <c r="L145">
        <v>74.083299999999994</v>
      </c>
      <c r="M145">
        <v>13.875164</v>
      </c>
      <c r="N145">
        <v>659</v>
      </c>
      <c r="O145">
        <v>3833</v>
      </c>
      <c r="P145">
        <v>4492</v>
      </c>
    </row>
    <row r="146" spans="1:16" x14ac:dyDescent="0.3">
      <c r="A146">
        <v>145</v>
      </c>
      <c r="B146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27.094152999999999</v>
      </c>
      <c r="K146">
        <v>30.777100000000001</v>
      </c>
      <c r="L146">
        <v>69.625</v>
      </c>
      <c r="M146">
        <v>10.333610999999999</v>
      </c>
      <c r="N146">
        <v>740</v>
      </c>
      <c r="O146">
        <v>4238</v>
      </c>
      <c r="P146">
        <v>4978</v>
      </c>
    </row>
    <row r="147" spans="1:16" x14ac:dyDescent="0.3">
      <c r="A147">
        <v>146</v>
      </c>
      <c r="B147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29.041653</v>
      </c>
      <c r="K147">
        <v>32.734400000000001</v>
      </c>
      <c r="L147">
        <v>67.75</v>
      </c>
      <c r="M147">
        <v>13.376014</v>
      </c>
      <c r="N147">
        <v>758</v>
      </c>
      <c r="O147">
        <v>3919</v>
      </c>
      <c r="P147">
        <v>4677</v>
      </c>
    </row>
    <row r="148" spans="1:16" x14ac:dyDescent="0.3">
      <c r="A148">
        <v>147</v>
      </c>
      <c r="B148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27.948346999999998</v>
      </c>
      <c r="K148">
        <v>31.8504</v>
      </c>
      <c r="L148">
        <v>65.375</v>
      </c>
      <c r="M148">
        <v>16.125492999999999</v>
      </c>
      <c r="N148">
        <v>871</v>
      </c>
      <c r="O148">
        <v>3808</v>
      </c>
      <c r="P148">
        <v>4679</v>
      </c>
    </row>
    <row r="149" spans="1:16" x14ac:dyDescent="0.3">
      <c r="A149">
        <v>148</v>
      </c>
      <c r="B149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26.889153</v>
      </c>
      <c r="K149">
        <v>30.618950000000002</v>
      </c>
      <c r="L149">
        <v>72.958299999999994</v>
      </c>
      <c r="M149">
        <v>15.416164</v>
      </c>
      <c r="N149">
        <v>2001</v>
      </c>
      <c r="O149">
        <v>2757</v>
      </c>
      <c r="P149">
        <v>4758</v>
      </c>
    </row>
    <row r="150" spans="1:16" x14ac:dyDescent="0.3">
      <c r="A150">
        <v>149</v>
      </c>
      <c r="B150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27.3675</v>
      </c>
      <c r="K150">
        <v>30.7775</v>
      </c>
      <c r="L150">
        <v>81.875</v>
      </c>
      <c r="M150">
        <v>14.333845999999999</v>
      </c>
      <c r="N150">
        <v>2355</v>
      </c>
      <c r="O150">
        <v>2433</v>
      </c>
      <c r="P150">
        <v>4788</v>
      </c>
    </row>
    <row r="151" spans="1:16" x14ac:dyDescent="0.3">
      <c r="A151">
        <v>150</v>
      </c>
      <c r="B15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30.066652999999999</v>
      </c>
      <c r="K151">
        <v>33.554600000000001</v>
      </c>
      <c r="L151">
        <v>68.5</v>
      </c>
      <c r="M151">
        <v>8.7920750000000005</v>
      </c>
      <c r="N151">
        <v>1549</v>
      </c>
      <c r="O151">
        <v>2549</v>
      </c>
      <c r="P151">
        <v>4098</v>
      </c>
    </row>
    <row r="152" spans="1:16" x14ac:dyDescent="0.3">
      <c r="A152">
        <v>151</v>
      </c>
      <c r="B152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31.774999999999999</v>
      </c>
      <c r="K152">
        <v>36.269150000000003</v>
      </c>
      <c r="L152">
        <v>63.666699999999999</v>
      </c>
      <c r="M152">
        <v>7.4590430000000003</v>
      </c>
      <c r="N152">
        <v>673</v>
      </c>
      <c r="O152">
        <v>3309</v>
      </c>
      <c r="P152">
        <v>3982</v>
      </c>
    </row>
    <row r="153" spans="1:16" x14ac:dyDescent="0.3">
      <c r="A153">
        <v>152</v>
      </c>
      <c r="B153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31.330846999999999</v>
      </c>
      <c r="K153">
        <v>36.048349999999999</v>
      </c>
      <c r="L153">
        <v>67.708299999999994</v>
      </c>
      <c r="M153">
        <v>13.875164</v>
      </c>
      <c r="N153">
        <v>513</v>
      </c>
      <c r="O153">
        <v>3461</v>
      </c>
      <c r="P153">
        <v>3974</v>
      </c>
    </row>
    <row r="154" spans="1:16" x14ac:dyDescent="0.3">
      <c r="A154">
        <v>153</v>
      </c>
      <c r="B154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29.315000000000001</v>
      </c>
      <c r="K154">
        <v>32.197099999999999</v>
      </c>
      <c r="L154">
        <v>30.5</v>
      </c>
      <c r="M154">
        <v>19.583228999999999</v>
      </c>
      <c r="N154">
        <v>736</v>
      </c>
      <c r="O154">
        <v>4232</v>
      </c>
      <c r="P154">
        <v>4968</v>
      </c>
    </row>
    <row r="155" spans="1:16" x14ac:dyDescent="0.3">
      <c r="A155">
        <v>154</v>
      </c>
      <c r="B155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25.42</v>
      </c>
      <c r="K155">
        <v>29.356649999999998</v>
      </c>
      <c r="L155">
        <v>35.416699999999999</v>
      </c>
      <c r="M155">
        <v>16.959106999999999</v>
      </c>
      <c r="N155">
        <v>898</v>
      </c>
      <c r="O155">
        <v>4414</v>
      </c>
      <c r="P155">
        <v>5312</v>
      </c>
    </row>
    <row r="156" spans="1:16" x14ac:dyDescent="0.3">
      <c r="A156">
        <v>155</v>
      </c>
      <c r="B156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26.035</v>
      </c>
      <c r="K156">
        <v>29.7348</v>
      </c>
      <c r="L156">
        <v>45.625</v>
      </c>
      <c r="M156">
        <v>8.2505140000000008</v>
      </c>
      <c r="N156">
        <v>1869</v>
      </c>
      <c r="O156">
        <v>3473</v>
      </c>
      <c r="P156">
        <v>5342</v>
      </c>
    </row>
    <row r="157" spans="1:16" x14ac:dyDescent="0.3">
      <c r="A157">
        <v>156</v>
      </c>
      <c r="B157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26.581652999999999</v>
      </c>
      <c r="K157">
        <v>30.840199999999999</v>
      </c>
      <c r="L157">
        <v>65.25</v>
      </c>
      <c r="M157">
        <v>9.2923639999999992</v>
      </c>
      <c r="N157">
        <v>1685</v>
      </c>
      <c r="O157">
        <v>3221</v>
      </c>
      <c r="P157">
        <v>4906</v>
      </c>
    </row>
    <row r="158" spans="1:16" x14ac:dyDescent="0.3">
      <c r="A158">
        <v>157</v>
      </c>
      <c r="B158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27.811653</v>
      </c>
      <c r="K158">
        <v>31.0929</v>
      </c>
      <c r="L158">
        <v>60</v>
      </c>
      <c r="M158">
        <v>8.1670320000000007</v>
      </c>
      <c r="N158">
        <v>673</v>
      </c>
      <c r="O158">
        <v>3875</v>
      </c>
      <c r="P158">
        <v>4548</v>
      </c>
    </row>
    <row r="159" spans="1:16" x14ac:dyDescent="0.3">
      <c r="A159">
        <v>158</v>
      </c>
      <c r="B159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29.0075</v>
      </c>
      <c r="K159">
        <v>32.797499999999999</v>
      </c>
      <c r="L159">
        <v>59.791699999999999</v>
      </c>
      <c r="M159">
        <v>12.583136</v>
      </c>
      <c r="N159">
        <v>763</v>
      </c>
      <c r="O159">
        <v>4070</v>
      </c>
      <c r="P159">
        <v>4833</v>
      </c>
    </row>
    <row r="160" spans="1:16" x14ac:dyDescent="0.3">
      <c r="A160">
        <v>159</v>
      </c>
      <c r="B160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31.809152999999998</v>
      </c>
      <c r="K160">
        <v>36.363950000000003</v>
      </c>
      <c r="L160">
        <v>62.208300000000001</v>
      </c>
      <c r="M160">
        <v>9.1667389999999997</v>
      </c>
      <c r="N160">
        <v>676</v>
      </c>
      <c r="O160">
        <v>3725</v>
      </c>
      <c r="P160">
        <v>4401</v>
      </c>
    </row>
    <row r="161" spans="1:16" x14ac:dyDescent="0.3">
      <c r="A161">
        <v>160</v>
      </c>
      <c r="B16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33.141652999999998</v>
      </c>
      <c r="K161">
        <v>37.878950000000003</v>
      </c>
      <c r="L161">
        <v>56.833300000000001</v>
      </c>
      <c r="M161">
        <v>10.042161</v>
      </c>
      <c r="N161">
        <v>563</v>
      </c>
      <c r="O161">
        <v>3352</v>
      </c>
      <c r="P161">
        <v>3915</v>
      </c>
    </row>
    <row r="162" spans="1:16" x14ac:dyDescent="0.3">
      <c r="A162">
        <v>161</v>
      </c>
      <c r="B162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30.954999999999998</v>
      </c>
      <c r="K162">
        <v>35.1646</v>
      </c>
      <c r="L162">
        <v>60.5</v>
      </c>
      <c r="M162">
        <v>9.4171180000000003</v>
      </c>
      <c r="N162">
        <v>815</v>
      </c>
      <c r="O162">
        <v>3771</v>
      </c>
      <c r="P162">
        <v>4586</v>
      </c>
    </row>
    <row r="163" spans="1:16" x14ac:dyDescent="0.3">
      <c r="A163">
        <v>162</v>
      </c>
      <c r="B163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29.725000000000001</v>
      </c>
      <c r="K163">
        <v>33.901899999999998</v>
      </c>
      <c r="L163">
        <v>65.458299999999994</v>
      </c>
      <c r="M163">
        <v>10.37495</v>
      </c>
      <c r="N163">
        <v>1729</v>
      </c>
      <c r="O163">
        <v>3237</v>
      </c>
      <c r="P163">
        <v>4966</v>
      </c>
    </row>
    <row r="164" spans="1:16" x14ac:dyDescent="0.3">
      <c r="A164">
        <v>163</v>
      </c>
      <c r="B164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28.392499999999998</v>
      </c>
      <c r="K164">
        <v>32.166249999999998</v>
      </c>
      <c r="L164">
        <v>74.791700000000006</v>
      </c>
      <c r="M164">
        <v>10.958989000000001</v>
      </c>
      <c r="N164">
        <v>1467</v>
      </c>
      <c r="O164">
        <v>2993</v>
      </c>
      <c r="P164">
        <v>4460</v>
      </c>
    </row>
    <row r="165" spans="1:16" x14ac:dyDescent="0.3">
      <c r="A165">
        <v>164</v>
      </c>
      <c r="B165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26.035</v>
      </c>
      <c r="K165">
        <v>30.082699999999999</v>
      </c>
      <c r="L165">
        <v>49.458300000000001</v>
      </c>
      <c r="M165">
        <v>20.458449999999999</v>
      </c>
      <c r="N165">
        <v>863</v>
      </c>
      <c r="O165">
        <v>4157</v>
      </c>
      <c r="P165">
        <v>5020</v>
      </c>
    </row>
    <row r="166" spans="1:16" x14ac:dyDescent="0.3">
      <c r="A166">
        <v>165</v>
      </c>
      <c r="B166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24.770847</v>
      </c>
      <c r="K166">
        <v>29.577300000000001</v>
      </c>
      <c r="L166">
        <v>50.708300000000001</v>
      </c>
      <c r="M166">
        <v>18.041961000000001</v>
      </c>
      <c r="N166">
        <v>727</v>
      </c>
      <c r="O166">
        <v>4164</v>
      </c>
      <c r="P166">
        <v>4891</v>
      </c>
    </row>
    <row r="167" spans="1:16" x14ac:dyDescent="0.3">
      <c r="A167">
        <v>166</v>
      </c>
      <c r="B167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25.693346999999999</v>
      </c>
      <c r="K167">
        <v>29.387699999999999</v>
      </c>
      <c r="L167">
        <v>47.166699999999999</v>
      </c>
      <c r="M167">
        <v>11.250104</v>
      </c>
      <c r="N167">
        <v>769</v>
      </c>
      <c r="O167">
        <v>4411</v>
      </c>
      <c r="P167">
        <v>5180</v>
      </c>
    </row>
    <row r="168" spans="1:16" x14ac:dyDescent="0.3">
      <c r="A168">
        <v>167</v>
      </c>
      <c r="B168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25.761652999999999</v>
      </c>
      <c r="K168">
        <v>29.767299999999999</v>
      </c>
      <c r="L168">
        <v>68.833299999999994</v>
      </c>
      <c r="M168">
        <v>13.833557000000001</v>
      </c>
      <c r="N168">
        <v>545</v>
      </c>
      <c r="O168">
        <v>3222</v>
      </c>
      <c r="P168">
        <v>3767</v>
      </c>
    </row>
    <row r="169" spans="1:16" x14ac:dyDescent="0.3">
      <c r="A169">
        <v>168</v>
      </c>
      <c r="B169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26.615846999999999</v>
      </c>
      <c r="K169">
        <v>30.01915</v>
      </c>
      <c r="L169">
        <v>73.583299999999994</v>
      </c>
      <c r="M169">
        <v>9.5829430000000002</v>
      </c>
      <c r="N169">
        <v>863</v>
      </c>
      <c r="O169">
        <v>3981</v>
      </c>
      <c r="P169">
        <v>4844</v>
      </c>
    </row>
    <row r="170" spans="1:16" x14ac:dyDescent="0.3">
      <c r="A170">
        <v>169</v>
      </c>
      <c r="B170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28.563347</v>
      </c>
      <c r="K170">
        <v>32.197699999999998</v>
      </c>
      <c r="L170">
        <v>67.041700000000006</v>
      </c>
      <c r="M170">
        <v>8.0003360000000008</v>
      </c>
      <c r="N170">
        <v>1807</v>
      </c>
      <c r="O170">
        <v>3312</v>
      </c>
      <c r="P170">
        <v>5119</v>
      </c>
    </row>
    <row r="171" spans="1:16" x14ac:dyDescent="0.3">
      <c r="A171">
        <v>170</v>
      </c>
      <c r="B17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28.665846999999999</v>
      </c>
      <c r="K171">
        <v>32.292299999999997</v>
      </c>
      <c r="L171">
        <v>66.666700000000006</v>
      </c>
      <c r="M171">
        <v>6.8339999999999996</v>
      </c>
      <c r="N171">
        <v>1639</v>
      </c>
      <c r="O171">
        <v>3105</v>
      </c>
      <c r="P171">
        <v>4744</v>
      </c>
    </row>
    <row r="172" spans="1:16" x14ac:dyDescent="0.3">
      <c r="A172">
        <v>171</v>
      </c>
      <c r="B172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26.035</v>
      </c>
      <c r="K172">
        <v>29.767299999999999</v>
      </c>
      <c r="L172">
        <v>74.625</v>
      </c>
      <c r="M172">
        <v>10.416824999999999</v>
      </c>
      <c r="N172">
        <v>699</v>
      </c>
      <c r="O172">
        <v>3311</v>
      </c>
      <c r="P172">
        <v>4010</v>
      </c>
    </row>
    <row r="173" spans="1:16" x14ac:dyDescent="0.3">
      <c r="A173">
        <v>172</v>
      </c>
      <c r="B173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27.914152999999999</v>
      </c>
      <c r="K173">
        <v>31.882300000000001</v>
      </c>
      <c r="L173">
        <v>77.041700000000006</v>
      </c>
      <c r="M173">
        <v>11.458674999999999</v>
      </c>
      <c r="N173">
        <v>774</v>
      </c>
      <c r="O173">
        <v>4061</v>
      </c>
      <c r="P173">
        <v>4835</v>
      </c>
    </row>
    <row r="174" spans="1:16" x14ac:dyDescent="0.3">
      <c r="A174">
        <v>173</v>
      </c>
      <c r="B174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30.066652999999999</v>
      </c>
      <c r="K174">
        <v>34.691450000000003</v>
      </c>
      <c r="L174">
        <v>70.75</v>
      </c>
      <c r="M174">
        <v>11.541554</v>
      </c>
      <c r="N174">
        <v>661</v>
      </c>
      <c r="O174">
        <v>3846</v>
      </c>
      <c r="P174">
        <v>4507</v>
      </c>
    </row>
    <row r="175" spans="1:16" x14ac:dyDescent="0.3">
      <c r="A175">
        <v>174</v>
      </c>
      <c r="B175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29.861653</v>
      </c>
      <c r="K175">
        <v>34.691650000000003</v>
      </c>
      <c r="L175">
        <v>70.333299999999994</v>
      </c>
      <c r="M175">
        <v>15.999867999999999</v>
      </c>
      <c r="N175">
        <v>746</v>
      </c>
      <c r="O175">
        <v>4044</v>
      </c>
      <c r="P175">
        <v>4790</v>
      </c>
    </row>
    <row r="176" spans="1:16" x14ac:dyDescent="0.3">
      <c r="A176">
        <v>175</v>
      </c>
      <c r="B176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29.690847000000002</v>
      </c>
      <c r="K176">
        <v>32.829149999999998</v>
      </c>
      <c r="L176">
        <v>57.333300000000001</v>
      </c>
      <c r="M176">
        <v>14.875674999999999</v>
      </c>
      <c r="N176">
        <v>969</v>
      </c>
      <c r="O176">
        <v>4022</v>
      </c>
      <c r="P176">
        <v>4991</v>
      </c>
    </row>
    <row r="177" spans="1:16" x14ac:dyDescent="0.3">
      <c r="A177">
        <v>176</v>
      </c>
      <c r="B177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28.495000000000001</v>
      </c>
      <c r="K177">
        <v>32.165649999999999</v>
      </c>
      <c r="L177">
        <v>48.333300000000001</v>
      </c>
      <c r="M177">
        <v>14.041257</v>
      </c>
      <c r="N177">
        <v>1782</v>
      </c>
      <c r="O177">
        <v>3420</v>
      </c>
      <c r="P177">
        <v>5202</v>
      </c>
    </row>
    <row r="178" spans="1:16" x14ac:dyDescent="0.3">
      <c r="A178">
        <v>177</v>
      </c>
      <c r="B178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27.88</v>
      </c>
      <c r="K178">
        <v>31.881450000000001</v>
      </c>
      <c r="L178">
        <v>51.333300000000001</v>
      </c>
      <c r="M178">
        <v>6.3337310999999996</v>
      </c>
      <c r="N178">
        <v>1920</v>
      </c>
      <c r="O178">
        <v>3385</v>
      </c>
      <c r="P178">
        <v>5305</v>
      </c>
    </row>
    <row r="179" spans="1:16" x14ac:dyDescent="0.3">
      <c r="A179">
        <v>178</v>
      </c>
      <c r="B179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27.982500000000002</v>
      </c>
      <c r="K179">
        <v>31.850200000000001</v>
      </c>
      <c r="L179">
        <v>65.833299999999994</v>
      </c>
      <c r="M179">
        <v>7.2083959999999996</v>
      </c>
      <c r="N179">
        <v>854</v>
      </c>
      <c r="O179">
        <v>3854</v>
      </c>
      <c r="P179">
        <v>4708</v>
      </c>
    </row>
    <row r="180" spans="1:16" x14ac:dyDescent="0.3">
      <c r="A180">
        <v>179</v>
      </c>
      <c r="B180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30.510846999999998</v>
      </c>
      <c r="K180">
        <v>34.627899999999997</v>
      </c>
      <c r="L180">
        <v>63.416699999999999</v>
      </c>
      <c r="M180">
        <v>9.6669610000000006</v>
      </c>
      <c r="N180">
        <v>732</v>
      </c>
      <c r="O180">
        <v>3916</v>
      </c>
      <c r="P180">
        <v>4648</v>
      </c>
    </row>
    <row r="181" spans="1:16" x14ac:dyDescent="0.3">
      <c r="A181">
        <v>180</v>
      </c>
      <c r="B18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29.861653</v>
      </c>
      <c r="K181">
        <v>32.734400000000001</v>
      </c>
      <c r="L181">
        <v>49.791699999999999</v>
      </c>
      <c r="M181">
        <v>17.542007000000002</v>
      </c>
      <c r="N181">
        <v>848</v>
      </c>
      <c r="O181">
        <v>4377</v>
      </c>
      <c r="P181">
        <v>5225</v>
      </c>
    </row>
    <row r="182" spans="1:16" x14ac:dyDescent="0.3">
      <c r="A182">
        <v>181</v>
      </c>
      <c r="B182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28.563347</v>
      </c>
      <c r="K182">
        <v>31.8504</v>
      </c>
      <c r="L182">
        <v>43.416699999999999</v>
      </c>
      <c r="M182">
        <v>12.415903999999999</v>
      </c>
      <c r="N182">
        <v>1027</v>
      </c>
      <c r="O182">
        <v>4488</v>
      </c>
      <c r="P182">
        <v>5515</v>
      </c>
    </row>
    <row r="183" spans="1:16" x14ac:dyDescent="0.3">
      <c r="A183">
        <v>182</v>
      </c>
      <c r="B183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29.622499999999999</v>
      </c>
      <c r="K183">
        <v>32.6081</v>
      </c>
      <c r="L183">
        <v>39.625</v>
      </c>
      <c r="M183">
        <v>6.8747360000000004</v>
      </c>
      <c r="N183">
        <v>1246</v>
      </c>
      <c r="O183">
        <v>4116</v>
      </c>
      <c r="P183">
        <v>5362</v>
      </c>
    </row>
    <row r="184" spans="1:16" x14ac:dyDescent="0.3">
      <c r="A184">
        <v>183</v>
      </c>
      <c r="B184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30.271653000000001</v>
      </c>
      <c r="K184">
        <v>33.365400000000001</v>
      </c>
      <c r="L184">
        <v>44.458300000000001</v>
      </c>
      <c r="M184">
        <v>7.7091539999999998</v>
      </c>
      <c r="N184">
        <v>2204</v>
      </c>
      <c r="O184">
        <v>2915</v>
      </c>
      <c r="P184">
        <v>5119</v>
      </c>
    </row>
    <row r="185" spans="1:16" x14ac:dyDescent="0.3">
      <c r="A185">
        <v>184</v>
      </c>
      <c r="B185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29.383347000000001</v>
      </c>
      <c r="K185">
        <v>33.428750000000001</v>
      </c>
      <c r="L185">
        <v>68.25</v>
      </c>
      <c r="M185">
        <v>15.333486000000001</v>
      </c>
      <c r="N185">
        <v>2282</v>
      </c>
      <c r="O185">
        <v>2367</v>
      </c>
      <c r="P185">
        <v>4649</v>
      </c>
    </row>
    <row r="186" spans="1:16" x14ac:dyDescent="0.3">
      <c r="A186">
        <v>185</v>
      </c>
      <c r="B186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29.793347000000001</v>
      </c>
      <c r="K186">
        <v>33.270850000000003</v>
      </c>
      <c r="L186">
        <v>63.791699999999999</v>
      </c>
      <c r="M186">
        <v>5.4591063999999996</v>
      </c>
      <c r="N186">
        <v>3065</v>
      </c>
      <c r="O186">
        <v>2978</v>
      </c>
      <c r="P186">
        <v>6043</v>
      </c>
    </row>
    <row r="187" spans="1:16" x14ac:dyDescent="0.3">
      <c r="A187">
        <v>186</v>
      </c>
      <c r="B187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30.613347000000001</v>
      </c>
      <c r="K187">
        <v>34.816899999999997</v>
      </c>
      <c r="L187">
        <v>59.041699999999999</v>
      </c>
      <c r="M187">
        <v>8.4592860000000005</v>
      </c>
      <c r="N187">
        <v>1031</v>
      </c>
      <c r="O187">
        <v>3634</v>
      </c>
      <c r="P187">
        <v>4665</v>
      </c>
    </row>
    <row r="188" spans="1:16" x14ac:dyDescent="0.3">
      <c r="A188">
        <v>187</v>
      </c>
      <c r="B188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29.52</v>
      </c>
      <c r="K188">
        <v>34.281649999999999</v>
      </c>
      <c r="L188">
        <v>74.333299999999994</v>
      </c>
      <c r="M188">
        <v>10.042161</v>
      </c>
      <c r="N188">
        <v>784</v>
      </c>
      <c r="O188">
        <v>3845</v>
      </c>
      <c r="P188">
        <v>4629</v>
      </c>
    </row>
    <row r="189" spans="1:16" x14ac:dyDescent="0.3">
      <c r="A189">
        <v>188</v>
      </c>
      <c r="B189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30.75</v>
      </c>
      <c r="K189">
        <v>34.34355</v>
      </c>
      <c r="L189">
        <v>65.125</v>
      </c>
      <c r="M189">
        <v>10.666399999999999</v>
      </c>
      <c r="N189">
        <v>754</v>
      </c>
      <c r="O189">
        <v>3838</v>
      </c>
      <c r="P189">
        <v>4592</v>
      </c>
    </row>
    <row r="190" spans="1:16" x14ac:dyDescent="0.3">
      <c r="A190">
        <v>189</v>
      </c>
      <c r="B190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29.075847</v>
      </c>
      <c r="K190">
        <v>33.524149999999999</v>
      </c>
      <c r="L190">
        <v>75.791700000000006</v>
      </c>
      <c r="M190">
        <v>15.083643</v>
      </c>
      <c r="N190">
        <v>692</v>
      </c>
      <c r="O190">
        <v>3348</v>
      </c>
      <c r="P190">
        <v>4040</v>
      </c>
    </row>
    <row r="191" spans="1:16" x14ac:dyDescent="0.3">
      <c r="A191">
        <v>190</v>
      </c>
      <c r="B19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30.066652999999999</v>
      </c>
      <c r="K191">
        <v>33.207900000000002</v>
      </c>
      <c r="L191">
        <v>60.916699999999999</v>
      </c>
      <c r="M191">
        <v>11.250104</v>
      </c>
      <c r="N191">
        <v>1988</v>
      </c>
      <c r="O191">
        <v>3348</v>
      </c>
      <c r="P191">
        <v>5336</v>
      </c>
    </row>
    <row r="192" spans="1:16" x14ac:dyDescent="0.3">
      <c r="A192">
        <v>191</v>
      </c>
      <c r="B192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30.647500000000001</v>
      </c>
      <c r="K192">
        <v>34.501249999999999</v>
      </c>
      <c r="L192">
        <v>57.833300000000001</v>
      </c>
      <c r="M192">
        <v>12.292557</v>
      </c>
      <c r="N192">
        <v>1743</v>
      </c>
      <c r="O192">
        <v>3138</v>
      </c>
      <c r="P192">
        <v>4881</v>
      </c>
    </row>
    <row r="193" spans="1:16" x14ac:dyDescent="0.3">
      <c r="A193">
        <v>192</v>
      </c>
      <c r="B193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31.262499999999999</v>
      </c>
      <c r="K193">
        <v>36.490200000000002</v>
      </c>
      <c r="L193">
        <v>63.583300000000001</v>
      </c>
      <c r="M193">
        <v>18.916578999999999</v>
      </c>
      <c r="N193">
        <v>723</v>
      </c>
      <c r="O193">
        <v>3363</v>
      </c>
      <c r="P193">
        <v>4086</v>
      </c>
    </row>
    <row r="194" spans="1:16" x14ac:dyDescent="0.3">
      <c r="A194">
        <v>193</v>
      </c>
      <c r="B194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32.560847000000003</v>
      </c>
      <c r="K194">
        <v>36.963749999999997</v>
      </c>
      <c r="L194">
        <v>55.916699999999999</v>
      </c>
      <c r="M194">
        <v>13.417018000000001</v>
      </c>
      <c r="N194">
        <v>662</v>
      </c>
      <c r="O194">
        <v>3596</v>
      </c>
      <c r="P194">
        <v>4258</v>
      </c>
    </row>
    <row r="195" spans="1:16" x14ac:dyDescent="0.3">
      <c r="A195">
        <v>194</v>
      </c>
      <c r="B195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30.613347000000001</v>
      </c>
      <c r="K195">
        <v>34.470199999999998</v>
      </c>
      <c r="L195">
        <v>63.166699999999999</v>
      </c>
      <c r="M195">
        <v>9.7909109999999995</v>
      </c>
      <c r="N195">
        <v>748</v>
      </c>
      <c r="O195">
        <v>3594</v>
      </c>
      <c r="P195">
        <v>4342</v>
      </c>
    </row>
    <row r="196" spans="1:16" x14ac:dyDescent="0.3">
      <c r="A196">
        <v>195</v>
      </c>
      <c r="B196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27.914152999999999</v>
      </c>
      <c r="K196">
        <v>31.755199999999999</v>
      </c>
      <c r="L196">
        <v>47.625</v>
      </c>
      <c r="M196">
        <v>16.124689</v>
      </c>
      <c r="N196">
        <v>888</v>
      </c>
      <c r="O196">
        <v>4196</v>
      </c>
      <c r="P196">
        <v>5084</v>
      </c>
    </row>
    <row r="197" spans="1:16" x14ac:dyDescent="0.3">
      <c r="A197">
        <v>196</v>
      </c>
      <c r="B197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27.196653000000001</v>
      </c>
      <c r="K197">
        <v>31.21855</v>
      </c>
      <c r="L197">
        <v>59.125</v>
      </c>
      <c r="M197">
        <v>12.249810999999999</v>
      </c>
      <c r="N197">
        <v>1318</v>
      </c>
      <c r="O197">
        <v>4220</v>
      </c>
      <c r="P197">
        <v>5538</v>
      </c>
    </row>
    <row r="198" spans="1:16" x14ac:dyDescent="0.3">
      <c r="A198">
        <v>197</v>
      </c>
      <c r="B198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28.153347</v>
      </c>
      <c r="K198">
        <v>31.913150000000002</v>
      </c>
      <c r="L198">
        <v>58.5</v>
      </c>
      <c r="M198">
        <v>13.958914</v>
      </c>
      <c r="N198">
        <v>2418</v>
      </c>
      <c r="O198">
        <v>3505</v>
      </c>
      <c r="P198">
        <v>5923</v>
      </c>
    </row>
    <row r="199" spans="1:16" x14ac:dyDescent="0.3">
      <c r="A199">
        <v>198</v>
      </c>
      <c r="B199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29.485847</v>
      </c>
      <c r="K199">
        <v>33.49165</v>
      </c>
      <c r="L199">
        <v>60.416699999999999</v>
      </c>
      <c r="M199">
        <v>16.417211000000002</v>
      </c>
      <c r="N199">
        <v>2006</v>
      </c>
      <c r="O199">
        <v>3296</v>
      </c>
      <c r="P199">
        <v>5302</v>
      </c>
    </row>
    <row r="200" spans="1:16" x14ac:dyDescent="0.3">
      <c r="A200">
        <v>199</v>
      </c>
      <c r="B200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30.613347000000001</v>
      </c>
      <c r="K200">
        <v>35.196249999999999</v>
      </c>
      <c r="L200">
        <v>65.125</v>
      </c>
      <c r="M200">
        <v>14.458868000000001</v>
      </c>
      <c r="N200">
        <v>841</v>
      </c>
      <c r="O200">
        <v>3617</v>
      </c>
      <c r="P200">
        <v>4458</v>
      </c>
    </row>
    <row r="201" spans="1:16" x14ac:dyDescent="0.3">
      <c r="A201">
        <v>200</v>
      </c>
      <c r="B20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31.843347000000001</v>
      </c>
      <c r="K201">
        <v>37.373950000000001</v>
      </c>
      <c r="L201">
        <v>65.041700000000006</v>
      </c>
      <c r="M201">
        <v>8.7501999999999995</v>
      </c>
      <c r="N201">
        <v>752</v>
      </c>
      <c r="O201">
        <v>3789</v>
      </c>
      <c r="P201">
        <v>4541</v>
      </c>
    </row>
    <row r="202" spans="1:16" x14ac:dyDescent="0.3">
      <c r="A202">
        <v>201</v>
      </c>
      <c r="B202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31.501653000000001</v>
      </c>
      <c r="K202">
        <v>37.342500000000001</v>
      </c>
      <c r="L202">
        <v>70.708299999999994</v>
      </c>
      <c r="M202">
        <v>7.6257390000000003</v>
      </c>
      <c r="N202">
        <v>644</v>
      </c>
      <c r="O202">
        <v>3688</v>
      </c>
      <c r="P202">
        <v>4332</v>
      </c>
    </row>
    <row r="203" spans="1:16" x14ac:dyDescent="0.3">
      <c r="A203">
        <v>202</v>
      </c>
      <c r="B203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33.414999999999999</v>
      </c>
      <c r="K203">
        <v>41.318550000000002</v>
      </c>
      <c r="L203">
        <v>69.125</v>
      </c>
      <c r="M203">
        <v>14.875406999999999</v>
      </c>
      <c r="N203">
        <v>632</v>
      </c>
      <c r="O203">
        <v>3152</v>
      </c>
      <c r="P203">
        <v>3784</v>
      </c>
    </row>
    <row r="204" spans="1:16" x14ac:dyDescent="0.3">
      <c r="A204">
        <v>203</v>
      </c>
      <c r="B204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34.781652999999999</v>
      </c>
      <c r="K204">
        <v>42.044800000000002</v>
      </c>
      <c r="L204">
        <v>58.041699999999999</v>
      </c>
      <c r="M204">
        <v>8.9177</v>
      </c>
      <c r="N204">
        <v>562</v>
      </c>
      <c r="O204">
        <v>2825</v>
      </c>
      <c r="P204">
        <v>3387</v>
      </c>
    </row>
    <row r="205" spans="1:16" x14ac:dyDescent="0.3">
      <c r="A205">
        <v>204</v>
      </c>
      <c r="B205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34.815846999999998</v>
      </c>
      <c r="K205">
        <v>40.214350000000003</v>
      </c>
      <c r="L205">
        <v>50</v>
      </c>
      <c r="M205">
        <v>8.7918070000000004</v>
      </c>
      <c r="N205">
        <v>987</v>
      </c>
      <c r="O205">
        <v>2298</v>
      </c>
      <c r="P205">
        <v>3285</v>
      </c>
    </row>
    <row r="206" spans="1:16" x14ac:dyDescent="0.3">
      <c r="A206">
        <v>205</v>
      </c>
      <c r="B206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34.03</v>
      </c>
      <c r="K206">
        <v>39.74145</v>
      </c>
      <c r="L206">
        <v>55.083300000000001</v>
      </c>
      <c r="M206">
        <v>11.334457</v>
      </c>
      <c r="N206">
        <v>1050</v>
      </c>
      <c r="O206">
        <v>2556</v>
      </c>
      <c r="P206">
        <v>3606</v>
      </c>
    </row>
    <row r="207" spans="1:16" x14ac:dyDescent="0.3">
      <c r="A207">
        <v>206</v>
      </c>
      <c r="B207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30.476652999999999</v>
      </c>
      <c r="K207">
        <v>36.047899999999998</v>
      </c>
      <c r="L207">
        <v>75.708299999999994</v>
      </c>
      <c r="M207">
        <v>6.0841561000000004</v>
      </c>
      <c r="N207">
        <v>568</v>
      </c>
      <c r="O207">
        <v>3272</v>
      </c>
      <c r="P207">
        <v>3840</v>
      </c>
    </row>
    <row r="208" spans="1:16" x14ac:dyDescent="0.3">
      <c r="A208">
        <v>207</v>
      </c>
      <c r="B208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31.638347</v>
      </c>
      <c r="K208">
        <v>34.848950000000002</v>
      </c>
      <c r="L208">
        <v>54.083300000000001</v>
      </c>
      <c r="M208">
        <v>13.417286000000001</v>
      </c>
      <c r="N208">
        <v>750</v>
      </c>
      <c r="O208">
        <v>3840</v>
      </c>
      <c r="P208">
        <v>4590</v>
      </c>
    </row>
    <row r="209" spans="1:16" x14ac:dyDescent="0.3">
      <c r="A209">
        <v>208</v>
      </c>
      <c r="B209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31.774999999999999</v>
      </c>
      <c r="K209">
        <v>34.533349999999999</v>
      </c>
      <c r="L209">
        <v>40.291699999999999</v>
      </c>
      <c r="M209">
        <v>12.292021</v>
      </c>
      <c r="N209">
        <v>755</v>
      </c>
      <c r="O209">
        <v>3901</v>
      </c>
      <c r="P209">
        <v>4656</v>
      </c>
    </row>
    <row r="210" spans="1:16" x14ac:dyDescent="0.3">
      <c r="A210">
        <v>209</v>
      </c>
      <c r="B210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31.945847000000001</v>
      </c>
      <c r="K210">
        <v>36.994999999999997</v>
      </c>
      <c r="L210">
        <v>58.333300000000001</v>
      </c>
      <c r="M210">
        <v>11.958093</v>
      </c>
      <c r="N210">
        <v>606</v>
      </c>
      <c r="O210">
        <v>3784</v>
      </c>
      <c r="P210">
        <v>4390</v>
      </c>
    </row>
    <row r="211" spans="1:16" x14ac:dyDescent="0.3">
      <c r="A211">
        <v>210</v>
      </c>
      <c r="B21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34.371653000000002</v>
      </c>
      <c r="K211">
        <v>39.298349999999999</v>
      </c>
      <c r="L211">
        <v>54.25</v>
      </c>
      <c r="M211">
        <v>11.667246</v>
      </c>
      <c r="N211">
        <v>670</v>
      </c>
      <c r="O211">
        <v>3176</v>
      </c>
      <c r="P211">
        <v>3846</v>
      </c>
    </row>
    <row r="212" spans="1:16" x14ac:dyDescent="0.3">
      <c r="A212">
        <v>211</v>
      </c>
      <c r="B212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32.970846999999999</v>
      </c>
      <c r="K212">
        <v>36.426850000000002</v>
      </c>
      <c r="L212">
        <v>46.583300000000001</v>
      </c>
      <c r="M212">
        <v>11.291979</v>
      </c>
      <c r="N212">
        <v>1559</v>
      </c>
      <c r="O212">
        <v>2916</v>
      </c>
      <c r="P212">
        <v>4475</v>
      </c>
    </row>
    <row r="213" spans="1:16" x14ac:dyDescent="0.3">
      <c r="A213">
        <v>212</v>
      </c>
      <c r="B213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33.039152999999999</v>
      </c>
      <c r="K213">
        <v>36.489800000000002</v>
      </c>
      <c r="L213">
        <v>48.083300000000001</v>
      </c>
      <c r="M213">
        <v>11.042471000000001</v>
      </c>
      <c r="N213">
        <v>1524</v>
      </c>
      <c r="O213">
        <v>2778</v>
      </c>
      <c r="P213">
        <v>4302</v>
      </c>
    </row>
    <row r="214" spans="1:16" x14ac:dyDescent="0.3">
      <c r="A214">
        <v>213</v>
      </c>
      <c r="B214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31.638347</v>
      </c>
      <c r="K214">
        <v>35.1646</v>
      </c>
      <c r="L214">
        <v>55.083300000000001</v>
      </c>
      <c r="M214">
        <v>10.500038999999999</v>
      </c>
      <c r="N214">
        <v>729</v>
      </c>
      <c r="O214">
        <v>3537</v>
      </c>
      <c r="P214">
        <v>4266</v>
      </c>
    </row>
    <row r="215" spans="1:16" x14ac:dyDescent="0.3">
      <c r="A215">
        <v>214</v>
      </c>
      <c r="B215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32.116652999999999</v>
      </c>
      <c r="K215">
        <v>35.353549999999998</v>
      </c>
      <c r="L215">
        <v>49.125</v>
      </c>
      <c r="M215">
        <v>13.79195</v>
      </c>
      <c r="N215">
        <v>801</v>
      </c>
      <c r="O215">
        <v>4044</v>
      </c>
      <c r="P215">
        <v>4845</v>
      </c>
    </row>
    <row r="216" spans="1:16" x14ac:dyDescent="0.3">
      <c r="A216">
        <v>215</v>
      </c>
      <c r="B216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29.998346999999999</v>
      </c>
      <c r="K216">
        <v>33.996850000000002</v>
      </c>
      <c r="L216">
        <v>65.75</v>
      </c>
      <c r="M216">
        <v>9.0840610000000002</v>
      </c>
      <c r="N216">
        <v>467</v>
      </c>
      <c r="O216">
        <v>3107</v>
      </c>
      <c r="P216">
        <v>3574</v>
      </c>
    </row>
    <row r="217" spans="1:16" x14ac:dyDescent="0.3">
      <c r="A217">
        <v>216</v>
      </c>
      <c r="B217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29.11</v>
      </c>
      <c r="K217">
        <v>33.239400000000003</v>
      </c>
      <c r="L217">
        <v>75.75</v>
      </c>
      <c r="M217">
        <v>13.20905</v>
      </c>
      <c r="N217">
        <v>799</v>
      </c>
      <c r="O217">
        <v>3777</v>
      </c>
      <c r="P217">
        <v>4576</v>
      </c>
    </row>
    <row r="218" spans="1:16" x14ac:dyDescent="0.3">
      <c r="A218">
        <v>217</v>
      </c>
      <c r="B218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29.144152999999999</v>
      </c>
      <c r="K218">
        <v>32.82835</v>
      </c>
      <c r="L218">
        <v>63.083300000000001</v>
      </c>
      <c r="M218">
        <v>12.374632</v>
      </c>
      <c r="N218">
        <v>1023</v>
      </c>
      <c r="O218">
        <v>3843</v>
      </c>
      <c r="P218">
        <v>4866</v>
      </c>
    </row>
    <row r="219" spans="1:16" x14ac:dyDescent="0.3">
      <c r="A219">
        <v>218</v>
      </c>
      <c r="B219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29.383347000000001</v>
      </c>
      <c r="K219">
        <v>33.807699999999997</v>
      </c>
      <c r="L219">
        <v>75.5</v>
      </c>
      <c r="M219">
        <v>15.29275</v>
      </c>
      <c r="N219">
        <v>1521</v>
      </c>
      <c r="O219">
        <v>2773</v>
      </c>
      <c r="P219">
        <v>4294</v>
      </c>
    </row>
    <row r="220" spans="1:16" x14ac:dyDescent="0.3">
      <c r="A220">
        <v>219</v>
      </c>
      <c r="B220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30.442499999999999</v>
      </c>
      <c r="K220">
        <v>35.764600000000002</v>
      </c>
      <c r="L220">
        <v>75.291700000000006</v>
      </c>
      <c r="M220">
        <v>13.499629000000001</v>
      </c>
      <c r="N220">
        <v>1298</v>
      </c>
      <c r="O220">
        <v>2487</v>
      </c>
      <c r="P220">
        <v>3785</v>
      </c>
    </row>
    <row r="221" spans="1:16" x14ac:dyDescent="0.3">
      <c r="A221">
        <v>220</v>
      </c>
      <c r="B22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31.364999999999998</v>
      </c>
      <c r="K221">
        <v>35.164149999999999</v>
      </c>
      <c r="L221">
        <v>59.208300000000001</v>
      </c>
      <c r="M221">
        <v>12.875724999999999</v>
      </c>
      <c r="N221">
        <v>846</v>
      </c>
      <c r="O221">
        <v>3480</v>
      </c>
      <c r="P221">
        <v>4326</v>
      </c>
    </row>
    <row r="222" spans="1:16" x14ac:dyDescent="0.3">
      <c r="A222">
        <v>221</v>
      </c>
      <c r="B222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31.774999999999999</v>
      </c>
      <c r="K222">
        <v>36.206049999999998</v>
      </c>
      <c r="L222">
        <v>57.041699999999999</v>
      </c>
      <c r="M222">
        <v>10.125107</v>
      </c>
      <c r="N222">
        <v>907</v>
      </c>
      <c r="O222">
        <v>3695</v>
      </c>
      <c r="P222">
        <v>4602</v>
      </c>
    </row>
    <row r="223" spans="1:16" x14ac:dyDescent="0.3">
      <c r="A223">
        <v>222</v>
      </c>
      <c r="B223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31.433347000000001</v>
      </c>
      <c r="K223">
        <v>34.24915</v>
      </c>
      <c r="L223">
        <v>42.416699999999999</v>
      </c>
      <c r="M223">
        <v>13.417286000000001</v>
      </c>
      <c r="N223">
        <v>884</v>
      </c>
      <c r="O223">
        <v>3896</v>
      </c>
      <c r="P223">
        <v>4780</v>
      </c>
    </row>
    <row r="224" spans="1:16" x14ac:dyDescent="0.3">
      <c r="A224">
        <v>223</v>
      </c>
      <c r="B224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29.4175</v>
      </c>
      <c r="K224">
        <v>32.576050000000002</v>
      </c>
      <c r="L224">
        <v>42.375</v>
      </c>
      <c r="M224">
        <v>11.041332000000001</v>
      </c>
      <c r="N224">
        <v>812</v>
      </c>
      <c r="O224">
        <v>3980</v>
      </c>
      <c r="P224">
        <v>4792</v>
      </c>
    </row>
    <row r="225" spans="1:16" x14ac:dyDescent="0.3">
      <c r="A225">
        <v>224</v>
      </c>
      <c r="B225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29.041653</v>
      </c>
      <c r="K225">
        <v>32.702100000000002</v>
      </c>
      <c r="L225">
        <v>41.5</v>
      </c>
      <c r="M225">
        <v>8.4166070000000008</v>
      </c>
      <c r="N225">
        <v>1051</v>
      </c>
      <c r="O225">
        <v>3854</v>
      </c>
      <c r="P225">
        <v>4905</v>
      </c>
    </row>
    <row r="226" spans="1:16" x14ac:dyDescent="0.3">
      <c r="A226">
        <v>225</v>
      </c>
      <c r="B226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28.119153000000001</v>
      </c>
      <c r="K226">
        <v>32.292900000000003</v>
      </c>
      <c r="L226">
        <v>72.958299999999994</v>
      </c>
      <c r="M226">
        <v>14.167418</v>
      </c>
      <c r="N226">
        <v>1504</v>
      </c>
      <c r="O226">
        <v>2646</v>
      </c>
      <c r="P226">
        <v>4150</v>
      </c>
    </row>
    <row r="227" spans="1:16" x14ac:dyDescent="0.3">
      <c r="A227">
        <v>226</v>
      </c>
      <c r="B227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27.743347</v>
      </c>
      <c r="K227">
        <v>31.2194</v>
      </c>
      <c r="L227">
        <v>81.75</v>
      </c>
      <c r="M227">
        <v>14.916411</v>
      </c>
      <c r="N227">
        <v>1338</v>
      </c>
      <c r="O227">
        <v>2482</v>
      </c>
      <c r="P227">
        <v>3820</v>
      </c>
    </row>
    <row r="228" spans="1:16" x14ac:dyDescent="0.3">
      <c r="A228">
        <v>227</v>
      </c>
      <c r="B228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27.299153</v>
      </c>
      <c r="K228">
        <v>30.808350000000001</v>
      </c>
      <c r="L228">
        <v>71.208299999999994</v>
      </c>
      <c r="M228">
        <v>13.999917999999999</v>
      </c>
      <c r="N228">
        <v>775</v>
      </c>
      <c r="O228">
        <v>3563</v>
      </c>
      <c r="P228">
        <v>4338</v>
      </c>
    </row>
    <row r="229" spans="1:16" x14ac:dyDescent="0.3">
      <c r="A229">
        <v>228</v>
      </c>
      <c r="B229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28.734152999999999</v>
      </c>
      <c r="K229">
        <v>32.291849999999997</v>
      </c>
      <c r="L229">
        <v>57.833300000000001</v>
      </c>
      <c r="M229">
        <v>15.834042999999999</v>
      </c>
      <c r="N229">
        <v>721</v>
      </c>
      <c r="O229">
        <v>4004</v>
      </c>
      <c r="P229">
        <v>4725</v>
      </c>
    </row>
    <row r="230" spans="1:16" x14ac:dyDescent="0.3">
      <c r="A230">
        <v>229</v>
      </c>
      <c r="B230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29.656652999999999</v>
      </c>
      <c r="K230">
        <v>33.333550000000002</v>
      </c>
      <c r="L230">
        <v>57.541699999999999</v>
      </c>
      <c r="M230">
        <v>9.6256889999999995</v>
      </c>
      <c r="N230">
        <v>668</v>
      </c>
      <c r="O230">
        <v>4026</v>
      </c>
      <c r="P230">
        <v>4694</v>
      </c>
    </row>
    <row r="231" spans="1:16" x14ac:dyDescent="0.3">
      <c r="A231">
        <v>230</v>
      </c>
      <c r="B23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29.178346999999999</v>
      </c>
      <c r="K231">
        <v>33.112900000000003</v>
      </c>
      <c r="L231">
        <v>65.458299999999994</v>
      </c>
      <c r="M231">
        <v>15.624936</v>
      </c>
      <c r="N231">
        <v>639</v>
      </c>
      <c r="O231">
        <v>3166</v>
      </c>
      <c r="P231">
        <v>3805</v>
      </c>
    </row>
    <row r="232" spans="1:16" x14ac:dyDescent="0.3">
      <c r="A232">
        <v>231</v>
      </c>
      <c r="B232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28.085000000000001</v>
      </c>
      <c r="K232">
        <v>31.661049999999999</v>
      </c>
      <c r="L232">
        <v>72.291700000000006</v>
      </c>
      <c r="M232">
        <v>9.3336360000000003</v>
      </c>
      <c r="N232">
        <v>797</v>
      </c>
      <c r="O232">
        <v>3356</v>
      </c>
      <c r="P232">
        <v>4153</v>
      </c>
    </row>
    <row r="233" spans="1:16" x14ac:dyDescent="0.3">
      <c r="A233">
        <v>232</v>
      </c>
      <c r="B233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28.5975</v>
      </c>
      <c r="K233">
        <v>32.449800000000003</v>
      </c>
      <c r="L233">
        <v>67.416700000000006</v>
      </c>
      <c r="M233">
        <v>6.9992890000000001</v>
      </c>
      <c r="N233">
        <v>1914</v>
      </c>
      <c r="O233">
        <v>3277</v>
      </c>
      <c r="P233">
        <v>5191</v>
      </c>
    </row>
    <row r="234" spans="1:16" x14ac:dyDescent="0.3">
      <c r="A234">
        <v>233</v>
      </c>
      <c r="B234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29.144152999999999</v>
      </c>
      <c r="K234">
        <v>33.776249999999997</v>
      </c>
      <c r="L234">
        <v>77</v>
      </c>
      <c r="M234">
        <v>16.666518</v>
      </c>
      <c r="N234">
        <v>1249</v>
      </c>
      <c r="O234">
        <v>2624</v>
      </c>
      <c r="P234">
        <v>3873</v>
      </c>
    </row>
    <row r="235" spans="1:16" x14ac:dyDescent="0.3">
      <c r="A235">
        <v>234</v>
      </c>
      <c r="B235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28.358346999999998</v>
      </c>
      <c r="K235">
        <v>31.912700000000001</v>
      </c>
      <c r="L235">
        <v>47</v>
      </c>
      <c r="M235">
        <v>18.542249999999999</v>
      </c>
      <c r="N235">
        <v>833</v>
      </c>
      <c r="O235">
        <v>3925</v>
      </c>
      <c r="P235">
        <v>4758</v>
      </c>
    </row>
    <row r="236" spans="1:16" x14ac:dyDescent="0.3">
      <c r="A236">
        <v>235</v>
      </c>
      <c r="B236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26.274152999999998</v>
      </c>
      <c r="K236">
        <v>30.303349999999998</v>
      </c>
      <c r="L236">
        <v>45.541699999999999</v>
      </c>
      <c r="M236">
        <v>9.8331210000000002</v>
      </c>
      <c r="N236">
        <v>1281</v>
      </c>
      <c r="O236">
        <v>4614</v>
      </c>
      <c r="P236">
        <v>5895</v>
      </c>
    </row>
    <row r="237" spans="1:16" x14ac:dyDescent="0.3">
      <c r="A237">
        <v>236</v>
      </c>
      <c r="B237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27.606653000000001</v>
      </c>
      <c r="K237">
        <v>31.534600000000001</v>
      </c>
      <c r="L237">
        <v>60.5</v>
      </c>
      <c r="M237">
        <v>16.958235999999999</v>
      </c>
      <c r="N237">
        <v>949</v>
      </c>
      <c r="O237">
        <v>4181</v>
      </c>
      <c r="P237">
        <v>5130</v>
      </c>
    </row>
    <row r="238" spans="1:16" x14ac:dyDescent="0.3">
      <c r="A238">
        <v>237</v>
      </c>
      <c r="B238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28.050847000000001</v>
      </c>
      <c r="K238">
        <v>32.292700000000004</v>
      </c>
      <c r="L238">
        <v>77.166700000000006</v>
      </c>
      <c r="M238">
        <v>14.125811000000001</v>
      </c>
      <c r="N238">
        <v>435</v>
      </c>
      <c r="O238">
        <v>3107</v>
      </c>
      <c r="P238">
        <v>3542</v>
      </c>
    </row>
    <row r="239" spans="1:16" x14ac:dyDescent="0.3">
      <c r="A239">
        <v>238</v>
      </c>
      <c r="B239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28.7</v>
      </c>
      <c r="K239">
        <v>32.986649999999997</v>
      </c>
      <c r="L239">
        <v>76.125</v>
      </c>
      <c r="M239">
        <v>5.6254875000000002</v>
      </c>
      <c r="N239">
        <v>768</v>
      </c>
      <c r="O239">
        <v>3893</v>
      </c>
      <c r="P239">
        <v>4661</v>
      </c>
    </row>
    <row r="240" spans="1:16" x14ac:dyDescent="0.3">
      <c r="A240">
        <v>239</v>
      </c>
      <c r="B240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27.88</v>
      </c>
      <c r="K240">
        <v>31.777799999999999</v>
      </c>
      <c r="L240">
        <v>85</v>
      </c>
      <c r="M240">
        <v>25.166339000000001</v>
      </c>
      <c r="N240">
        <v>226</v>
      </c>
      <c r="O240">
        <v>889</v>
      </c>
      <c r="P240">
        <v>1115</v>
      </c>
    </row>
    <row r="241" spans="1:16" x14ac:dyDescent="0.3">
      <c r="A241">
        <v>240</v>
      </c>
      <c r="B24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28.989419000000002</v>
      </c>
      <c r="K241">
        <v>32.397950000000002</v>
      </c>
      <c r="L241">
        <v>56.176499999999997</v>
      </c>
      <c r="M241">
        <v>20.412153</v>
      </c>
      <c r="N241">
        <v>1415</v>
      </c>
      <c r="O241">
        <v>2919</v>
      </c>
      <c r="P241">
        <v>4334</v>
      </c>
    </row>
    <row r="242" spans="1:16" x14ac:dyDescent="0.3">
      <c r="A242">
        <v>241</v>
      </c>
      <c r="B242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26.103346999999999</v>
      </c>
      <c r="K242">
        <v>30.3979</v>
      </c>
      <c r="L242">
        <v>55.458300000000001</v>
      </c>
      <c r="M242">
        <v>10.708275</v>
      </c>
      <c r="N242">
        <v>729</v>
      </c>
      <c r="O242">
        <v>3905</v>
      </c>
      <c r="P242">
        <v>4634</v>
      </c>
    </row>
    <row r="243" spans="1:16" x14ac:dyDescent="0.3">
      <c r="A243">
        <v>242</v>
      </c>
      <c r="B243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26.205846999999999</v>
      </c>
      <c r="K243">
        <v>29.735199999999999</v>
      </c>
      <c r="L243">
        <v>54.833300000000001</v>
      </c>
      <c r="M243">
        <v>8.3755360000000003</v>
      </c>
      <c r="N243">
        <v>775</v>
      </c>
      <c r="O243">
        <v>4429</v>
      </c>
      <c r="P243">
        <v>5204</v>
      </c>
    </row>
    <row r="244" spans="1:16" x14ac:dyDescent="0.3">
      <c r="A244">
        <v>243</v>
      </c>
      <c r="B244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26.923347</v>
      </c>
      <c r="K244">
        <v>30.556049999999999</v>
      </c>
      <c r="L244">
        <v>59.791699999999999</v>
      </c>
      <c r="M244">
        <v>5.5833310999999997</v>
      </c>
      <c r="N244">
        <v>688</v>
      </c>
      <c r="O244">
        <v>4370</v>
      </c>
      <c r="P244">
        <v>5058</v>
      </c>
    </row>
    <row r="245" spans="1:16" x14ac:dyDescent="0.3">
      <c r="A245">
        <v>244</v>
      </c>
      <c r="B245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26.855</v>
      </c>
      <c r="K245">
        <v>30.74605</v>
      </c>
      <c r="L245">
        <v>63.916699999999999</v>
      </c>
      <c r="M245">
        <v>9.5003320000000002</v>
      </c>
      <c r="N245">
        <v>783</v>
      </c>
      <c r="O245">
        <v>4332</v>
      </c>
      <c r="P245">
        <v>5115</v>
      </c>
    </row>
    <row r="246" spans="1:16" x14ac:dyDescent="0.3">
      <c r="A246">
        <v>245</v>
      </c>
      <c r="B246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26.376653000000001</v>
      </c>
      <c r="K246">
        <v>30.240400000000001</v>
      </c>
      <c r="L246">
        <v>72.708299999999994</v>
      </c>
      <c r="M246">
        <v>9.3752429999999993</v>
      </c>
      <c r="N246">
        <v>875</v>
      </c>
      <c r="O246">
        <v>3852</v>
      </c>
      <c r="P246">
        <v>4727</v>
      </c>
    </row>
    <row r="247" spans="1:16" x14ac:dyDescent="0.3">
      <c r="A247">
        <v>246</v>
      </c>
      <c r="B247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27.435846999999999</v>
      </c>
      <c r="K247">
        <v>31.66065</v>
      </c>
      <c r="L247">
        <v>71.666700000000006</v>
      </c>
      <c r="M247">
        <v>12.416774999999999</v>
      </c>
      <c r="N247">
        <v>1935</v>
      </c>
      <c r="O247">
        <v>2549</v>
      </c>
      <c r="P247">
        <v>4484</v>
      </c>
    </row>
    <row r="248" spans="1:16" x14ac:dyDescent="0.3">
      <c r="A248">
        <v>247</v>
      </c>
      <c r="B248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29.075847</v>
      </c>
      <c r="K248">
        <v>33.271450000000002</v>
      </c>
      <c r="L248">
        <v>74.208299999999994</v>
      </c>
      <c r="M248">
        <v>13.833289000000001</v>
      </c>
      <c r="N248">
        <v>2521</v>
      </c>
      <c r="O248">
        <v>2419</v>
      </c>
      <c r="P248">
        <v>4940</v>
      </c>
    </row>
    <row r="249" spans="1:16" x14ac:dyDescent="0.3">
      <c r="A249">
        <v>248</v>
      </c>
      <c r="B249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27.606653000000001</v>
      </c>
      <c r="K249">
        <v>31.282299999999999</v>
      </c>
      <c r="L249">
        <v>79.041700000000006</v>
      </c>
      <c r="M249">
        <v>14.250632</v>
      </c>
      <c r="N249">
        <v>1236</v>
      </c>
      <c r="O249">
        <v>2115</v>
      </c>
      <c r="P249">
        <v>3351</v>
      </c>
    </row>
    <row r="250" spans="1:16" x14ac:dyDescent="0.3">
      <c r="A250">
        <v>249</v>
      </c>
      <c r="B250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22.14</v>
      </c>
      <c r="K250">
        <v>25.76</v>
      </c>
      <c r="L250">
        <v>88.695700000000002</v>
      </c>
      <c r="M250">
        <v>23.044180999999998</v>
      </c>
      <c r="N250">
        <v>204</v>
      </c>
      <c r="O250">
        <v>2506</v>
      </c>
      <c r="P250">
        <v>2710</v>
      </c>
    </row>
    <row r="251" spans="1:16" x14ac:dyDescent="0.3">
      <c r="A251">
        <v>250</v>
      </c>
      <c r="B25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24.565847000000002</v>
      </c>
      <c r="K251">
        <v>27.211449999999999</v>
      </c>
      <c r="L251">
        <v>91.708299999999994</v>
      </c>
      <c r="M251">
        <v>6.5003935999999998</v>
      </c>
      <c r="N251">
        <v>118</v>
      </c>
      <c r="O251">
        <v>1878</v>
      </c>
      <c r="P251">
        <v>1996</v>
      </c>
    </row>
    <row r="252" spans="1:16" x14ac:dyDescent="0.3">
      <c r="A252">
        <v>251</v>
      </c>
      <c r="B252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25.990432999999999</v>
      </c>
      <c r="K252">
        <v>27.768049999999999</v>
      </c>
      <c r="L252">
        <v>93.956500000000005</v>
      </c>
      <c r="M252">
        <v>12.914116</v>
      </c>
      <c r="N252">
        <v>153</v>
      </c>
      <c r="O252">
        <v>1689</v>
      </c>
      <c r="P252">
        <v>1842</v>
      </c>
    </row>
    <row r="253" spans="1:16" x14ac:dyDescent="0.3">
      <c r="A253">
        <v>252</v>
      </c>
      <c r="B253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26.65</v>
      </c>
      <c r="K253">
        <v>28.947299999999998</v>
      </c>
      <c r="L253">
        <v>89.791700000000006</v>
      </c>
      <c r="M253">
        <v>8.3333929999999992</v>
      </c>
      <c r="N253">
        <v>417</v>
      </c>
      <c r="O253">
        <v>3127</v>
      </c>
      <c r="P253">
        <v>3544</v>
      </c>
    </row>
    <row r="254" spans="1:16" x14ac:dyDescent="0.3">
      <c r="A254">
        <v>253</v>
      </c>
      <c r="B254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27.06</v>
      </c>
      <c r="K254">
        <v>30.398099999999999</v>
      </c>
      <c r="L254">
        <v>75.375</v>
      </c>
      <c r="M254">
        <v>10.291736</v>
      </c>
      <c r="N254">
        <v>1750</v>
      </c>
      <c r="O254">
        <v>3595</v>
      </c>
      <c r="P254">
        <v>5345</v>
      </c>
    </row>
    <row r="255" spans="1:16" x14ac:dyDescent="0.3">
      <c r="A255">
        <v>254</v>
      </c>
      <c r="B255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26.786653000000001</v>
      </c>
      <c r="K255">
        <v>30.461449999999999</v>
      </c>
      <c r="L255">
        <v>71.375</v>
      </c>
      <c r="M255">
        <v>7.7086180000000004</v>
      </c>
      <c r="N255">
        <v>1633</v>
      </c>
      <c r="O255">
        <v>3413</v>
      </c>
      <c r="P255">
        <v>5046</v>
      </c>
    </row>
    <row r="256" spans="1:16" x14ac:dyDescent="0.3">
      <c r="A256">
        <v>255</v>
      </c>
      <c r="B256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26.418268000000001</v>
      </c>
      <c r="K256">
        <v>30.1065</v>
      </c>
      <c r="L256">
        <v>69.217399999999998</v>
      </c>
      <c r="M256">
        <v>5.9571709999999998</v>
      </c>
      <c r="N256">
        <v>690</v>
      </c>
      <c r="O256">
        <v>4023</v>
      </c>
      <c r="P256">
        <v>4713</v>
      </c>
    </row>
    <row r="257" spans="1:16" x14ac:dyDescent="0.3">
      <c r="A257">
        <v>256</v>
      </c>
      <c r="B257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26.684152999999998</v>
      </c>
      <c r="K257">
        <v>30.177700000000002</v>
      </c>
      <c r="L257">
        <v>71.25</v>
      </c>
      <c r="M257">
        <v>9.5008680000000005</v>
      </c>
      <c r="N257">
        <v>701</v>
      </c>
      <c r="O257">
        <v>4062</v>
      </c>
      <c r="P257">
        <v>4763</v>
      </c>
    </row>
    <row r="258" spans="1:16" x14ac:dyDescent="0.3">
      <c r="A258">
        <v>257</v>
      </c>
      <c r="B258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27.606653000000001</v>
      </c>
      <c r="K258">
        <v>31.344999999999999</v>
      </c>
      <c r="L258">
        <v>69.708299999999994</v>
      </c>
      <c r="M258">
        <v>11.209099999999999</v>
      </c>
      <c r="N258">
        <v>647</v>
      </c>
      <c r="O258">
        <v>4138</v>
      </c>
      <c r="P258">
        <v>4785</v>
      </c>
    </row>
    <row r="259" spans="1:16" x14ac:dyDescent="0.3">
      <c r="A259">
        <v>258</v>
      </c>
      <c r="B259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23.677499999999998</v>
      </c>
      <c r="K259">
        <v>27.68355</v>
      </c>
      <c r="L259">
        <v>70.916700000000006</v>
      </c>
      <c r="M259">
        <v>18.166782000000001</v>
      </c>
      <c r="N259">
        <v>428</v>
      </c>
      <c r="O259">
        <v>3231</v>
      </c>
      <c r="P259">
        <v>3659</v>
      </c>
    </row>
    <row r="260" spans="1:16" x14ac:dyDescent="0.3">
      <c r="A260">
        <v>259</v>
      </c>
      <c r="B260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19.235847</v>
      </c>
      <c r="K260">
        <v>23.07375</v>
      </c>
      <c r="L260">
        <v>59.041699999999999</v>
      </c>
      <c r="M260">
        <v>11.000261</v>
      </c>
      <c r="N260">
        <v>742</v>
      </c>
      <c r="O260">
        <v>4018</v>
      </c>
      <c r="P260">
        <v>4760</v>
      </c>
    </row>
    <row r="261" spans="1:16" x14ac:dyDescent="0.3">
      <c r="A261">
        <v>260</v>
      </c>
      <c r="B26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20.158346999999999</v>
      </c>
      <c r="K261">
        <v>23.925599999999999</v>
      </c>
      <c r="L261">
        <v>71.833299999999994</v>
      </c>
      <c r="M261">
        <v>12.708225000000001</v>
      </c>
      <c r="N261">
        <v>1434</v>
      </c>
      <c r="O261">
        <v>3077</v>
      </c>
      <c r="P261">
        <v>4511</v>
      </c>
    </row>
    <row r="262" spans="1:16" x14ac:dyDescent="0.3">
      <c r="A262">
        <v>261</v>
      </c>
      <c r="B262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20.807500000000001</v>
      </c>
      <c r="K262">
        <v>24.52685</v>
      </c>
      <c r="L262">
        <v>69.5</v>
      </c>
      <c r="M262">
        <v>11.958361</v>
      </c>
      <c r="N262">
        <v>1353</v>
      </c>
      <c r="O262">
        <v>2921</v>
      </c>
      <c r="P262">
        <v>4274</v>
      </c>
    </row>
    <row r="263" spans="1:16" x14ac:dyDescent="0.3">
      <c r="A263">
        <v>262</v>
      </c>
      <c r="B263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22.515847000000001</v>
      </c>
      <c r="K263">
        <v>26.483750000000001</v>
      </c>
      <c r="L263">
        <v>69</v>
      </c>
      <c r="M263">
        <v>10.166714000000001</v>
      </c>
      <c r="N263">
        <v>691</v>
      </c>
      <c r="O263">
        <v>3848</v>
      </c>
      <c r="P263">
        <v>4539</v>
      </c>
    </row>
    <row r="264" spans="1:16" x14ac:dyDescent="0.3">
      <c r="A264">
        <v>263</v>
      </c>
      <c r="B264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23.028347</v>
      </c>
      <c r="K264">
        <v>26.610849999999999</v>
      </c>
      <c r="L264">
        <v>88.125</v>
      </c>
      <c r="M264">
        <v>9.0419180000000008</v>
      </c>
      <c r="N264">
        <v>438</v>
      </c>
      <c r="O264">
        <v>3203</v>
      </c>
      <c r="P264">
        <v>3641</v>
      </c>
    </row>
    <row r="265" spans="1:16" x14ac:dyDescent="0.3">
      <c r="A265">
        <v>264</v>
      </c>
      <c r="B265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24.395</v>
      </c>
      <c r="K265">
        <v>27.52665</v>
      </c>
      <c r="L265">
        <v>90</v>
      </c>
      <c r="M265">
        <v>6.4590813999999996</v>
      </c>
      <c r="N265">
        <v>539</v>
      </c>
      <c r="O265">
        <v>3813</v>
      </c>
      <c r="P265">
        <v>4352</v>
      </c>
    </row>
    <row r="266" spans="1:16" x14ac:dyDescent="0.3">
      <c r="A266">
        <v>265</v>
      </c>
      <c r="B266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25.761652999999999</v>
      </c>
      <c r="K266">
        <v>27.748149999999999</v>
      </c>
      <c r="L266">
        <v>90.208299999999994</v>
      </c>
      <c r="M266">
        <v>8.5843749999999996</v>
      </c>
      <c r="N266">
        <v>555</v>
      </c>
      <c r="O266">
        <v>4240</v>
      </c>
      <c r="P266">
        <v>4795</v>
      </c>
    </row>
    <row r="267" spans="1:16" x14ac:dyDescent="0.3">
      <c r="A267">
        <v>266</v>
      </c>
      <c r="B267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24.975847000000002</v>
      </c>
      <c r="K267">
        <v>26.106249999999999</v>
      </c>
      <c r="L267">
        <v>97.25</v>
      </c>
      <c r="M267">
        <v>5.2505689000000002</v>
      </c>
      <c r="N267">
        <v>258</v>
      </c>
      <c r="O267">
        <v>2137</v>
      </c>
      <c r="P267">
        <v>2395</v>
      </c>
    </row>
    <row r="268" spans="1:16" x14ac:dyDescent="0.3">
      <c r="A268">
        <v>267</v>
      </c>
      <c r="B268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24.873346999999999</v>
      </c>
      <c r="K268">
        <v>28.220600000000001</v>
      </c>
      <c r="L268">
        <v>86.25</v>
      </c>
      <c r="M268">
        <v>5.2516810999999999</v>
      </c>
      <c r="N268">
        <v>1776</v>
      </c>
      <c r="O268">
        <v>3647</v>
      </c>
      <c r="P268">
        <v>5423</v>
      </c>
    </row>
    <row r="269" spans="1:16" x14ac:dyDescent="0.3">
      <c r="A269">
        <v>268</v>
      </c>
      <c r="B269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26.000847</v>
      </c>
      <c r="K269">
        <v>28.63185</v>
      </c>
      <c r="L269">
        <v>84.5</v>
      </c>
      <c r="M269">
        <v>3.3754064000000001</v>
      </c>
      <c r="N269">
        <v>1544</v>
      </c>
      <c r="O269">
        <v>3466</v>
      </c>
      <c r="P269">
        <v>5010</v>
      </c>
    </row>
    <row r="270" spans="1:16" x14ac:dyDescent="0.3">
      <c r="A270">
        <v>269</v>
      </c>
      <c r="B270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26.615846999999999</v>
      </c>
      <c r="K270">
        <v>29.452100000000002</v>
      </c>
      <c r="L270">
        <v>84.833299999999994</v>
      </c>
      <c r="M270">
        <v>7.4169</v>
      </c>
      <c r="N270">
        <v>684</v>
      </c>
      <c r="O270">
        <v>3946</v>
      </c>
      <c r="P270">
        <v>4630</v>
      </c>
    </row>
    <row r="271" spans="1:16" x14ac:dyDescent="0.3">
      <c r="A271">
        <v>270</v>
      </c>
      <c r="B27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26.103346999999999</v>
      </c>
      <c r="K271">
        <v>28.72625</v>
      </c>
      <c r="L271">
        <v>88.541700000000006</v>
      </c>
      <c r="M271">
        <v>7.9174569999999997</v>
      </c>
      <c r="N271">
        <v>477</v>
      </c>
      <c r="O271">
        <v>3643</v>
      </c>
      <c r="P271">
        <v>4120</v>
      </c>
    </row>
    <row r="272" spans="1:16" x14ac:dyDescent="0.3">
      <c r="A272">
        <v>271</v>
      </c>
      <c r="B272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26.035</v>
      </c>
      <c r="K272">
        <v>28.757899999999999</v>
      </c>
      <c r="L272">
        <v>84.875</v>
      </c>
      <c r="M272">
        <v>9.9581429999999997</v>
      </c>
      <c r="N272">
        <v>480</v>
      </c>
      <c r="O272">
        <v>3427</v>
      </c>
      <c r="P272">
        <v>3907</v>
      </c>
    </row>
    <row r="273" spans="1:16" x14ac:dyDescent="0.3">
      <c r="A273">
        <v>272</v>
      </c>
      <c r="B273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25.283346999999999</v>
      </c>
      <c r="K273">
        <v>28.7256</v>
      </c>
      <c r="L273">
        <v>69.916700000000006</v>
      </c>
      <c r="M273">
        <v>11.583161</v>
      </c>
      <c r="N273">
        <v>653</v>
      </c>
      <c r="O273">
        <v>4186</v>
      </c>
      <c r="P273">
        <v>4839</v>
      </c>
    </row>
    <row r="274" spans="1:16" x14ac:dyDescent="0.3">
      <c r="A274">
        <v>273</v>
      </c>
      <c r="B274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23.130846999999999</v>
      </c>
      <c r="K274">
        <v>27.24145</v>
      </c>
      <c r="L274">
        <v>64.75</v>
      </c>
      <c r="M274">
        <v>13.833824999999999</v>
      </c>
      <c r="N274">
        <v>830</v>
      </c>
      <c r="O274">
        <v>4372</v>
      </c>
      <c r="P274">
        <v>5202</v>
      </c>
    </row>
    <row r="275" spans="1:16" x14ac:dyDescent="0.3">
      <c r="A275">
        <v>274</v>
      </c>
      <c r="B275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16.809999999999999</v>
      </c>
      <c r="K275">
        <v>20.643149999999999</v>
      </c>
      <c r="L275">
        <v>75.375</v>
      </c>
      <c r="M275">
        <v>19.583832000000001</v>
      </c>
      <c r="N275">
        <v>480</v>
      </c>
      <c r="O275">
        <v>1949</v>
      </c>
      <c r="P275">
        <v>2429</v>
      </c>
    </row>
    <row r="276" spans="1:16" x14ac:dyDescent="0.3">
      <c r="A276">
        <v>275</v>
      </c>
      <c r="B276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14.623347000000001</v>
      </c>
      <c r="K276">
        <v>17.26585</v>
      </c>
      <c r="L276">
        <v>79.166700000000006</v>
      </c>
      <c r="M276">
        <v>14.874871000000001</v>
      </c>
      <c r="N276">
        <v>616</v>
      </c>
      <c r="O276">
        <v>2302</v>
      </c>
      <c r="P276">
        <v>2918</v>
      </c>
    </row>
    <row r="277" spans="1:16" x14ac:dyDescent="0.3">
      <c r="A277">
        <v>276</v>
      </c>
      <c r="B277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15.750847</v>
      </c>
      <c r="K277">
        <v>19.6023</v>
      </c>
      <c r="L277">
        <v>76.083299999999994</v>
      </c>
      <c r="M277">
        <v>5.5841685999999999</v>
      </c>
      <c r="N277">
        <v>330</v>
      </c>
      <c r="O277">
        <v>3240</v>
      </c>
      <c r="P277">
        <v>3570</v>
      </c>
    </row>
    <row r="278" spans="1:16" x14ac:dyDescent="0.3">
      <c r="A278">
        <v>277</v>
      </c>
      <c r="B278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19.850847000000002</v>
      </c>
      <c r="K278">
        <v>23.642900000000001</v>
      </c>
      <c r="L278">
        <v>71</v>
      </c>
      <c r="M278">
        <v>13.792218</v>
      </c>
      <c r="N278">
        <v>486</v>
      </c>
      <c r="O278">
        <v>3970</v>
      </c>
      <c r="P278">
        <v>4456</v>
      </c>
    </row>
    <row r="279" spans="1:16" x14ac:dyDescent="0.3">
      <c r="A279">
        <v>278</v>
      </c>
      <c r="B279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22.071653000000001</v>
      </c>
      <c r="K279">
        <v>26.3569</v>
      </c>
      <c r="L279">
        <v>64.791700000000006</v>
      </c>
      <c r="M279">
        <v>11.87575</v>
      </c>
      <c r="N279">
        <v>559</v>
      </c>
      <c r="O279">
        <v>4267</v>
      </c>
      <c r="P279">
        <v>4826</v>
      </c>
    </row>
    <row r="280" spans="1:16" x14ac:dyDescent="0.3">
      <c r="A280">
        <v>279</v>
      </c>
      <c r="B280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20.260846999999998</v>
      </c>
      <c r="K280">
        <v>24.021249999999998</v>
      </c>
      <c r="L280">
        <v>62.083300000000001</v>
      </c>
      <c r="M280">
        <v>9.0419180000000008</v>
      </c>
      <c r="N280">
        <v>639</v>
      </c>
      <c r="O280">
        <v>4126</v>
      </c>
      <c r="P280">
        <v>4765</v>
      </c>
    </row>
    <row r="281" spans="1:16" x14ac:dyDescent="0.3">
      <c r="A281">
        <v>280</v>
      </c>
      <c r="B28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20.944153</v>
      </c>
      <c r="K281">
        <v>25.220199999999998</v>
      </c>
      <c r="L281">
        <v>68.416700000000006</v>
      </c>
      <c r="M281">
        <v>1.5002439000000001</v>
      </c>
      <c r="N281">
        <v>949</v>
      </c>
      <c r="O281">
        <v>4036</v>
      </c>
      <c r="P281">
        <v>4985</v>
      </c>
    </row>
    <row r="282" spans="1:16" x14ac:dyDescent="0.3">
      <c r="A282">
        <v>281</v>
      </c>
      <c r="B282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21.388347</v>
      </c>
      <c r="K282">
        <v>25.662099999999999</v>
      </c>
      <c r="L282">
        <v>70.125</v>
      </c>
      <c r="M282">
        <v>3.0420813999999998</v>
      </c>
      <c r="N282">
        <v>2235</v>
      </c>
      <c r="O282">
        <v>3174</v>
      </c>
      <c r="P282">
        <v>5409</v>
      </c>
    </row>
    <row r="283" spans="1:16" x14ac:dyDescent="0.3">
      <c r="A283">
        <v>282</v>
      </c>
      <c r="B283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22.174153</v>
      </c>
      <c r="K283">
        <v>26.199149999999999</v>
      </c>
      <c r="L283">
        <v>72.75</v>
      </c>
      <c r="M283">
        <v>4.25115</v>
      </c>
      <c r="N283">
        <v>2397</v>
      </c>
      <c r="O283">
        <v>3114</v>
      </c>
      <c r="P283">
        <v>5511</v>
      </c>
    </row>
    <row r="284" spans="1:16" x14ac:dyDescent="0.3">
      <c r="A284">
        <v>283</v>
      </c>
      <c r="B284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23.404153000000001</v>
      </c>
      <c r="K284">
        <v>27.146249999999998</v>
      </c>
      <c r="L284">
        <v>73.375</v>
      </c>
      <c r="M284">
        <v>2.8343813999999998</v>
      </c>
      <c r="N284">
        <v>1514</v>
      </c>
      <c r="O284">
        <v>3603</v>
      </c>
      <c r="P284">
        <v>5117</v>
      </c>
    </row>
    <row r="285" spans="1:16" x14ac:dyDescent="0.3">
      <c r="A285">
        <v>284</v>
      </c>
      <c r="B285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23.233346999999998</v>
      </c>
      <c r="K285">
        <v>27.3048</v>
      </c>
      <c r="L285">
        <v>80.875</v>
      </c>
      <c r="M285">
        <v>9.5838140000000003</v>
      </c>
      <c r="N285">
        <v>667</v>
      </c>
      <c r="O285">
        <v>3896</v>
      </c>
      <c r="P285">
        <v>4563</v>
      </c>
    </row>
    <row r="286" spans="1:16" x14ac:dyDescent="0.3">
      <c r="A286">
        <v>285</v>
      </c>
      <c r="B286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22.276653</v>
      </c>
      <c r="K286">
        <v>25.885850000000001</v>
      </c>
      <c r="L286">
        <v>90.625</v>
      </c>
      <c r="M286">
        <v>16.626049999999999</v>
      </c>
      <c r="N286">
        <v>217</v>
      </c>
      <c r="O286">
        <v>2199</v>
      </c>
      <c r="P286">
        <v>2416</v>
      </c>
    </row>
    <row r="287" spans="1:16" x14ac:dyDescent="0.3">
      <c r="A287">
        <v>286</v>
      </c>
      <c r="B287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24.155847000000001</v>
      </c>
      <c r="K287">
        <v>27.590199999999999</v>
      </c>
      <c r="L287">
        <v>89.666700000000006</v>
      </c>
      <c r="M287">
        <v>9.4997290000000003</v>
      </c>
      <c r="N287">
        <v>290</v>
      </c>
      <c r="O287">
        <v>2623</v>
      </c>
      <c r="P287">
        <v>2913</v>
      </c>
    </row>
    <row r="288" spans="1:16" x14ac:dyDescent="0.3">
      <c r="A288">
        <v>287</v>
      </c>
      <c r="B288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22.584153000000001</v>
      </c>
      <c r="K288">
        <v>26.483750000000001</v>
      </c>
      <c r="L288">
        <v>71.625</v>
      </c>
      <c r="M288">
        <v>15.000161</v>
      </c>
      <c r="N288">
        <v>529</v>
      </c>
      <c r="O288">
        <v>3115</v>
      </c>
      <c r="P288">
        <v>3644</v>
      </c>
    </row>
    <row r="289" spans="1:16" x14ac:dyDescent="0.3">
      <c r="A289">
        <v>288</v>
      </c>
      <c r="B289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20.773347000000001</v>
      </c>
      <c r="K289">
        <v>24.936250000000001</v>
      </c>
      <c r="L289">
        <v>48.333300000000001</v>
      </c>
      <c r="M289">
        <v>17.291561000000002</v>
      </c>
      <c r="N289">
        <v>1899</v>
      </c>
      <c r="O289">
        <v>3318</v>
      </c>
      <c r="P289">
        <v>5217</v>
      </c>
    </row>
    <row r="290" spans="1:16" x14ac:dyDescent="0.3">
      <c r="A290">
        <v>289</v>
      </c>
      <c r="B290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20.978346999999999</v>
      </c>
      <c r="K290">
        <v>25.157699999999998</v>
      </c>
      <c r="L290">
        <v>48.666699999999999</v>
      </c>
      <c r="M290">
        <v>18.875039000000001</v>
      </c>
      <c r="N290">
        <v>1748</v>
      </c>
      <c r="O290">
        <v>3293</v>
      </c>
      <c r="P290">
        <v>5041</v>
      </c>
    </row>
    <row r="291" spans="1:16" x14ac:dyDescent="0.3">
      <c r="A291">
        <v>290</v>
      </c>
      <c r="B29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21.900846999999999</v>
      </c>
      <c r="K291">
        <v>25.536249999999999</v>
      </c>
      <c r="L291">
        <v>57.958300000000001</v>
      </c>
      <c r="M291">
        <v>11.750393000000001</v>
      </c>
      <c r="N291">
        <v>713</v>
      </c>
      <c r="O291">
        <v>3857</v>
      </c>
      <c r="P291">
        <v>4570</v>
      </c>
    </row>
    <row r="292" spans="1:16" x14ac:dyDescent="0.3">
      <c r="A292">
        <v>291</v>
      </c>
      <c r="B292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21.8325</v>
      </c>
      <c r="K292">
        <v>26.136050000000001</v>
      </c>
      <c r="L292">
        <v>70.166700000000006</v>
      </c>
      <c r="M292">
        <v>7.3758290000000004</v>
      </c>
      <c r="N292">
        <v>637</v>
      </c>
      <c r="O292">
        <v>4111</v>
      </c>
      <c r="P292">
        <v>4748</v>
      </c>
    </row>
    <row r="293" spans="1:16" x14ac:dyDescent="0.3">
      <c r="A293">
        <v>292</v>
      </c>
      <c r="B293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22.211299</v>
      </c>
      <c r="K293">
        <v>25.692399999999999</v>
      </c>
      <c r="L293">
        <v>89.521699999999996</v>
      </c>
      <c r="M293">
        <v>16.303712999999998</v>
      </c>
      <c r="N293">
        <v>254</v>
      </c>
      <c r="O293">
        <v>2170</v>
      </c>
      <c r="P293">
        <v>2424</v>
      </c>
    </row>
    <row r="294" spans="1:16" x14ac:dyDescent="0.3">
      <c r="A294">
        <v>293</v>
      </c>
      <c r="B294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19.509153000000001</v>
      </c>
      <c r="K294">
        <v>23.326250000000002</v>
      </c>
      <c r="L294">
        <v>63.625</v>
      </c>
      <c r="M294">
        <v>28.292425000000001</v>
      </c>
      <c r="N294">
        <v>471</v>
      </c>
      <c r="O294">
        <v>3724</v>
      </c>
      <c r="P294">
        <v>4195</v>
      </c>
    </row>
    <row r="295" spans="1:16" x14ac:dyDescent="0.3">
      <c r="A295">
        <v>294</v>
      </c>
      <c r="B295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17.5275</v>
      </c>
      <c r="K295">
        <v>21.1798</v>
      </c>
      <c r="L295">
        <v>57.416699999999999</v>
      </c>
      <c r="M295">
        <v>14.833532</v>
      </c>
      <c r="N295">
        <v>676</v>
      </c>
      <c r="O295">
        <v>3628</v>
      </c>
      <c r="P295">
        <v>4304</v>
      </c>
    </row>
    <row r="296" spans="1:16" x14ac:dyDescent="0.3">
      <c r="A296">
        <v>295</v>
      </c>
      <c r="B296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17.322500000000002</v>
      </c>
      <c r="K296">
        <v>21.2746</v>
      </c>
      <c r="L296">
        <v>62.916699999999999</v>
      </c>
      <c r="M296">
        <v>6.2086689000000002</v>
      </c>
      <c r="N296">
        <v>1499</v>
      </c>
      <c r="O296">
        <v>2809</v>
      </c>
      <c r="P296">
        <v>4308</v>
      </c>
    </row>
    <row r="297" spans="1:16" x14ac:dyDescent="0.3">
      <c r="A297">
        <v>296</v>
      </c>
      <c r="B297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17.288347000000002</v>
      </c>
      <c r="K297">
        <v>21.11665</v>
      </c>
      <c r="L297">
        <v>74.125</v>
      </c>
      <c r="M297">
        <v>6.6673375000000004</v>
      </c>
      <c r="N297">
        <v>1619</v>
      </c>
      <c r="O297">
        <v>2762</v>
      </c>
      <c r="P297">
        <v>4381</v>
      </c>
    </row>
    <row r="298" spans="1:16" x14ac:dyDescent="0.3">
      <c r="A298">
        <v>297</v>
      </c>
      <c r="B298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18.996652999999998</v>
      </c>
      <c r="K298">
        <v>22.853349999999999</v>
      </c>
      <c r="L298">
        <v>77.208299999999994</v>
      </c>
      <c r="M298">
        <v>7.9590639999999997</v>
      </c>
      <c r="N298">
        <v>699</v>
      </c>
      <c r="O298">
        <v>3488</v>
      </c>
      <c r="P298">
        <v>4187</v>
      </c>
    </row>
    <row r="299" spans="1:16" x14ac:dyDescent="0.3">
      <c r="A299">
        <v>298</v>
      </c>
      <c r="B299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19.338346999999999</v>
      </c>
      <c r="K299">
        <v>23.168749999999999</v>
      </c>
      <c r="L299">
        <v>62.291699999999999</v>
      </c>
      <c r="M299">
        <v>11.166086</v>
      </c>
      <c r="N299">
        <v>695</v>
      </c>
      <c r="O299">
        <v>3992</v>
      </c>
      <c r="P299">
        <v>4687</v>
      </c>
    </row>
    <row r="300" spans="1:16" x14ac:dyDescent="0.3">
      <c r="A300">
        <v>299</v>
      </c>
      <c r="B300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19.850847000000002</v>
      </c>
      <c r="K300">
        <v>23.642299999999999</v>
      </c>
      <c r="L300">
        <v>72.041700000000006</v>
      </c>
      <c r="M300">
        <v>9.9590139999999998</v>
      </c>
      <c r="N300">
        <v>404</v>
      </c>
      <c r="O300">
        <v>3490</v>
      </c>
      <c r="P300">
        <v>3894</v>
      </c>
    </row>
    <row r="301" spans="1:16" x14ac:dyDescent="0.3">
      <c r="A301">
        <v>300</v>
      </c>
      <c r="B30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19.27</v>
      </c>
      <c r="K301">
        <v>22.8523</v>
      </c>
      <c r="L301">
        <v>81.291700000000006</v>
      </c>
      <c r="M301">
        <v>13.250121</v>
      </c>
      <c r="N301">
        <v>240</v>
      </c>
      <c r="O301">
        <v>2419</v>
      </c>
      <c r="P301">
        <v>2659</v>
      </c>
    </row>
    <row r="302" spans="1:16" x14ac:dyDescent="0.3">
      <c r="A302">
        <v>301</v>
      </c>
      <c r="B302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13.564152999999999</v>
      </c>
      <c r="K302">
        <v>15.9406</v>
      </c>
      <c r="L302">
        <v>58.583300000000001</v>
      </c>
      <c r="M302">
        <v>15.375093</v>
      </c>
      <c r="N302">
        <v>456</v>
      </c>
      <c r="O302">
        <v>3291</v>
      </c>
      <c r="P302">
        <v>3747</v>
      </c>
    </row>
    <row r="303" spans="1:16" x14ac:dyDescent="0.3">
      <c r="A303">
        <v>302</v>
      </c>
      <c r="B303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10.420847</v>
      </c>
      <c r="K303">
        <v>11.39565</v>
      </c>
      <c r="L303">
        <v>88.25</v>
      </c>
      <c r="M303">
        <v>23.541857</v>
      </c>
      <c r="N303">
        <v>57</v>
      </c>
      <c r="O303">
        <v>570</v>
      </c>
      <c r="P303">
        <v>627</v>
      </c>
    </row>
    <row r="304" spans="1:16" x14ac:dyDescent="0.3">
      <c r="A304">
        <v>303</v>
      </c>
      <c r="B304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13.085846999999999</v>
      </c>
      <c r="K304">
        <v>16.06645</v>
      </c>
      <c r="L304">
        <v>62.375</v>
      </c>
      <c r="M304">
        <v>11.833339</v>
      </c>
      <c r="N304">
        <v>885</v>
      </c>
      <c r="O304">
        <v>2446</v>
      </c>
      <c r="P304">
        <v>3331</v>
      </c>
    </row>
    <row r="305" spans="1:16" x14ac:dyDescent="0.3">
      <c r="A305">
        <v>304</v>
      </c>
      <c r="B305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13.94</v>
      </c>
      <c r="K305">
        <v>17.803149999999999</v>
      </c>
      <c r="L305">
        <v>70.333299999999994</v>
      </c>
      <c r="M305">
        <v>7.1254499999999998</v>
      </c>
      <c r="N305">
        <v>362</v>
      </c>
      <c r="O305">
        <v>3307</v>
      </c>
      <c r="P305">
        <v>3669</v>
      </c>
    </row>
    <row r="306" spans="1:16" x14ac:dyDescent="0.3">
      <c r="A306">
        <v>305</v>
      </c>
      <c r="B306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16.434152999999998</v>
      </c>
      <c r="K306">
        <v>19.854399999999998</v>
      </c>
      <c r="L306">
        <v>68.375</v>
      </c>
      <c r="M306">
        <v>9.0832569999999997</v>
      </c>
      <c r="N306">
        <v>410</v>
      </c>
      <c r="O306">
        <v>3658</v>
      </c>
      <c r="P306">
        <v>4068</v>
      </c>
    </row>
    <row r="307" spans="1:16" x14ac:dyDescent="0.3">
      <c r="A307">
        <v>306</v>
      </c>
      <c r="B307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15.477499999999999</v>
      </c>
      <c r="K307">
        <v>19.50665</v>
      </c>
      <c r="L307">
        <v>71.875</v>
      </c>
      <c r="M307">
        <v>5.5001439000000003</v>
      </c>
      <c r="N307">
        <v>370</v>
      </c>
      <c r="O307">
        <v>3816</v>
      </c>
      <c r="P307">
        <v>4186</v>
      </c>
    </row>
    <row r="308" spans="1:16" x14ac:dyDescent="0.3">
      <c r="A308">
        <v>307</v>
      </c>
      <c r="B308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16.741652999999999</v>
      </c>
      <c r="K308">
        <v>20.296050000000001</v>
      </c>
      <c r="L308">
        <v>70.208299999999994</v>
      </c>
      <c r="M308">
        <v>9.1667389999999997</v>
      </c>
      <c r="N308">
        <v>318</v>
      </c>
      <c r="O308">
        <v>3656</v>
      </c>
      <c r="P308">
        <v>3974</v>
      </c>
    </row>
    <row r="309" spans="1:16" x14ac:dyDescent="0.3">
      <c r="A309">
        <v>308</v>
      </c>
      <c r="B309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16.536653000000001</v>
      </c>
      <c r="K309">
        <v>20.169599999999999</v>
      </c>
      <c r="L309">
        <v>62.25</v>
      </c>
      <c r="M309">
        <v>18.209192999999999</v>
      </c>
      <c r="N309">
        <v>470</v>
      </c>
      <c r="O309">
        <v>3576</v>
      </c>
      <c r="P309">
        <v>4046</v>
      </c>
    </row>
    <row r="310" spans="1:16" x14ac:dyDescent="0.3">
      <c r="A310">
        <v>309</v>
      </c>
      <c r="B310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13.393347</v>
      </c>
      <c r="K310">
        <v>16.192699999999999</v>
      </c>
      <c r="L310">
        <v>51.916699999999999</v>
      </c>
      <c r="M310">
        <v>12.667154</v>
      </c>
      <c r="N310">
        <v>1156</v>
      </c>
      <c r="O310">
        <v>2770</v>
      </c>
      <c r="P310">
        <v>3926</v>
      </c>
    </row>
    <row r="311" spans="1:16" x14ac:dyDescent="0.3">
      <c r="A311">
        <v>310</v>
      </c>
      <c r="B31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14.281653</v>
      </c>
      <c r="K311">
        <v>18.117899999999999</v>
      </c>
      <c r="L311">
        <v>73.458299999999994</v>
      </c>
      <c r="M311">
        <v>6.1676314000000003</v>
      </c>
      <c r="N311">
        <v>952</v>
      </c>
      <c r="O311">
        <v>2697</v>
      </c>
      <c r="P311">
        <v>3649</v>
      </c>
    </row>
    <row r="312" spans="1:16" x14ac:dyDescent="0.3">
      <c r="A312">
        <v>311</v>
      </c>
      <c r="B312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16.195</v>
      </c>
      <c r="K312">
        <v>20.04355</v>
      </c>
      <c r="L312">
        <v>75.875</v>
      </c>
      <c r="M312">
        <v>3.8340749999999999</v>
      </c>
      <c r="N312">
        <v>373</v>
      </c>
      <c r="O312">
        <v>3662</v>
      </c>
      <c r="P312">
        <v>4035</v>
      </c>
    </row>
    <row r="313" spans="1:16" x14ac:dyDescent="0.3">
      <c r="A313">
        <v>312</v>
      </c>
      <c r="B313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16.741652999999999</v>
      </c>
      <c r="K313">
        <v>20.612300000000001</v>
      </c>
      <c r="L313">
        <v>72.166700000000006</v>
      </c>
      <c r="M313">
        <v>4.6255125000000001</v>
      </c>
      <c r="N313">
        <v>376</v>
      </c>
      <c r="O313">
        <v>3829</v>
      </c>
      <c r="P313">
        <v>4205</v>
      </c>
    </row>
    <row r="314" spans="1:16" x14ac:dyDescent="0.3">
      <c r="A314">
        <v>313</v>
      </c>
      <c r="B314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16.399999999999999</v>
      </c>
      <c r="K314">
        <v>20.453949999999999</v>
      </c>
      <c r="L314">
        <v>75.833299999999994</v>
      </c>
      <c r="M314">
        <v>4.1671186000000002</v>
      </c>
      <c r="N314">
        <v>305</v>
      </c>
      <c r="O314">
        <v>3804</v>
      </c>
      <c r="P314">
        <v>4109</v>
      </c>
    </row>
    <row r="315" spans="1:16" x14ac:dyDescent="0.3">
      <c r="A315">
        <v>314</v>
      </c>
      <c r="B315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15.58</v>
      </c>
      <c r="K315">
        <v>18.686050000000002</v>
      </c>
      <c r="L315">
        <v>81.333299999999994</v>
      </c>
      <c r="M315">
        <v>12.667489</v>
      </c>
      <c r="N315">
        <v>190</v>
      </c>
      <c r="O315">
        <v>2743</v>
      </c>
      <c r="P315">
        <v>2933</v>
      </c>
    </row>
    <row r="316" spans="1:16" x14ac:dyDescent="0.3">
      <c r="A316">
        <v>315</v>
      </c>
      <c r="B316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13.290846999999999</v>
      </c>
      <c r="K316">
        <v>15.34085</v>
      </c>
      <c r="L316">
        <v>44.625</v>
      </c>
      <c r="M316">
        <v>21.083224999999999</v>
      </c>
      <c r="N316">
        <v>440</v>
      </c>
      <c r="O316">
        <v>2928</v>
      </c>
      <c r="P316">
        <v>3368</v>
      </c>
    </row>
    <row r="317" spans="1:16" x14ac:dyDescent="0.3">
      <c r="A317">
        <v>316</v>
      </c>
      <c r="B317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14.623347000000001</v>
      </c>
      <c r="K317">
        <v>17.897099999999998</v>
      </c>
      <c r="L317">
        <v>55.291699999999999</v>
      </c>
      <c r="M317">
        <v>14.208154</v>
      </c>
      <c r="N317">
        <v>1275</v>
      </c>
      <c r="O317">
        <v>2792</v>
      </c>
      <c r="P317">
        <v>4067</v>
      </c>
    </row>
    <row r="318" spans="1:16" x14ac:dyDescent="0.3">
      <c r="A318">
        <v>317</v>
      </c>
      <c r="B318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18.074152999999999</v>
      </c>
      <c r="K318">
        <v>21.5275</v>
      </c>
      <c r="L318">
        <v>45.833300000000001</v>
      </c>
      <c r="M318">
        <v>18.875306999999999</v>
      </c>
      <c r="N318">
        <v>1004</v>
      </c>
      <c r="O318">
        <v>2713</v>
      </c>
      <c r="P318">
        <v>3717</v>
      </c>
    </row>
    <row r="319" spans="1:16" x14ac:dyDescent="0.3">
      <c r="A319">
        <v>318</v>
      </c>
      <c r="B319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21.73</v>
      </c>
      <c r="K319">
        <v>26.230599999999999</v>
      </c>
      <c r="L319">
        <v>58.708300000000001</v>
      </c>
      <c r="M319">
        <v>20.541931999999999</v>
      </c>
      <c r="N319">
        <v>595</v>
      </c>
      <c r="O319">
        <v>3891</v>
      </c>
      <c r="P319">
        <v>4486</v>
      </c>
    </row>
    <row r="320" spans="1:16" x14ac:dyDescent="0.3">
      <c r="A320">
        <v>319</v>
      </c>
      <c r="B320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21.73</v>
      </c>
      <c r="K320">
        <v>25.37895</v>
      </c>
      <c r="L320">
        <v>68.875</v>
      </c>
      <c r="M320">
        <v>13.375411</v>
      </c>
      <c r="N320">
        <v>449</v>
      </c>
      <c r="O320">
        <v>3746</v>
      </c>
      <c r="P320">
        <v>4195</v>
      </c>
    </row>
    <row r="321" spans="1:16" x14ac:dyDescent="0.3">
      <c r="A321">
        <v>320</v>
      </c>
      <c r="B32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18.723347</v>
      </c>
      <c r="K321">
        <v>22.599399999999999</v>
      </c>
      <c r="L321">
        <v>93</v>
      </c>
      <c r="M321">
        <v>9.1675430000000002</v>
      </c>
      <c r="N321">
        <v>145</v>
      </c>
      <c r="O321">
        <v>1672</v>
      </c>
      <c r="P321">
        <v>1817</v>
      </c>
    </row>
    <row r="322" spans="1:16" x14ac:dyDescent="0.3">
      <c r="A322">
        <v>321</v>
      </c>
      <c r="B322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14.008347000000001</v>
      </c>
      <c r="K322">
        <v>16.161049999999999</v>
      </c>
      <c r="L322">
        <v>57.583300000000001</v>
      </c>
      <c r="M322">
        <v>20.459254000000001</v>
      </c>
      <c r="N322">
        <v>139</v>
      </c>
      <c r="O322">
        <v>2914</v>
      </c>
      <c r="P322">
        <v>3053</v>
      </c>
    </row>
    <row r="323" spans="1:16" x14ac:dyDescent="0.3">
      <c r="A323">
        <v>322</v>
      </c>
      <c r="B323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11.240847</v>
      </c>
      <c r="K323">
        <v>13.636049999999999</v>
      </c>
      <c r="L323">
        <v>41</v>
      </c>
      <c r="M323">
        <v>11.291710999999999</v>
      </c>
      <c r="N323">
        <v>245</v>
      </c>
      <c r="O323">
        <v>3147</v>
      </c>
      <c r="P323">
        <v>3392</v>
      </c>
    </row>
    <row r="324" spans="1:16" x14ac:dyDescent="0.3">
      <c r="A324">
        <v>323</v>
      </c>
      <c r="B324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13.495846999999999</v>
      </c>
      <c r="K324">
        <v>16.224150000000002</v>
      </c>
      <c r="L324">
        <v>50.208300000000001</v>
      </c>
      <c r="M324">
        <v>15.041232000000001</v>
      </c>
      <c r="N324">
        <v>943</v>
      </c>
      <c r="O324">
        <v>2720</v>
      </c>
      <c r="P324">
        <v>3663</v>
      </c>
    </row>
    <row r="325" spans="1:16" x14ac:dyDescent="0.3">
      <c r="A325">
        <v>324</v>
      </c>
      <c r="B325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18.996652999999998</v>
      </c>
      <c r="K325">
        <v>22.852900000000002</v>
      </c>
      <c r="L325">
        <v>68.458299999999994</v>
      </c>
      <c r="M325">
        <v>12.45865</v>
      </c>
      <c r="N325">
        <v>787</v>
      </c>
      <c r="O325">
        <v>2733</v>
      </c>
      <c r="P325">
        <v>3520</v>
      </c>
    </row>
    <row r="326" spans="1:16" x14ac:dyDescent="0.3">
      <c r="A326">
        <v>325</v>
      </c>
      <c r="B326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18.3475</v>
      </c>
      <c r="K326">
        <v>22.2531</v>
      </c>
      <c r="L326">
        <v>91</v>
      </c>
      <c r="M326">
        <v>9.2496179999999999</v>
      </c>
      <c r="N326">
        <v>220</v>
      </c>
      <c r="O326">
        <v>2545</v>
      </c>
      <c r="P326">
        <v>2765</v>
      </c>
    </row>
    <row r="327" spans="1:16" x14ac:dyDescent="0.3">
      <c r="A327">
        <v>326</v>
      </c>
      <c r="B327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17.083347</v>
      </c>
      <c r="K327">
        <v>21.084800000000001</v>
      </c>
      <c r="L327">
        <v>96.25</v>
      </c>
      <c r="M327">
        <v>7.9590639999999997</v>
      </c>
      <c r="N327">
        <v>69</v>
      </c>
      <c r="O327">
        <v>1538</v>
      </c>
      <c r="P327">
        <v>1607</v>
      </c>
    </row>
    <row r="328" spans="1:16" x14ac:dyDescent="0.3">
      <c r="A328">
        <v>327</v>
      </c>
      <c r="B328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18.074152999999999</v>
      </c>
      <c r="K328">
        <v>21.52685</v>
      </c>
      <c r="L328">
        <v>75.791700000000006</v>
      </c>
      <c r="M328">
        <v>22.500274999999998</v>
      </c>
      <c r="N328">
        <v>112</v>
      </c>
      <c r="O328">
        <v>2454</v>
      </c>
      <c r="P328">
        <v>2566</v>
      </c>
    </row>
    <row r="329" spans="1:16" x14ac:dyDescent="0.3">
      <c r="A329">
        <v>328</v>
      </c>
      <c r="B329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15.306653000000001</v>
      </c>
      <c r="K329">
        <v>18.623550000000002</v>
      </c>
      <c r="L329">
        <v>54.916699999999999</v>
      </c>
      <c r="M329">
        <v>11.209368</v>
      </c>
      <c r="N329">
        <v>560</v>
      </c>
      <c r="O329">
        <v>935</v>
      </c>
      <c r="P329">
        <v>1495</v>
      </c>
    </row>
    <row r="330" spans="1:16" x14ac:dyDescent="0.3">
      <c r="A330">
        <v>329</v>
      </c>
      <c r="B330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15.375</v>
      </c>
      <c r="K330">
        <v>19.033550000000002</v>
      </c>
      <c r="L330">
        <v>64.375</v>
      </c>
      <c r="M330">
        <v>6.6260186000000001</v>
      </c>
      <c r="N330">
        <v>1095</v>
      </c>
      <c r="O330">
        <v>1697</v>
      </c>
      <c r="P330">
        <v>2792</v>
      </c>
    </row>
    <row r="331" spans="1:16" x14ac:dyDescent="0.3">
      <c r="A331">
        <v>330</v>
      </c>
      <c r="B33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15.409153</v>
      </c>
      <c r="K331">
        <v>19.254349999999999</v>
      </c>
      <c r="L331">
        <v>68.166700000000006</v>
      </c>
      <c r="M331">
        <v>4.5841935999999999</v>
      </c>
      <c r="N331">
        <v>1249</v>
      </c>
      <c r="O331">
        <v>1819</v>
      </c>
      <c r="P331">
        <v>3068</v>
      </c>
    </row>
    <row r="332" spans="1:16" x14ac:dyDescent="0.3">
      <c r="A332">
        <v>331</v>
      </c>
      <c r="B332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18.825847</v>
      </c>
      <c r="K332">
        <v>22.79</v>
      </c>
      <c r="L332">
        <v>69.833299999999994</v>
      </c>
      <c r="M332">
        <v>13.999917999999999</v>
      </c>
      <c r="N332">
        <v>810</v>
      </c>
      <c r="O332">
        <v>2261</v>
      </c>
      <c r="P332">
        <v>3071</v>
      </c>
    </row>
    <row r="333" spans="1:16" x14ac:dyDescent="0.3">
      <c r="A333">
        <v>332</v>
      </c>
      <c r="B333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20.642598</v>
      </c>
      <c r="K333">
        <v>24.5061</v>
      </c>
      <c r="L333">
        <v>74.304299999999998</v>
      </c>
      <c r="M333">
        <v>9.5221739999999997</v>
      </c>
      <c r="N333">
        <v>253</v>
      </c>
      <c r="O333">
        <v>3614</v>
      </c>
      <c r="P333">
        <v>3867</v>
      </c>
    </row>
    <row r="334" spans="1:16" x14ac:dyDescent="0.3">
      <c r="A334">
        <v>333</v>
      </c>
      <c r="B334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18.791653</v>
      </c>
      <c r="K334">
        <v>22.568750000000001</v>
      </c>
      <c r="L334">
        <v>83.083299999999994</v>
      </c>
      <c r="M334">
        <v>17.292164</v>
      </c>
      <c r="N334">
        <v>96</v>
      </c>
      <c r="O334">
        <v>2818</v>
      </c>
      <c r="P334">
        <v>2914</v>
      </c>
    </row>
    <row r="335" spans="1:16" x14ac:dyDescent="0.3">
      <c r="A335">
        <v>334</v>
      </c>
      <c r="B335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13.324999999999999</v>
      </c>
      <c r="K335">
        <v>15.56105</v>
      </c>
      <c r="L335">
        <v>61.333300000000001</v>
      </c>
      <c r="M335">
        <v>18.167586</v>
      </c>
      <c r="N335">
        <v>188</v>
      </c>
      <c r="O335">
        <v>3425</v>
      </c>
      <c r="P335">
        <v>3613</v>
      </c>
    </row>
    <row r="336" spans="1:16" x14ac:dyDescent="0.3">
      <c r="A336">
        <v>335</v>
      </c>
      <c r="B336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12.8125</v>
      </c>
      <c r="K336">
        <v>15.277699999999999</v>
      </c>
      <c r="L336">
        <v>52.458300000000001</v>
      </c>
      <c r="M336">
        <v>14.750586</v>
      </c>
      <c r="N336">
        <v>182</v>
      </c>
      <c r="O336">
        <v>3545</v>
      </c>
      <c r="P336">
        <v>3727</v>
      </c>
    </row>
    <row r="337" spans="1:16" x14ac:dyDescent="0.3">
      <c r="A337">
        <v>336</v>
      </c>
      <c r="B337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12.880846999999999</v>
      </c>
      <c r="K337">
        <v>16.571650000000002</v>
      </c>
      <c r="L337">
        <v>62.583300000000001</v>
      </c>
      <c r="M337">
        <v>6.7505179999999996</v>
      </c>
      <c r="N337">
        <v>268</v>
      </c>
      <c r="O337">
        <v>3672</v>
      </c>
      <c r="P337">
        <v>3940</v>
      </c>
    </row>
    <row r="338" spans="1:16" x14ac:dyDescent="0.3">
      <c r="A338">
        <v>337</v>
      </c>
      <c r="B338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12.265847000000001</v>
      </c>
      <c r="K338">
        <v>15.530200000000001</v>
      </c>
      <c r="L338">
        <v>61.291699999999999</v>
      </c>
      <c r="M338">
        <v>6.4174810999999998</v>
      </c>
      <c r="N338">
        <v>706</v>
      </c>
      <c r="O338">
        <v>2908</v>
      </c>
      <c r="P338">
        <v>3614</v>
      </c>
    </row>
    <row r="339" spans="1:16" x14ac:dyDescent="0.3">
      <c r="A339">
        <v>338</v>
      </c>
      <c r="B339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13.564152999999999</v>
      </c>
      <c r="K339">
        <v>17.454999999999998</v>
      </c>
      <c r="L339">
        <v>77.583299999999994</v>
      </c>
      <c r="M339">
        <v>5.6252060999999998</v>
      </c>
      <c r="N339">
        <v>634</v>
      </c>
      <c r="O339">
        <v>2851</v>
      </c>
      <c r="P339">
        <v>3485</v>
      </c>
    </row>
    <row r="340" spans="1:16" x14ac:dyDescent="0.3">
      <c r="A340">
        <v>339</v>
      </c>
      <c r="B340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15.819153</v>
      </c>
      <c r="K340">
        <v>19.696249999999999</v>
      </c>
      <c r="L340">
        <v>82.708299999999994</v>
      </c>
      <c r="M340">
        <v>4.1679560999999996</v>
      </c>
      <c r="N340">
        <v>233</v>
      </c>
      <c r="O340">
        <v>3578</v>
      </c>
      <c r="P340">
        <v>3811</v>
      </c>
    </row>
    <row r="341" spans="1:16" x14ac:dyDescent="0.3">
      <c r="A341">
        <v>340</v>
      </c>
      <c r="B34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18.962499999999999</v>
      </c>
      <c r="K341">
        <v>22.82</v>
      </c>
      <c r="L341">
        <v>94.958299999999994</v>
      </c>
      <c r="M341">
        <v>15.583061000000001</v>
      </c>
      <c r="N341">
        <v>126</v>
      </c>
      <c r="O341">
        <v>2468</v>
      </c>
      <c r="P341">
        <v>2594</v>
      </c>
    </row>
    <row r="342" spans="1:16" x14ac:dyDescent="0.3">
      <c r="A342">
        <v>341</v>
      </c>
      <c r="B342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16.809999999999999</v>
      </c>
      <c r="K342">
        <v>20.0123</v>
      </c>
      <c r="L342">
        <v>97.041700000000006</v>
      </c>
      <c r="M342">
        <v>17.833725000000001</v>
      </c>
      <c r="N342">
        <v>50</v>
      </c>
      <c r="O342">
        <v>655</v>
      </c>
      <c r="P342">
        <v>705</v>
      </c>
    </row>
    <row r="343" spans="1:16" x14ac:dyDescent="0.3">
      <c r="A343">
        <v>342</v>
      </c>
      <c r="B343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10.899153</v>
      </c>
      <c r="K343">
        <v>12.8469</v>
      </c>
      <c r="L343">
        <v>58</v>
      </c>
      <c r="M343">
        <v>16.083886</v>
      </c>
      <c r="N343">
        <v>150</v>
      </c>
      <c r="O343">
        <v>3172</v>
      </c>
      <c r="P343">
        <v>3322</v>
      </c>
    </row>
    <row r="344" spans="1:16" x14ac:dyDescent="0.3">
      <c r="A344">
        <v>343</v>
      </c>
      <c r="B344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11.924153</v>
      </c>
      <c r="K344">
        <v>15.8771</v>
      </c>
      <c r="L344">
        <v>69.583299999999994</v>
      </c>
      <c r="M344">
        <v>5.5420189000000004</v>
      </c>
      <c r="N344">
        <v>261</v>
      </c>
      <c r="O344">
        <v>3359</v>
      </c>
      <c r="P344">
        <v>3620</v>
      </c>
    </row>
    <row r="345" spans="1:16" x14ac:dyDescent="0.3">
      <c r="A345">
        <v>344</v>
      </c>
      <c r="B345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11.275</v>
      </c>
      <c r="K345">
        <v>13.320600000000001</v>
      </c>
      <c r="L345">
        <v>50.75</v>
      </c>
      <c r="M345">
        <v>15.625807</v>
      </c>
      <c r="N345">
        <v>502</v>
      </c>
      <c r="O345">
        <v>2688</v>
      </c>
      <c r="P345">
        <v>3190</v>
      </c>
    </row>
    <row r="346" spans="1:16" x14ac:dyDescent="0.3">
      <c r="A346">
        <v>345</v>
      </c>
      <c r="B346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9.0541529999999995</v>
      </c>
      <c r="K346">
        <v>12.6577</v>
      </c>
      <c r="L346">
        <v>49</v>
      </c>
      <c r="M346">
        <v>4.4582939000000001</v>
      </c>
      <c r="N346">
        <v>377</v>
      </c>
      <c r="O346">
        <v>2366</v>
      </c>
      <c r="P346">
        <v>2743</v>
      </c>
    </row>
    <row r="347" spans="1:16" x14ac:dyDescent="0.3">
      <c r="A347">
        <v>346</v>
      </c>
      <c r="B347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9.7716530000000006</v>
      </c>
      <c r="K347">
        <v>13.5098</v>
      </c>
      <c r="L347">
        <v>67.083299999999994</v>
      </c>
      <c r="M347">
        <v>4.25115</v>
      </c>
      <c r="N347">
        <v>143</v>
      </c>
      <c r="O347">
        <v>3167</v>
      </c>
      <c r="P347">
        <v>3310</v>
      </c>
    </row>
    <row r="348" spans="1:16" x14ac:dyDescent="0.3">
      <c r="A348">
        <v>347</v>
      </c>
      <c r="B348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11.5825</v>
      </c>
      <c r="K348">
        <v>15.056900000000001</v>
      </c>
      <c r="L348">
        <v>59</v>
      </c>
      <c r="M348">
        <v>9.4168500000000002</v>
      </c>
      <c r="N348">
        <v>155</v>
      </c>
      <c r="O348">
        <v>3368</v>
      </c>
      <c r="P348">
        <v>3523</v>
      </c>
    </row>
    <row r="349" spans="1:16" x14ac:dyDescent="0.3">
      <c r="A349">
        <v>348</v>
      </c>
      <c r="B349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13.0175</v>
      </c>
      <c r="K349">
        <v>16.918099999999999</v>
      </c>
      <c r="L349">
        <v>66.375</v>
      </c>
      <c r="M349">
        <v>4.0842061000000003</v>
      </c>
      <c r="N349">
        <v>178</v>
      </c>
      <c r="O349">
        <v>3562</v>
      </c>
      <c r="P349">
        <v>3740</v>
      </c>
    </row>
    <row r="350" spans="1:16" x14ac:dyDescent="0.3">
      <c r="A350">
        <v>349</v>
      </c>
      <c r="B350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17.322500000000002</v>
      </c>
      <c r="K350">
        <v>20.61185</v>
      </c>
      <c r="L350">
        <v>63.416699999999999</v>
      </c>
      <c r="M350">
        <v>17.958814</v>
      </c>
      <c r="N350">
        <v>181</v>
      </c>
      <c r="O350">
        <v>3528</v>
      </c>
      <c r="P350">
        <v>3709</v>
      </c>
    </row>
    <row r="351" spans="1:16" x14ac:dyDescent="0.3">
      <c r="A351">
        <v>350</v>
      </c>
      <c r="B35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15.375</v>
      </c>
      <c r="K351">
        <v>17.991250000000001</v>
      </c>
      <c r="L351">
        <v>50.041699999999999</v>
      </c>
      <c r="M351">
        <v>17.458525000000002</v>
      </c>
      <c r="N351">
        <v>178</v>
      </c>
      <c r="O351">
        <v>3399</v>
      </c>
      <c r="P351">
        <v>3577</v>
      </c>
    </row>
    <row r="352" spans="1:16" x14ac:dyDescent="0.3">
      <c r="A352">
        <v>351</v>
      </c>
      <c r="B352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10.591653000000001</v>
      </c>
      <c r="K352">
        <v>12.46855</v>
      </c>
      <c r="L352">
        <v>56.083300000000001</v>
      </c>
      <c r="M352">
        <v>16.292189</v>
      </c>
      <c r="N352">
        <v>275</v>
      </c>
      <c r="O352">
        <v>2464</v>
      </c>
      <c r="P352">
        <v>2739</v>
      </c>
    </row>
    <row r="353" spans="1:16" x14ac:dyDescent="0.3">
      <c r="A353">
        <v>352</v>
      </c>
      <c r="B353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9.7716530000000006</v>
      </c>
      <c r="K353">
        <v>12.27895</v>
      </c>
      <c r="L353">
        <v>58.625</v>
      </c>
      <c r="M353">
        <v>11.375192999999999</v>
      </c>
      <c r="N353">
        <v>220</v>
      </c>
      <c r="O353">
        <v>2211</v>
      </c>
      <c r="P353">
        <v>2431</v>
      </c>
    </row>
    <row r="354" spans="1:16" x14ac:dyDescent="0.3">
      <c r="A354">
        <v>353</v>
      </c>
      <c r="B354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11.343347</v>
      </c>
      <c r="K354">
        <v>14.04665</v>
      </c>
      <c r="L354">
        <v>63.75</v>
      </c>
      <c r="M354">
        <v>11.584032000000001</v>
      </c>
      <c r="N354">
        <v>260</v>
      </c>
      <c r="O354">
        <v>3143</v>
      </c>
      <c r="P354">
        <v>3403</v>
      </c>
    </row>
    <row r="355" spans="1:16" x14ac:dyDescent="0.3">
      <c r="A355">
        <v>354</v>
      </c>
      <c r="B355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15.819153</v>
      </c>
      <c r="K355">
        <v>19.822700000000001</v>
      </c>
      <c r="L355">
        <v>59.541699999999999</v>
      </c>
      <c r="M355">
        <v>4.1252436000000001</v>
      </c>
      <c r="N355">
        <v>216</v>
      </c>
      <c r="O355">
        <v>3534</v>
      </c>
      <c r="P355">
        <v>3750</v>
      </c>
    </row>
    <row r="356" spans="1:16" x14ac:dyDescent="0.3">
      <c r="A356">
        <v>355</v>
      </c>
      <c r="B356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17.561653</v>
      </c>
      <c r="K356">
        <v>21.400849999999998</v>
      </c>
      <c r="L356">
        <v>85.833299999999994</v>
      </c>
      <c r="M356">
        <v>14.8338</v>
      </c>
      <c r="N356">
        <v>107</v>
      </c>
      <c r="O356">
        <v>2553</v>
      </c>
      <c r="P356">
        <v>2660</v>
      </c>
    </row>
    <row r="357" spans="1:16" x14ac:dyDescent="0.3">
      <c r="A357">
        <v>356</v>
      </c>
      <c r="B357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17.356653000000001</v>
      </c>
      <c r="K357">
        <v>21.306049999999999</v>
      </c>
      <c r="L357">
        <v>75.75</v>
      </c>
      <c r="M357">
        <v>3.1674250000000002</v>
      </c>
      <c r="N357">
        <v>227</v>
      </c>
      <c r="O357">
        <v>2841</v>
      </c>
      <c r="P357">
        <v>3068</v>
      </c>
    </row>
    <row r="358" spans="1:16" x14ac:dyDescent="0.3">
      <c r="A358">
        <v>357</v>
      </c>
      <c r="B358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15.306653000000001</v>
      </c>
      <c r="K358">
        <v>18.87565</v>
      </c>
      <c r="L358">
        <v>68.625</v>
      </c>
      <c r="M358">
        <v>18.374482</v>
      </c>
      <c r="N358">
        <v>163</v>
      </c>
      <c r="O358">
        <v>2046</v>
      </c>
      <c r="P358">
        <v>2209</v>
      </c>
    </row>
    <row r="359" spans="1:16" x14ac:dyDescent="0.3">
      <c r="A359">
        <v>358</v>
      </c>
      <c r="B359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12.4025</v>
      </c>
      <c r="K359">
        <v>14.9621</v>
      </c>
      <c r="L359">
        <v>54.25</v>
      </c>
      <c r="M359">
        <v>12.750368</v>
      </c>
      <c r="N359">
        <v>155</v>
      </c>
      <c r="O359">
        <v>856</v>
      </c>
      <c r="P359">
        <v>1011</v>
      </c>
    </row>
    <row r="360" spans="1:16" x14ac:dyDescent="0.3">
      <c r="A360">
        <v>359</v>
      </c>
      <c r="B360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11.266102999999999</v>
      </c>
      <c r="K360">
        <v>13.998049999999999</v>
      </c>
      <c r="L360">
        <v>68.130399999999995</v>
      </c>
      <c r="M360">
        <v>10.391097</v>
      </c>
      <c r="N360">
        <v>303</v>
      </c>
      <c r="O360">
        <v>451</v>
      </c>
      <c r="P360">
        <v>754</v>
      </c>
    </row>
    <row r="361" spans="1:16" x14ac:dyDescent="0.3">
      <c r="A361">
        <v>360</v>
      </c>
      <c r="B36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13.191299000000001</v>
      </c>
      <c r="K361">
        <v>15.77675</v>
      </c>
      <c r="L361">
        <v>50.695700000000002</v>
      </c>
      <c r="M361">
        <v>16.044155</v>
      </c>
      <c r="N361">
        <v>430</v>
      </c>
      <c r="O361">
        <v>887</v>
      </c>
      <c r="P361">
        <v>1317</v>
      </c>
    </row>
    <row r="362" spans="1:16" x14ac:dyDescent="0.3">
      <c r="A362">
        <v>361</v>
      </c>
      <c r="B362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13.324999999999999</v>
      </c>
      <c r="K362">
        <v>16.38165</v>
      </c>
      <c r="L362">
        <v>76.25</v>
      </c>
      <c r="M362">
        <v>12.626150000000001</v>
      </c>
      <c r="N362">
        <v>103</v>
      </c>
      <c r="O362">
        <v>1059</v>
      </c>
      <c r="P362">
        <v>1162</v>
      </c>
    </row>
    <row r="363" spans="1:16" x14ac:dyDescent="0.3">
      <c r="A363">
        <v>362</v>
      </c>
      <c r="B363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12.264329999999999</v>
      </c>
      <c r="K363">
        <v>13.998699999999999</v>
      </c>
      <c r="L363">
        <v>50.391300000000001</v>
      </c>
      <c r="M363">
        <v>19.695387</v>
      </c>
      <c r="N363">
        <v>255</v>
      </c>
      <c r="O363">
        <v>2047</v>
      </c>
      <c r="P363">
        <v>2302</v>
      </c>
    </row>
    <row r="364" spans="1:16" x14ac:dyDescent="0.3">
      <c r="A364">
        <v>363</v>
      </c>
      <c r="B364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10.181653000000001</v>
      </c>
      <c r="K364">
        <v>13.194599999999999</v>
      </c>
      <c r="L364">
        <v>57.416699999999999</v>
      </c>
      <c r="M364">
        <v>8.0006039999999992</v>
      </c>
      <c r="N364">
        <v>254</v>
      </c>
      <c r="O364">
        <v>2169</v>
      </c>
      <c r="P364">
        <v>2423</v>
      </c>
    </row>
    <row r="365" spans="1:16" x14ac:dyDescent="0.3">
      <c r="A365">
        <v>364</v>
      </c>
      <c r="B365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12.778347</v>
      </c>
      <c r="K365">
        <v>15.9406</v>
      </c>
      <c r="L365">
        <v>63.666699999999999</v>
      </c>
      <c r="M365">
        <v>9.0005790000000001</v>
      </c>
      <c r="N365">
        <v>491</v>
      </c>
      <c r="O365">
        <v>2508</v>
      </c>
      <c r="P365">
        <v>2999</v>
      </c>
    </row>
    <row r="366" spans="1:16" x14ac:dyDescent="0.3">
      <c r="A366">
        <v>365</v>
      </c>
      <c r="B366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16.809999999999999</v>
      </c>
      <c r="K366">
        <v>20.706050000000001</v>
      </c>
      <c r="L366">
        <v>61.583300000000001</v>
      </c>
      <c r="M366">
        <v>14.750318</v>
      </c>
      <c r="N366">
        <v>665</v>
      </c>
      <c r="O366">
        <v>1820</v>
      </c>
      <c r="P366">
        <v>2485</v>
      </c>
    </row>
    <row r="367" spans="1:16" x14ac:dyDescent="0.3">
      <c r="A367">
        <v>366</v>
      </c>
      <c r="B367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15.17</v>
      </c>
      <c r="K367">
        <v>18.78105</v>
      </c>
      <c r="L367">
        <v>69.25</v>
      </c>
      <c r="M367">
        <v>12.875189000000001</v>
      </c>
      <c r="N367">
        <v>686</v>
      </c>
      <c r="O367">
        <v>1608</v>
      </c>
      <c r="P367">
        <v>2294</v>
      </c>
    </row>
    <row r="368" spans="1:16" x14ac:dyDescent="0.3">
      <c r="A368">
        <v>367</v>
      </c>
      <c r="B368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11.194763</v>
      </c>
      <c r="K368">
        <v>12.6152</v>
      </c>
      <c r="L368">
        <v>38.130400000000002</v>
      </c>
      <c r="M368">
        <v>22.087554999999998</v>
      </c>
      <c r="N368">
        <v>244</v>
      </c>
      <c r="O368">
        <v>1707</v>
      </c>
      <c r="P368">
        <v>1951</v>
      </c>
    </row>
    <row r="369" spans="1:16" x14ac:dyDescent="0.3">
      <c r="A369">
        <v>368</v>
      </c>
      <c r="B369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6.15</v>
      </c>
      <c r="K369">
        <v>6.3137499999999998</v>
      </c>
      <c r="L369">
        <v>44.125</v>
      </c>
      <c r="M369">
        <v>24.499956999999998</v>
      </c>
      <c r="N369">
        <v>89</v>
      </c>
      <c r="O369">
        <v>2147</v>
      </c>
      <c r="P369">
        <v>2236</v>
      </c>
    </row>
    <row r="370" spans="1:16" x14ac:dyDescent="0.3">
      <c r="A370">
        <v>369</v>
      </c>
      <c r="B370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4.4074999999999998</v>
      </c>
      <c r="K370">
        <v>5.96685</v>
      </c>
      <c r="L370">
        <v>41.458300000000001</v>
      </c>
      <c r="M370">
        <v>12.3749</v>
      </c>
      <c r="N370">
        <v>95</v>
      </c>
      <c r="O370">
        <v>2273</v>
      </c>
      <c r="P370">
        <v>2368</v>
      </c>
    </row>
    <row r="371" spans="1:16" x14ac:dyDescent="0.3">
      <c r="A371">
        <v>370</v>
      </c>
      <c r="B37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10.899153</v>
      </c>
      <c r="K371">
        <v>13.9206</v>
      </c>
      <c r="L371">
        <v>52.416699999999999</v>
      </c>
      <c r="M371">
        <v>8.7091290000000008</v>
      </c>
      <c r="N371">
        <v>140</v>
      </c>
      <c r="O371">
        <v>3132</v>
      </c>
      <c r="P371">
        <v>3272</v>
      </c>
    </row>
    <row r="372" spans="1:16" x14ac:dyDescent="0.3">
      <c r="A372">
        <v>371</v>
      </c>
      <c r="B372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13.700847</v>
      </c>
      <c r="K372">
        <v>17.013349999999999</v>
      </c>
      <c r="L372">
        <v>54.208300000000001</v>
      </c>
      <c r="M372">
        <v>11.249836</v>
      </c>
      <c r="N372">
        <v>307</v>
      </c>
      <c r="O372">
        <v>3791</v>
      </c>
      <c r="P372">
        <v>4098</v>
      </c>
    </row>
    <row r="373" spans="1:16" x14ac:dyDescent="0.3">
      <c r="A373">
        <v>372</v>
      </c>
      <c r="B373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16.126653000000001</v>
      </c>
      <c r="K373">
        <v>19.53895</v>
      </c>
      <c r="L373">
        <v>53.166699999999999</v>
      </c>
      <c r="M373">
        <v>11.708786</v>
      </c>
      <c r="N373">
        <v>1070</v>
      </c>
      <c r="O373">
        <v>3451</v>
      </c>
      <c r="P373">
        <v>4521</v>
      </c>
    </row>
    <row r="374" spans="1:16" x14ac:dyDescent="0.3">
      <c r="A374">
        <v>373</v>
      </c>
      <c r="B374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13.8375</v>
      </c>
      <c r="K374">
        <v>17.012899999999998</v>
      </c>
      <c r="L374">
        <v>46.5</v>
      </c>
      <c r="M374">
        <v>12.833314</v>
      </c>
      <c r="N374">
        <v>599</v>
      </c>
      <c r="O374">
        <v>2826</v>
      </c>
      <c r="P374">
        <v>3425</v>
      </c>
    </row>
    <row r="375" spans="1:16" x14ac:dyDescent="0.3">
      <c r="A375">
        <v>374</v>
      </c>
      <c r="B375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9.1908469999999998</v>
      </c>
      <c r="K375">
        <v>12.373950000000001</v>
      </c>
      <c r="L375">
        <v>70.166700000000006</v>
      </c>
      <c r="M375">
        <v>6.6262999999999996</v>
      </c>
      <c r="N375">
        <v>106</v>
      </c>
      <c r="O375">
        <v>2270</v>
      </c>
      <c r="P375">
        <v>2376</v>
      </c>
    </row>
    <row r="376" spans="1:16" x14ac:dyDescent="0.3">
      <c r="A376">
        <v>375</v>
      </c>
      <c r="B376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12.656535999999999</v>
      </c>
      <c r="K376">
        <v>15.9413</v>
      </c>
      <c r="L376">
        <v>64.652199999999993</v>
      </c>
      <c r="M376">
        <v>12.565984</v>
      </c>
      <c r="N376">
        <v>173</v>
      </c>
      <c r="O376">
        <v>3425</v>
      </c>
      <c r="P376">
        <v>3598</v>
      </c>
    </row>
    <row r="377" spans="1:16" x14ac:dyDescent="0.3">
      <c r="A377">
        <v>376</v>
      </c>
      <c r="B377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11.240847</v>
      </c>
      <c r="K377">
        <v>14.14105</v>
      </c>
      <c r="L377">
        <v>84.75</v>
      </c>
      <c r="M377">
        <v>8.7918070000000004</v>
      </c>
      <c r="N377">
        <v>92</v>
      </c>
      <c r="O377">
        <v>2085</v>
      </c>
      <c r="P377">
        <v>2177</v>
      </c>
    </row>
    <row r="378" spans="1:16" x14ac:dyDescent="0.3">
      <c r="A378">
        <v>377</v>
      </c>
      <c r="B378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15.682499999999999</v>
      </c>
      <c r="K378">
        <v>19.096900000000002</v>
      </c>
      <c r="L378">
        <v>80.291700000000006</v>
      </c>
      <c r="M378">
        <v>12.124789</v>
      </c>
      <c r="N378">
        <v>269</v>
      </c>
      <c r="O378">
        <v>3828</v>
      </c>
      <c r="P378">
        <v>4097</v>
      </c>
    </row>
    <row r="379" spans="1:16" x14ac:dyDescent="0.3">
      <c r="A379">
        <v>378</v>
      </c>
      <c r="B379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11.240847</v>
      </c>
      <c r="K379">
        <v>12.4681</v>
      </c>
      <c r="L379">
        <v>50.75</v>
      </c>
      <c r="M379">
        <v>25.333235999999999</v>
      </c>
      <c r="N379">
        <v>174</v>
      </c>
      <c r="O379">
        <v>3040</v>
      </c>
      <c r="P379">
        <v>3214</v>
      </c>
    </row>
    <row r="380" spans="1:16" x14ac:dyDescent="0.3">
      <c r="A380">
        <v>379</v>
      </c>
      <c r="B380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7.38</v>
      </c>
      <c r="K380">
        <v>9.1543500000000009</v>
      </c>
      <c r="L380">
        <v>45.75</v>
      </c>
      <c r="M380">
        <v>12.541261</v>
      </c>
      <c r="N380">
        <v>333</v>
      </c>
      <c r="O380">
        <v>2160</v>
      </c>
      <c r="P380">
        <v>2493</v>
      </c>
    </row>
    <row r="381" spans="1:16" x14ac:dyDescent="0.3">
      <c r="A381">
        <v>380</v>
      </c>
      <c r="B38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6.8333469999999998</v>
      </c>
      <c r="K381">
        <v>8.0812500000000007</v>
      </c>
      <c r="L381">
        <v>41.916699999999999</v>
      </c>
      <c r="M381">
        <v>16.834285999999999</v>
      </c>
      <c r="N381">
        <v>284</v>
      </c>
      <c r="O381">
        <v>2027</v>
      </c>
      <c r="P381">
        <v>2311</v>
      </c>
    </row>
    <row r="382" spans="1:16" x14ac:dyDescent="0.3">
      <c r="A382">
        <v>381</v>
      </c>
      <c r="B382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7.79</v>
      </c>
      <c r="K382">
        <v>9.5331499999999991</v>
      </c>
      <c r="L382">
        <v>52.25</v>
      </c>
      <c r="M382">
        <v>15.500985999999999</v>
      </c>
      <c r="N382">
        <v>217</v>
      </c>
      <c r="O382">
        <v>2081</v>
      </c>
      <c r="P382">
        <v>2298</v>
      </c>
    </row>
    <row r="383" spans="1:16" x14ac:dyDescent="0.3">
      <c r="A383">
        <v>382</v>
      </c>
      <c r="B383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15.294763</v>
      </c>
      <c r="K383">
        <v>18.213899999999999</v>
      </c>
      <c r="L383">
        <v>71.608699999999999</v>
      </c>
      <c r="M383">
        <v>23.39171</v>
      </c>
      <c r="N383">
        <v>127</v>
      </c>
      <c r="O383">
        <v>2808</v>
      </c>
      <c r="P383">
        <v>2935</v>
      </c>
    </row>
    <row r="384" spans="1:16" x14ac:dyDescent="0.3">
      <c r="A384">
        <v>383</v>
      </c>
      <c r="B384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12.436653</v>
      </c>
      <c r="K384">
        <v>13.762700000000001</v>
      </c>
      <c r="L384">
        <v>44.333300000000001</v>
      </c>
      <c r="M384">
        <v>27.833742999999998</v>
      </c>
      <c r="N384">
        <v>109</v>
      </c>
      <c r="O384">
        <v>3267</v>
      </c>
      <c r="P384">
        <v>3376</v>
      </c>
    </row>
    <row r="385" spans="1:16" x14ac:dyDescent="0.3">
      <c r="A385">
        <v>384</v>
      </c>
      <c r="B385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7.79</v>
      </c>
      <c r="K385">
        <v>9.5018999999999991</v>
      </c>
      <c r="L385">
        <v>49.75</v>
      </c>
      <c r="M385">
        <v>14.750586</v>
      </c>
      <c r="N385">
        <v>130</v>
      </c>
      <c r="O385">
        <v>3162</v>
      </c>
      <c r="P385">
        <v>3292</v>
      </c>
    </row>
    <row r="386" spans="1:16" x14ac:dyDescent="0.3">
      <c r="A386">
        <v>385</v>
      </c>
      <c r="B386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8.9175000000000004</v>
      </c>
      <c r="K386">
        <v>11.0479</v>
      </c>
      <c r="L386">
        <v>45</v>
      </c>
      <c r="M386">
        <v>13.584250000000001</v>
      </c>
      <c r="N386">
        <v>115</v>
      </c>
      <c r="O386">
        <v>3048</v>
      </c>
      <c r="P386">
        <v>3163</v>
      </c>
    </row>
    <row r="387" spans="1:16" x14ac:dyDescent="0.3">
      <c r="A387">
        <v>386</v>
      </c>
      <c r="B387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7.1066529999999997</v>
      </c>
      <c r="K387">
        <v>8.7437500000000004</v>
      </c>
      <c r="L387">
        <v>83.125</v>
      </c>
      <c r="M387">
        <v>14.917014</v>
      </c>
      <c r="N387">
        <v>67</v>
      </c>
      <c r="O387">
        <v>1234</v>
      </c>
      <c r="P387">
        <v>1301</v>
      </c>
    </row>
    <row r="388" spans="1:16" x14ac:dyDescent="0.3">
      <c r="A388">
        <v>387</v>
      </c>
      <c r="B388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6.6624999999999996</v>
      </c>
      <c r="K388">
        <v>8.1125000000000007</v>
      </c>
      <c r="L388">
        <v>79.625</v>
      </c>
      <c r="M388">
        <v>13.375745999999999</v>
      </c>
      <c r="N388">
        <v>196</v>
      </c>
      <c r="O388">
        <v>1781</v>
      </c>
      <c r="P388">
        <v>1977</v>
      </c>
    </row>
    <row r="389" spans="1:16" x14ac:dyDescent="0.3">
      <c r="A389">
        <v>388</v>
      </c>
      <c r="B389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8.9516530000000003</v>
      </c>
      <c r="K389">
        <v>12.152900000000001</v>
      </c>
      <c r="L389">
        <v>91.125</v>
      </c>
      <c r="M389">
        <v>7.4174360000000004</v>
      </c>
      <c r="N389">
        <v>145</v>
      </c>
      <c r="O389">
        <v>2287</v>
      </c>
      <c r="P389">
        <v>2432</v>
      </c>
    </row>
    <row r="390" spans="1:16" x14ac:dyDescent="0.3">
      <c r="A390">
        <v>389</v>
      </c>
      <c r="B390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14.0425</v>
      </c>
      <c r="K390">
        <v>17.455400000000001</v>
      </c>
      <c r="L390">
        <v>83.583299999999994</v>
      </c>
      <c r="M390">
        <v>8.292389</v>
      </c>
      <c r="N390">
        <v>439</v>
      </c>
      <c r="O390">
        <v>3900</v>
      </c>
      <c r="P390">
        <v>4339</v>
      </c>
    </row>
    <row r="391" spans="1:16" x14ac:dyDescent="0.3">
      <c r="A391">
        <v>390</v>
      </c>
      <c r="B39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12.060847000000001</v>
      </c>
      <c r="K391">
        <v>14.74105</v>
      </c>
      <c r="L391">
        <v>64.375</v>
      </c>
      <c r="M391">
        <v>10.791757</v>
      </c>
      <c r="N391">
        <v>467</v>
      </c>
      <c r="O391">
        <v>3803</v>
      </c>
      <c r="P391">
        <v>4270</v>
      </c>
    </row>
    <row r="392" spans="1:16" x14ac:dyDescent="0.3">
      <c r="A392">
        <v>391</v>
      </c>
      <c r="B392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14.008347000000001</v>
      </c>
      <c r="K392">
        <v>17.802499999999998</v>
      </c>
      <c r="L392">
        <v>76.958299999999994</v>
      </c>
      <c r="M392">
        <v>4.9175186000000002</v>
      </c>
      <c r="N392">
        <v>244</v>
      </c>
      <c r="O392">
        <v>3831</v>
      </c>
      <c r="P392">
        <v>4075</v>
      </c>
    </row>
    <row r="393" spans="1:16" x14ac:dyDescent="0.3">
      <c r="A393">
        <v>392</v>
      </c>
      <c r="B393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17.425000000000001</v>
      </c>
      <c r="K393">
        <v>20.76915</v>
      </c>
      <c r="L393">
        <v>74.125</v>
      </c>
      <c r="M393">
        <v>22.958689</v>
      </c>
      <c r="N393">
        <v>269</v>
      </c>
      <c r="O393">
        <v>3187</v>
      </c>
      <c r="P393">
        <v>3456</v>
      </c>
    </row>
    <row r="394" spans="1:16" x14ac:dyDescent="0.3">
      <c r="A394">
        <v>393</v>
      </c>
      <c r="B394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12.949153000000001</v>
      </c>
      <c r="K394">
        <v>16.318950000000001</v>
      </c>
      <c r="L394">
        <v>54.333300000000001</v>
      </c>
      <c r="M394">
        <v>14.125543</v>
      </c>
      <c r="N394">
        <v>775</v>
      </c>
      <c r="O394">
        <v>3248</v>
      </c>
      <c r="P394">
        <v>4023</v>
      </c>
    </row>
    <row r="395" spans="1:16" x14ac:dyDescent="0.3">
      <c r="A395">
        <v>394</v>
      </c>
      <c r="B395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11.5825</v>
      </c>
      <c r="K395">
        <v>13.636049999999999</v>
      </c>
      <c r="L395">
        <v>31.125</v>
      </c>
      <c r="M395">
        <v>16.083349999999999</v>
      </c>
      <c r="N395">
        <v>558</v>
      </c>
      <c r="O395">
        <v>2685</v>
      </c>
      <c r="P395">
        <v>3243</v>
      </c>
    </row>
    <row r="396" spans="1:16" x14ac:dyDescent="0.3">
      <c r="A396">
        <v>395</v>
      </c>
      <c r="B396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11.035847</v>
      </c>
      <c r="K396">
        <v>13.13125</v>
      </c>
      <c r="L396">
        <v>40.083300000000001</v>
      </c>
      <c r="M396">
        <v>14.458064</v>
      </c>
      <c r="N396">
        <v>126</v>
      </c>
      <c r="O396">
        <v>3498</v>
      </c>
      <c r="P396">
        <v>3624</v>
      </c>
    </row>
    <row r="397" spans="1:16" x14ac:dyDescent="0.3">
      <c r="A397">
        <v>396</v>
      </c>
      <c r="B397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15.99</v>
      </c>
      <c r="K397">
        <v>19.065850000000001</v>
      </c>
      <c r="L397">
        <v>41.666699999999999</v>
      </c>
      <c r="M397">
        <v>17.541739</v>
      </c>
      <c r="N397">
        <v>324</v>
      </c>
      <c r="O397">
        <v>4185</v>
      </c>
      <c r="P397">
        <v>4509</v>
      </c>
    </row>
    <row r="398" spans="1:16" x14ac:dyDescent="0.3">
      <c r="A398">
        <v>397</v>
      </c>
      <c r="B398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19.235847</v>
      </c>
      <c r="K398">
        <v>23.326899999999998</v>
      </c>
      <c r="L398">
        <v>50.791699999999999</v>
      </c>
      <c r="M398">
        <v>12.667489</v>
      </c>
      <c r="N398">
        <v>304</v>
      </c>
      <c r="O398">
        <v>4275</v>
      </c>
      <c r="P398">
        <v>4579</v>
      </c>
    </row>
    <row r="399" spans="1:16" x14ac:dyDescent="0.3">
      <c r="A399">
        <v>398</v>
      </c>
      <c r="B399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16.365846999999999</v>
      </c>
      <c r="K399">
        <v>19.948550000000001</v>
      </c>
      <c r="L399">
        <v>67.291700000000006</v>
      </c>
      <c r="M399">
        <v>12.541529000000001</v>
      </c>
      <c r="N399">
        <v>190</v>
      </c>
      <c r="O399">
        <v>3571</v>
      </c>
      <c r="P399">
        <v>3761</v>
      </c>
    </row>
    <row r="400" spans="1:16" x14ac:dyDescent="0.3">
      <c r="A400">
        <v>399</v>
      </c>
      <c r="B400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12.846653</v>
      </c>
      <c r="K400">
        <v>15.4673</v>
      </c>
      <c r="L400">
        <v>52.666699999999999</v>
      </c>
      <c r="M400">
        <v>11.959232</v>
      </c>
      <c r="N400">
        <v>310</v>
      </c>
      <c r="O400">
        <v>3841</v>
      </c>
      <c r="P400">
        <v>4151</v>
      </c>
    </row>
    <row r="401" spans="1:16" x14ac:dyDescent="0.3">
      <c r="A401">
        <v>400</v>
      </c>
      <c r="B40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10.830847</v>
      </c>
      <c r="K401">
        <v>13.63625</v>
      </c>
      <c r="L401">
        <v>77.958299999999994</v>
      </c>
      <c r="M401">
        <v>8.1670320000000007</v>
      </c>
      <c r="N401">
        <v>384</v>
      </c>
      <c r="O401">
        <v>2448</v>
      </c>
      <c r="P401">
        <v>2832</v>
      </c>
    </row>
    <row r="402" spans="1:16" x14ac:dyDescent="0.3">
      <c r="A402">
        <v>401</v>
      </c>
      <c r="B402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10.899153</v>
      </c>
      <c r="K402">
        <v>13.226050000000001</v>
      </c>
      <c r="L402">
        <v>68.791700000000006</v>
      </c>
      <c r="M402">
        <v>11.791732</v>
      </c>
      <c r="N402">
        <v>318</v>
      </c>
      <c r="O402">
        <v>2629</v>
      </c>
      <c r="P402">
        <v>2947</v>
      </c>
    </row>
    <row r="403" spans="1:16" x14ac:dyDescent="0.3">
      <c r="A403">
        <v>402</v>
      </c>
      <c r="B403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11.586969</v>
      </c>
      <c r="K403">
        <v>14.821300000000001</v>
      </c>
      <c r="L403">
        <v>62.217399999999998</v>
      </c>
      <c r="M403">
        <v>10.304600000000001</v>
      </c>
      <c r="N403">
        <v>206</v>
      </c>
      <c r="O403">
        <v>3578</v>
      </c>
      <c r="P403">
        <v>3784</v>
      </c>
    </row>
    <row r="404" spans="1:16" x14ac:dyDescent="0.3">
      <c r="A404">
        <v>403</v>
      </c>
      <c r="B404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14.520847</v>
      </c>
      <c r="K404">
        <v>18.055199999999999</v>
      </c>
      <c r="L404">
        <v>49.625</v>
      </c>
      <c r="M404">
        <v>9.8743929999999995</v>
      </c>
      <c r="N404">
        <v>199</v>
      </c>
      <c r="O404">
        <v>4176</v>
      </c>
      <c r="P404">
        <v>4375</v>
      </c>
    </row>
    <row r="405" spans="1:16" x14ac:dyDescent="0.3">
      <c r="A405">
        <v>404</v>
      </c>
      <c r="B405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10.523346999999999</v>
      </c>
      <c r="K405">
        <v>13.32105</v>
      </c>
      <c r="L405">
        <v>72.291700000000006</v>
      </c>
      <c r="M405">
        <v>8.9593070000000008</v>
      </c>
      <c r="N405">
        <v>109</v>
      </c>
      <c r="O405">
        <v>2693</v>
      </c>
      <c r="P405">
        <v>2802</v>
      </c>
    </row>
    <row r="406" spans="1:16" x14ac:dyDescent="0.3">
      <c r="A406">
        <v>405</v>
      </c>
      <c r="B406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10.865</v>
      </c>
      <c r="K406">
        <v>13.099399999999999</v>
      </c>
      <c r="L406">
        <v>56.208300000000001</v>
      </c>
      <c r="M406">
        <v>13.000479</v>
      </c>
      <c r="N406">
        <v>163</v>
      </c>
      <c r="O406">
        <v>3667</v>
      </c>
      <c r="P406">
        <v>3830</v>
      </c>
    </row>
    <row r="407" spans="1:16" x14ac:dyDescent="0.3">
      <c r="A407">
        <v>406</v>
      </c>
      <c r="B407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11.514153</v>
      </c>
      <c r="K407">
        <v>14.677899999999999</v>
      </c>
      <c r="L407">
        <v>54</v>
      </c>
      <c r="M407">
        <v>7.8342429999999998</v>
      </c>
      <c r="N407">
        <v>227</v>
      </c>
      <c r="O407">
        <v>3604</v>
      </c>
      <c r="P407">
        <v>3831</v>
      </c>
    </row>
    <row r="408" spans="1:16" x14ac:dyDescent="0.3">
      <c r="A408">
        <v>407</v>
      </c>
      <c r="B408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9.1908469999999998</v>
      </c>
      <c r="K408">
        <v>10.54335</v>
      </c>
      <c r="L408">
        <v>73.125</v>
      </c>
      <c r="M408">
        <v>19.416332000000001</v>
      </c>
      <c r="N408">
        <v>192</v>
      </c>
      <c r="O408">
        <v>1977</v>
      </c>
      <c r="P408">
        <v>2169</v>
      </c>
    </row>
    <row r="409" spans="1:16" x14ac:dyDescent="0.3">
      <c r="A409">
        <v>408</v>
      </c>
      <c r="B409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5.2275</v>
      </c>
      <c r="K409">
        <v>5.0829000000000004</v>
      </c>
      <c r="L409">
        <v>46.458300000000001</v>
      </c>
      <c r="M409">
        <v>27.417204000000002</v>
      </c>
      <c r="N409">
        <v>73</v>
      </c>
      <c r="O409">
        <v>1456</v>
      </c>
      <c r="P409">
        <v>1529</v>
      </c>
    </row>
    <row r="410" spans="1:16" x14ac:dyDescent="0.3">
      <c r="A410">
        <v>409</v>
      </c>
      <c r="B410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9.1225000000000005</v>
      </c>
      <c r="K410">
        <v>11.39565</v>
      </c>
      <c r="L410">
        <v>41.125</v>
      </c>
      <c r="M410">
        <v>11.207960999999999</v>
      </c>
      <c r="N410">
        <v>94</v>
      </c>
      <c r="O410">
        <v>3328</v>
      </c>
      <c r="P410">
        <v>3422</v>
      </c>
    </row>
    <row r="411" spans="1:16" x14ac:dyDescent="0.3">
      <c r="A411">
        <v>410</v>
      </c>
      <c r="B41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13.085846999999999</v>
      </c>
      <c r="K411">
        <v>16.697299999999998</v>
      </c>
      <c r="L411">
        <v>50.875</v>
      </c>
      <c r="M411">
        <v>9.4589929999999995</v>
      </c>
      <c r="N411">
        <v>135</v>
      </c>
      <c r="O411">
        <v>3787</v>
      </c>
      <c r="P411">
        <v>3922</v>
      </c>
    </row>
    <row r="412" spans="1:16" x14ac:dyDescent="0.3">
      <c r="A412">
        <v>411</v>
      </c>
      <c r="B412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14.281653</v>
      </c>
      <c r="K412">
        <v>17.58145</v>
      </c>
      <c r="L412">
        <v>53.125</v>
      </c>
      <c r="M412">
        <v>12.167199999999999</v>
      </c>
      <c r="N412">
        <v>141</v>
      </c>
      <c r="O412">
        <v>4028</v>
      </c>
      <c r="P412">
        <v>4169</v>
      </c>
    </row>
    <row r="413" spans="1:16" x14ac:dyDescent="0.3">
      <c r="A413">
        <v>412</v>
      </c>
      <c r="B413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12.983347</v>
      </c>
      <c r="K413">
        <v>16.508099999999999</v>
      </c>
      <c r="L413">
        <v>75.291700000000006</v>
      </c>
      <c r="M413">
        <v>6.1254749999999998</v>
      </c>
      <c r="N413">
        <v>74</v>
      </c>
      <c r="O413">
        <v>2931</v>
      </c>
      <c r="P413">
        <v>3005</v>
      </c>
    </row>
    <row r="414" spans="1:16" x14ac:dyDescent="0.3">
      <c r="A414">
        <v>413</v>
      </c>
      <c r="B414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14.076653</v>
      </c>
      <c r="K414">
        <v>17.58145</v>
      </c>
      <c r="L414">
        <v>63.458300000000001</v>
      </c>
      <c r="M414">
        <v>13.791682</v>
      </c>
      <c r="N414">
        <v>349</v>
      </c>
      <c r="O414">
        <v>3805</v>
      </c>
      <c r="P414">
        <v>4154</v>
      </c>
    </row>
    <row r="415" spans="1:16" x14ac:dyDescent="0.3">
      <c r="A415">
        <v>414</v>
      </c>
      <c r="B415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14.213347000000001</v>
      </c>
      <c r="K415">
        <v>17.771249999999998</v>
      </c>
      <c r="L415">
        <v>53.458300000000001</v>
      </c>
      <c r="M415">
        <v>12.792242999999999</v>
      </c>
      <c r="N415">
        <v>1435</v>
      </c>
      <c r="O415">
        <v>2883</v>
      </c>
      <c r="P415">
        <v>4318</v>
      </c>
    </row>
    <row r="416" spans="1:16" x14ac:dyDescent="0.3">
      <c r="A416">
        <v>415</v>
      </c>
      <c r="B416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11.48</v>
      </c>
      <c r="K416">
        <v>13.289400000000001</v>
      </c>
      <c r="L416">
        <v>51.583300000000001</v>
      </c>
      <c r="M416">
        <v>16.958504000000001</v>
      </c>
      <c r="N416">
        <v>618</v>
      </c>
      <c r="O416">
        <v>2071</v>
      </c>
      <c r="P416">
        <v>2689</v>
      </c>
    </row>
    <row r="417" spans="1:16" x14ac:dyDescent="0.3">
      <c r="A417">
        <v>416</v>
      </c>
      <c r="B417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11.48</v>
      </c>
      <c r="K417">
        <v>13.669549999999999</v>
      </c>
      <c r="L417">
        <v>50.782600000000002</v>
      </c>
      <c r="M417">
        <v>15.348561</v>
      </c>
      <c r="N417">
        <v>502</v>
      </c>
      <c r="O417">
        <v>2627</v>
      </c>
      <c r="P417">
        <v>3129</v>
      </c>
    </row>
    <row r="418" spans="1:16" x14ac:dyDescent="0.3">
      <c r="A418">
        <v>417</v>
      </c>
      <c r="B418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11.800865999999999</v>
      </c>
      <c r="K418">
        <v>14.755649999999999</v>
      </c>
      <c r="L418">
        <v>59.434800000000003</v>
      </c>
      <c r="M418">
        <v>13.783039</v>
      </c>
      <c r="N418">
        <v>163</v>
      </c>
      <c r="O418">
        <v>3614</v>
      </c>
      <c r="P418">
        <v>3777</v>
      </c>
    </row>
    <row r="419" spans="1:16" x14ac:dyDescent="0.3">
      <c r="A419">
        <v>418</v>
      </c>
      <c r="B419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16.229153</v>
      </c>
      <c r="K419">
        <v>19.63335</v>
      </c>
      <c r="L419">
        <v>56.791699999999999</v>
      </c>
      <c r="M419">
        <v>15.709557</v>
      </c>
      <c r="N419">
        <v>394</v>
      </c>
      <c r="O419">
        <v>4379</v>
      </c>
      <c r="P419">
        <v>4773</v>
      </c>
    </row>
    <row r="420" spans="1:16" x14ac:dyDescent="0.3">
      <c r="A420">
        <v>419</v>
      </c>
      <c r="B420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18.620847000000001</v>
      </c>
      <c r="K420">
        <v>22.222300000000001</v>
      </c>
      <c r="L420">
        <v>55.458300000000001</v>
      </c>
      <c r="M420">
        <v>12.791171</v>
      </c>
      <c r="N420">
        <v>516</v>
      </c>
      <c r="O420">
        <v>4546</v>
      </c>
      <c r="P420">
        <v>5062</v>
      </c>
    </row>
    <row r="421" spans="1:16" x14ac:dyDescent="0.3">
      <c r="A421">
        <v>420</v>
      </c>
      <c r="B42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16.7075</v>
      </c>
      <c r="K421">
        <v>20.548549999999999</v>
      </c>
      <c r="L421">
        <v>73.75</v>
      </c>
      <c r="M421">
        <v>15.916988999999999</v>
      </c>
      <c r="N421">
        <v>246</v>
      </c>
      <c r="O421">
        <v>3241</v>
      </c>
      <c r="P421">
        <v>3487</v>
      </c>
    </row>
    <row r="422" spans="1:16" x14ac:dyDescent="0.3">
      <c r="A422">
        <v>421</v>
      </c>
      <c r="B422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11.924153</v>
      </c>
      <c r="K422">
        <v>12.78375</v>
      </c>
      <c r="L422">
        <v>39.583300000000001</v>
      </c>
      <c r="M422">
        <v>28.250014</v>
      </c>
      <c r="N422">
        <v>317</v>
      </c>
      <c r="O422">
        <v>2415</v>
      </c>
      <c r="P422">
        <v>2732</v>
      </c>
    </row>
    <row r="423" spans="1:16" x14ac:dyDescent="0.3">
      <c r="A423">
        <v>422</v>
      </c>
      <c r="B423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11.445847000000001</v>
      </c>
      <c r="K423">
        <v>13.4154</v>
      </c>
      <c r="L423">
        <v>41</v>
      </c>
      <c r="M423">
        <v>13.750343000000001</v>
      </c>
      <c r="N423">
        <v>515</v>
      </c>
      <c r="O423">
        <v>2874</v>
      </c>
      <c r="P423">
        <v>3389</v>
      </c>
    </row>
    <row r="424" spans="1:16" x14ac:dyDescent="0.3">
      <c r="A424">
        <v>423</v>
      </c>
      <c r="B424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15.033346999999999</v>
      </c>
      <c r="K424">
        <v>17.8977</v>
      </c>
      <c r="L424">
        <v>49.083300000000001</v>
      </c>
      <c r="M424">
        <v>17.958210999999999</v>
      </c>
      <c r="N424">
        <v>253</v>
      </c>
      <c r="O424">
        <v>4069</v>
      </c>
      <c r="P424">
        <v>4322</v>
      </c>
    </row>
    <row r="425" spans="1:16" x14ac:dyDescent="0.3">
      <c r="A425">
        <v>424</v>
      </c>
      <c r="B425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14.725847</v>
      </c>
      <c r="K425">
        <v>17.67625</v>
      </c>
      <c r="L425">
        <v>39.583300000000001</v>
      </c>
      <c r="M425">
        <v>12.958939000000001</v>
      </c>
      <c r="N425">
        <v>229</v>
      </c>
      <c r="O425">
        <v>4134</v>
      </c>
      <c r="P425">
        <v>4363</v>
      </c>
    </row>
    <row r="426" spans="1:16" x14ac:dyDescent="0.3">
      <c r="A426">
        <v>425</v>
      </c>
      <c r="B426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14.118268</v>
      </c>
      <c r="K426">
        <v>17.423500000000001</v>
      </c>
      <c r="L426">
        <v>80.478300000000004</v>
      </c>
      <c r="M426">
        <v>12.000838999999999</v>
      </c>
      <c r="N426">
        <v>65</v>
      </c>
      <c r="O426">
        <v>1769</v>
      </c>
      <c r="P426">
        <v>1834</v>
      </c>
    </row>
    <row r="427" spans="1:16" x14ac:dyDescent="0.3">
      <c r="A427">
        <v>426</v>
      </c>
      <c r="B427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19.919153000000001</v>
      </c>
      <c r="K427">
        <v>23.768550000000001</v>
      </c>
      <c r="L427">
        <v>61.541699999999999</v>
      </c>
      <c r="M427">
        <v>15.208129</v>
      </c>
      <c r="N427">
        <v>325</v>
      </c>
      <c r="O427">
        <v>4665</v>
      </c>
      <c r="P427">
        <v>4990</v>
      </c>
    </row>
    <row r="428" spans="1:16" x14ac:dyDescent="0.3">
      <c r="A428">
        <v>427</v>
      </c>
      <c r="B428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14.486653</v>
      </c>
      <c r="K428">
        <v>17.992100000000001</v>
      </c>
      <c r="L428">
        <v>65.708299999999994</v>
      </c>
      <c r="M428">
        <v>9.7085679999999996</v>
      </c>
      <c r="N428">
        <v>246</v>
      </c>
      <c r="O428">
        <v>2948</v>
      </c>
      <c r="P428">
        <v>3194</v>
      </c>
    </row>
    <row r="429" spans="1:16" x14ac:dyDescent="0.3">
      <c r="A429">
        <v>428</v>
      </c>
      <c r="B429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16.980847000000001</v>
      </c>
      <c r="K429">
        <v>20.674600000000002</v>
      </c>
      <c r="L429">
        <v>62.125</v>
      </c>
      <c r="M429">
        <v>10.792293000000001</v>
      </c>
      <c r="N429">
        <v>956</v>
      </c>
      <c r="O429">
        <v>3110</v>
      </c>
      <c r="P429">
        <v>4066</v>
      </c>
    </row>
    <row r="430" spans="1:16" x14ac:dyDescent="0.3">
      <c r="A430">
        <v>429</v>
      </c>
      <c r="B430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13.359152999999999</v>
      </c>
      <c r="K430">
        <v>15.15105</v>
      </c>
      <c r="L430">
        <v>40.333300000000001</v>
      </c>
      <c r="M430">
        <v>22.416257000000002</v>
      </c>
      <c r="N430">
        <v>710</v>
      </c>
      <c r="O430">
        <v>2713</v>
      </c>
      <c r="P430">
        <v>3423</v>
      </c>
    </row>
    <row r="431" spans="1:16" x14ac:dyDescent="0.3">
      <c r="A431">
        <v>430</v>
      </c>
      <c r="B43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9.9766530000000007</v>
      </c>
      <c r="K431">
        <v>12.05855</v>
      </c>
      <c r="L431">
        <v>50.625</v>
      </c>
      <c r="M431">
        <v>15.333486000000001</v>
      </c>
      <c r="N431">
        <v>203</v>
      </c>
      <c r="O431">
        <v>3130</v>
      </c>
      <c r="P431">
        <v>3333</v>
      </c>
    </row>
    <row r="432" spans="1:16" x14ac:dyDescent="0.3">
      <c r="A432">
        <v>431</v>
      </c>
      <c r="B432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10.591653000000001</v>
      </c>
      <c r="K432">
        <v>12.7521</v>
      </c>
      <c r="L432">
        <v>45.666699999999999</v>
      </c>
      <c r="M432">
        <v>13.458625</v>
      </c>
      <c r="N432">
        <v>221</v>
      </c>
      <c r="O432">
        <v>3735</v>
      </c>
      <c r="P432">
        <v>3956</v>
      </c>
    </row>
    <row r="433" spans="1:16" x14ac:dyDescent="0.3">
      <c r="A433">
        <v>432</v>
      </c>
      <c r="B433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16.570847000000001</v>
      </c>
      <c r="K433">
        <v>19.254999999999999</v>
      </c>
      <c r="L433">
        <v>51.333300000000001</v>
      </c>
      <c r="M433">
        <v>23.167193000000001</v>
      </c>
      <c r="N433">
        <v>432</v>
      </c>
      <c r="O433">
        <v>4484</v>
      </c>
      <c r="P433">
        <v>4916</v>
      </c>
    </row>
    <row r="434" spans="1:16" x14ac:dyDescent="0.3">
      <c r="A434">
        <v>433</v>
      </c>
      <c r="B434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21.627500000000001</v>
      </c>
      <c r="K434">
        <v>26.2302</v>
      </c>
      <c r="L434">
        <v>56.75</v>
      </c>
      <c r="M434">
        <v>29.584720999999998</v>
      </c>
      <c r="N434">
        <v>486</v>
      </c>
      <c r="O434">
        <v>4896</v>
      </c>
      <c r="P434">
        <v>5382</v>
      </c>
    </row>
    <row r="435" spans="1:16" x14ac:dyDescent="0.3">
      <c r="A435">
        <v>434</v>
      </c>
      <c r="B435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16.844152999999999</v>
      </c>
      <c r="K435">
        <v>19.854150000000001</v>
      </c>
      <c r="L435">
        <v>40.708300000000001</v>
      </c>
      <c r="M435">
        <v>27.791599999999999</v>
      </c>
      <c r="N435">
        <v>447</v>
      </c>
      <c r="O435">
        <v>4122</v>
      </c>
      <c r="P435">
        <v>4569</v>
      </c>
    </row>
    <row r="436" spans="1:16" x14ac:dyDescent="0.3">
      <c r="A436">
        <v>435</v>
      </c>
      <c r="B436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11.7875</v>
      </c>
      <c r="K436">
        <v>13.888350000000001</v>
      </c>
      <c r="L436">
        <v>35.041699999999999</v>
      </c>
      <c r="M436">
        <v>15.125249999999999</v>
      </c>
      <c r="N436">
        <v>968</v>
      </c>
      <c r="O436">
        <v>3150</v>
      </c>
      <c r="P436">
        <v>4118</v>
      </c>
    </row>
    <row r="437" spans="1:16" x14ac:dyDescent="0.3">
      <c r="A437">
        <v>436</v>
      </c>
      <c r="B437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14.831299</v>
      </c>
      <c r="K437">
        <v>17.983499999999999</v>
      </c>
      <c r="L437">
        <v>47.695700000000002</v>
      </c>
      <c r="M437">
        <v>14.913328999999999</v>
      </c>
      <c r="N437">
        <v>1658</v>
      </c>
      <c r="O437">
        <v>3253</v>
      </c>
      <c r="P437">
        <v>4911</v>
      </c>
    </row>
    <row r="438" spans="1:16" x14ac:dyDescent="0.3">
      <c r="A438">
        <v>437</v>
      </c>
      <c r="B438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19.133347000000001</v>
      </c>
      <c r="K438">
        <v>22.979600000000001</v>
      </c>
      <c r="L438">
        <v>48.916699999999999</v>
      </c>
      <c r="M438">
        <v>13.916771000000001</v>
      </c>
      <c r="N438">
        <v>838</v>
      </c>
      <c r="O438">
        <v>4460</v>
      </c>
      <c r="P438">
        <v>5298</v>
      </c>
    </row>
    <row r="439" spans="1:16" x14ac:dyDescent="0.3">
      <c r="A439">
        <v>438</v>
      </c>
      <c r="B439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23.164999999999999</v>
      </c>
      <c r="K439">
        <v>27.146450000000002</v>
      </c>
      <c r="L439">
        <v>61.75</v>
      </c>
      <c r="M439">
        <v>15.87565</v>
      </c>
      <c r="N439">
        <v>762</v>
      </c>
      <c r="O439">
        <v>5085</v>
      </c>
      <c r="P439">
        <v>5847</v>
      </c>
    </row>
    <row r="440" spans="1:16" x14ac:dyDescent="0.3">
      <c r="A440">
        <v>439</v>
      </c>
      <c r="B440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23.4725</v>
      </c>
      <c r="K440">
        <v>27.43085</v>
      </c>
      <c r="L440">
        <v>50.708300000000001</v>
      </c>
      <c r="M440">
        <v>7.7091539999999998</v>
      </c>
      <c r="N440">
        <v>997</v>
      </c>
      <c r="O440">
        <v>5315</v>
      </c>
      <c r="P440">
        <v>6312</v>
      </c>
    </row>
    <row r="441" spans="1:16" x14ac:dyDescent="0.3">
      <c r="A441">
        <v>440</v>
      </c>
      <c r="B44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22.857500000000002</v>
      </c>
      <c r="K441">
        <v>26.641249999999999</v>
      </c>
      <c r="L441">
        <v>57.958300000000001</v>
      </c>
      <c r="M441">
        <v>10.042161</v>
      </c>
      <c r="N441">
        <v>1005</v>
      </c>
      <c r="O441">
        <v>5187</v>
      </c>
      <c r="P441">
        <v>6192</v>
      </c>
    </row>
    <row r="442" spans="1:16" x14ac:dyDescent="0.3">
      <c r="A442">
        <v>441</v>
      </c>
      <c r="B442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17.869153000000001</v>
      </c>
      <c r="K442">
        <v>21.811450000000001</v>
      </c>
      <c r="L442">
        <v>84.208299999999994</v>
      </c>
      <c r="M442">
        <v>7.5838640000000002</v>
      </c>
      <c r="N442">
        <v>548</v>
      </c>
      <c r="O442">
        <v>3830</v>
      </c>
      <c r="P442">
        <v>4378</v>
      </c>
    </row>
    <row r="443" spans="1:16" x14ac:dyDescent="0.3">
      <c r="A443">
        <v>442</v>
      </c>
      <c r="B443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21.080846999999999</v>
      </c>
      <c r="K443">
        <v>25.252300000000002</v>
      </c>
      <c r="L443">
        <v>75.583299999999994</v>
      </c>
      <c r="M443">
        <v>7.4171680000000002</v>
      </c>
      <c r="N443">
        <v>3155</v>
      </c>
      <c r="O443">
        <v>4681</v>
      </c>
      <c r="P443">
        <v>7836</v>
      </c>
    </row>
    <row r="444" spans="1:16" x14ac:dyDescent="0.3">
      <c r="A444">
        <v>443</v>
      </c>
      <c r="B444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19.372499999999999</v>
      </c>
      <c r="K444">
        <v>23.2</v>
      </c>
      <c r="L444">
        <v>81</v>
      </c>
      <c r="M444">
        <v>8.5011609999999997</v>
      </c>
      <c r="N444">
        <v>2207</v>
      </c>
      <c r="O444">
        <v>3685</v>
      </c>
      <c r="P444">
        <v>5892</v>
      </c>
    </row>
    <row r="445" spans="1:16" x14ac:dyDescent="0.3">
      <c r="A445">
        <v>444</v>
      </c>
      <c r="B445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22.344999999999999</v>
      </c>
      <c r="K445">
        <v>26.64105</v>
      </c>
      <c r="L445">
        <v>72.875</v>
      </c>
      <c r="M445">
        <v>10.875239000000001</v>
      </c>
      <c r="N445">
        <v>982</v>
      </c>
      <c r="O445">
        <v>5171</v>
      </c>
      <c r="P445">
        <v>6153</v>
      </c>
    </row>
    <row r="446" spans="1:16" x14ac:dyDescent="0.3">
      <c r="A446">
        <v>445</v>
      </c>
      <c r="B446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22.994153000000001</v>
      </c>
      <c r="K446">
        <v>26.926649999999999</v>
      </c>
      <c r="L446">
        <v>80.791700000000006</v>
      </c>
      <c r="M446">
        <v>8.1251569999999997</v>
      </c>
      <c r="N446">
        <v>1051</v>
      </c>
      <c r="O446">
        <v>5042</v>
      </c>
      <c r="P446">
        <v>6093</v>
      </c>
    </row>
    <row r="447" spans="1:16" x14ac:dyDescent="0.3">
      <c r="A447">
        <v>446</v>
      </c>
      <c r="B447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21.798347</v>
      </c>
      <c r="K447">
        <v>25.6629</v>
      </c>
      <c r="L447">
        <v>82.125</v>
      </c>
      <c r="M447">
        <v>6.0004061000000002</v>
      </c>
      <c r="N447">
        <v>1122</v>
      </c>
      <c r="O447">
        <v>5108</v>
      </c>
      <c r="P447">
        <v>6230</v>
      </c>
    </row>
    <row r="448" spans="1:16" x14ac:dyDescent="0.3">
      <c r="A448">
        <v>447</v>
      </c>
      <c r="B448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22.720846999999999</v>
      </c>
      <c r="K448">
        <v>26.57835</v>
      </c>
      <c r="L448">
        <v>83.125</v>
      </c>
      <c r="M448">
        <v>7.8766540000000003</v>
      </c>
      <c r="N448">
        <v>1334</v>
      </c>
      <c r="O448">
        <v>5537</v>
      </c>
      <c r="P448">
        <v>6871</v>
      </c>
    </row>
    <row r="449" spans="1:16" x14ac:dyDescent="0.3">
      <c r="A449">
        <v>448</v>
      </c>
      <c r="B449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24.668347000000001</v>
      </c>
      <c r="K449">
        <v>28.503350000000001</v>
      </c>
      <c r="L449">
        <v>69.416700000000006</v>
      </c>
      <c r="M449">
        <v>7.7920999999999996</v>
      </c>
      <c r="N449">
        <v>2469</v>
      </c>
      <c r="O449">
        <v>5893</v>
      </c>
      <c r="P449">
        <v>8362</v>
      </c>
    </row>
    <row r="450" spans="1:16" x14ac:dyDescent="0.3">
      <c r="A450">
        <v>449</v>
      </c>
      <c r="B450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20.602499999999999</v>
      </c>
      <c r="K450">
        <v>24.336649999999999</v>
      </c>
      <c r="L450">
        <v>88.541700000000006</v>
      </c>
      <c r="M450">
        <v>12.916461</v>
      </c>
      <c r="N450">
        <v>1033</v>
      </c>
      <c r="O450">
        <v>2339</v>
      </c>
      <c r="P450">
        <v>3372</v>
      </c>
    </row>
    <row r="451" spans="1:16" x14ac:dyDescent="0.3">
      <c r="A451">
        <v>450</v>
      </c>
      <c r="B45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17.9375</v>
      </c>
      <c r="K451">
        <v>21.874400000000001</v>
      </c>
      <c r="L451">
        <v>88.083299999999994</v>
      </c>
      <c r="M451">
        <v>14.791925000000001</v>
      </c>
      <c r="N451">
        <v>1532</v>
      </c>
      <c r="O451">
        <v>3464</v>
      </c>
      <c r="P451">
        <v>4996</v>
      </c>
    </row>
    <row r="452" spans="1:16" x14ac:dyDescent="0.3">
      <c r="A452">
        <v>451</v>
      </c>
      <c r="B452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18.279153000000001</v>
      </c>
      <c r="K452">
        <v>21.9375</v>
      </c>
      <c r="L452">
        <v>47.791699999999999</v>
      </c>
      <c r="M452">
        <v>25.917007000000002</v>
      </c>
      <c r="N452">
        <v>795</v>
      </c>
      <c r="O452">
        <v>4763</v>
      </c>
      <c r="P452">
        <v>5558</v>
      </c>
    </row>
    <row r="453" spans="1:16" x14ac:dyDescent="0.3">
      <c r="A453">
        <v>452</v>
      </c>
      <c r="B453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13.256653</v>
      </c>
      <c r="K453">
        <v>15.7827</v>
      </c>
      <c r="L453">
        <v>29</v>
      </c>
      <c r="M453">
        <v>12.541864</v>
      </c>
      <c r="N453">
        <v>531</v>
      </c>
      <c r="O453">
        <v>4571</v>
      </c>
      <c r="P453">
        <v>5102</v>
      </c>
    </row>
    <row r="454" spans="1:16" x14ac:dyDescent="0.3">
      <c r="A454">
        <v>453</v>
      </c>
      <c r="B454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19.850847000000002</v>
      </c>
      <c r="K454">
        <v>23.547499999999999</v>
      </c>
      <c r="L454">
        <v>48.125</v>
      </c>
      <c r="M454">
        <v>19.541957</v>
      </c>
      <c r="N454">
        <v>674</v>
      </c>
      <c r="O454">
        <v>5024</v>
      </c>
      <c r="P454">
        <v>5698</v>
      </c>
    </row>
    <row r="455" spans="1:16" x14ac:dyDescent="0.3">
      <c r="A455">
        <v>454</v>
      </c>
      <c r="B455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20.260846999999998</v>
      </c>
      <c r="K455">
        <v>24.115200000000002</v>
      </c>
      <c r="L455">
        <v>43.916699999999999</v>
      </c>
      <c r="M455">
        <v>21.416550000000001</v>
      </c>
      <c r="N455">
        <v>834</v>
      </c>
      <c r="O455">
        <v>5299</v>
      </c>
      <c r="P455">
        <v>6133</v>
      </c>
    </row>
    <row r="456" spans="1:16" x14ac:dyDescent="0.3">
      <c r="A456">
        <v>455</v>
      </c>
      <c r="B456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15.17</v>
      </c>
      <c r="K456">
        <v>18.78105</v>
      </c>
      <c r="L456">
        <v>58.083300000000001</v>
      </c>
      <c r="M456">
        <v>9.250489</v>
      </c>
      <c r="N456">
        <v>796</v>
      </c>
      <c r="O456">
        <v>4663</v>
      </c>
      <c r="P456">
        <v>5459</v>
      </c>
    </row>
    <row r="457" spans="1:16" x14ac:dyDescent="0.3">
      <c r="A457">
        <v>456</v>
      </c>
      <c r="B457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17.390847000000001</v>
      </c>
      <c r="K457">
        <v>21.0854</v>
      </c>
      <c r="L457">
        <v>73.833299999999994</v>
      </c>
      <c r="M457">
        <v>16.791339000000001</v>
      </c>
      <c r="N457">
        <v>2301</v>
      </c>
      <c r="O457">
        <v>3934</v>
      </c>
      <c r="P457">
        <v>6235</v>
      </c>
    </row>
    <row r="458" spans="1:16" x14ac:dyDescent="0.3">
      <c r="A458">
        <v>457</v>
      </c>
      <c r="B458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17.459153000000001</v>
      </c>
      <c r="K458">
        <v>20.864350000000002</v>
      </c>
      <c r="L458">
        <v>67.625</v>
      </c>
      <c r="M458">
        <v>11.541888999999999</v>
      </c>
      <c r="N458">
        <v>2347</v>
      </c>
      <c r="O458">
        <v>3694</v>
      </c>
      <c r="P458">
        <v>6041</v>
      </c>
    </row>
    <row r="459" spans="1:16" x14ac:dyDescent="0.3">
      <c r="A459">
        <v>458</v>
      </c>
      <c r="B459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17.790433</v>
      </c>
      <c r="K459">
        <v>21.37565</v>
      </c>
      <c r="L459">
        <v>50.434800000000003</v>
      </c>
      <c r="M459">
        <v>20.913312999999999</v>
      </c>
      <c r="N459">
        <v>1208</v>
      </c>
      <c r="O459">
        <v>4728</v>
      </c>
      <c r="P459">
        <v>5936</v>
      </c>
    </row>
    <row r="460" spans="1:16" x14ac:dyDescent="0.3">
      <c r="A460">
        <v>459</v>
      </c>
      <c r="B460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19.133347000000001</v>
      </c>
      <c r="K460">
        <v>23.074149999999999</v>
      </c>
      <c r="L460">
        <v>39.666699999999999</v>
      </c>
      <c r="M460">
        <v>6.7089109999999996</v>
      </c>
      <c r="N460">
        <v>1348</v>
      </c>
      <c r="O460">
        <v>5424</v>
      </c>
      <c r="P460">
        <v>6772</v>
      </c>
    </row>
    <row r="461" spans="1:16" x14ac:dyDescent="0.3">
      <c r="A461">
        <v>460</v>
      </c>
      <c r="B46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22.208347</v>
      </c>
      <c r="K461">
        <v>26.672499999999999</v>
      </c>
      <c r="L461">
        <v>46.958300000000001</v>
      </c>
      <c r="M461">
        <v>12.125325</v>
      </c>
      <c r="N461">
        <v>1058</v>
      </c>
      <c r="O461">
        <v>5378</v>
      </c>
      <c r="P461">
        <v>6436</v>
      </c>
    </row>
    <row r="462" spans="1:16" x14ac:dyDescent="0.3">
      <c r="A462">
        <v>461</v>
      </c>
      <c r="B462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17.835000000000001</v>
      </c>
      <c r="K462">
        <v>21.558150000000001</v>
      </c>
      <c r="L462">
        <v>37.416699999999999</v>
      </c>
      <c r="M462">
        <v>14.708443000000001</v>
      </c>
      <c r="N462">
        <v>1192</v>
      </c>
      <c r="O462">
        <v>5265</v>
      </c>
      <c r="P462">
        <v>6457</v>
      </c>
    </row>
    <row r="463" spans="1:16" x14ac:dyDescent="0.3">
      <c r="A463">
        <v>462</v>
      </c>
      <c r="B463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16.536653000000001</v>
      </c>
      <c r="K463">
        <v>19.538350000000001</v>
      </c>
      <c r="L463">
        <v>37.708300000000001</v>
      </c>
      <c r="M463">
        <v>20.125996000000001</v>
      </c>
      <c r="N463">
        <v>1807</v>
      </c>
      <c r="O463">
        <v>4653</v>
      </c>
      <c r="P463">
        <v>6460</v>
      </c>
    </row>
    <row r="464" spans="1:16" x14ac:dyDescent="0.3">
      <c r="A464">
        <v>463</v>
      </c>
      <c r="B464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17.9375</v>
      </c>
      <c r="K464">
        <v>21.306450000000002</v>
      </c>
      <c r="L464">
        <v>25.416699999999999</v>
      </c>
      <c r="M464">
        <v>18.416357000000001</v>
      </c>
      <c r="N464">
        <v>3252</v>
      </c>
      <c r="O464">
        <v>3605</v>
      </c>
      <c r="P464">
        <v>6857</v>
      </c>
    </row>
    <row r="465" spans="1:16" x14ac:dyDescent="0.3">
      <c r="A465">
        <v>464</v>
      </c>
      <c r="B465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20.5</v>
      </c>
      <c r="K465">
        <v>24.62125</v>
      </c>
      <c r="L465">
        <v>27.583300000000001</v>
      </c>
      <c r="M465">
        <v>15.583932000000001</v>
      </c>
      <c r="N465">
        <v>2230</v>
      </c>
      <c r="O465">
        <v>2939</v>
      </c>
      <c r="P465">
        <v>5169</v>
      </c>
    </row>
    <row r="466" spans="1:16" x14ac:dyDescent="0.3">
      <c r="A466">
        <v>465</v>
      </c>
      <c r="B466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20.055847</v>
      </c>
      <c r="K466">
        <v>23.831900000000001</v>
      </c>
      <c r="L466">
        <v>31.75</v>
      </c>
      <c r="M466">
        <v>23.999131999999999</v>
      </c>
      <c r="N466">
        <v>905</v>
      </c>
      <c r="O466">
        <v>4680</v>
      </c>
      <c r="P466">
        <v>5585</v>
      </c>
    </row>
    <row r="467" spans="1:16" x14ac:dyDescent="0.3">
      <c r="A467">
        <v>466</v>
      </c>
      <c r="B467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18.313347</v>
      </c>
      <c r="K467">
        <v>21.81165</v>
      </c>
      <c r="L467">
        <v>43.5</v>
      </c>
      <c r="M467">
        <v>16.708124999999999</v>
      </c>
      <c r="N467">
        <v>819</v>
      </c>
      <c r="O467">
        <v>5099</v>
      </c>
      <c r="P467">
        <v>5918</v>
      </c>
    </row>
    <row r="468" spans="1:16" x14ac:dyDescent="0.3">
      <c r="A468">
        <v>467</v>
      </c>
      <c r="B468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14.296536</v>
      </c>
      <c r="K468">
        <v>16.863700000000001</v>
      </c>
      <c r="L468">
        <v>46.956499999999998</v>
      </c>
      <c r="M468">
        <v>19.783358</v>
      </c>
      <c r="N468">
        <v>482</v>
      </c>
      <c r="O468">
        <v>4380</v>
      </c>
      <c r="P468">
        <v>4862</v>
      </c>
    </row>
    <row r="469" spans="1:16" x14ac:dyDescent="0.3">
      <c r="A469">
        <v>468</v>
      </c>
      <c r="B469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16.297499999999999</v>
      </c>
      <c r="K469">
        <v>19.380199999999999</v>
      </c>
      <c r="L469">
        <v>46.625</v>
      </c>
      <c r="M469">
        <v>19.458742999999998</v>
      </c>
      <c r="N469">
        <v>663</v>
      </c>
      <c r="O469">
        <v>4746</v>
      </c>
      <c r="P469">
        <v>5409</v>
      </c>
    </row>
    <row r="470" spans="1:16" x14ac:dyDescent="0.3">
      <c r="A470">
        <v>469</v>
      </c>
      <c r="B470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18.142499999999998</v>
      </c>
      <c r="K470">
        <v>21.590399999999999</v>
      </c>
      <c r="L470">
        <v>40.833300000000001</v>
      </c>
      <c r="M470">
        <v>10.416556999999999</v>
      </c>
      <c r="N470">
        <v>1252</v>
      </c>
      <c r="O470">
        <v>5146</v>
      </c>
      <c r="P470">
        <v>6398</v>
      </c>
    </row>
    <row r="471" spans="1:16" x14ac:dyDescent="0.3">
      <c r="A471">
        <v>470</v>
      </c>
      <c r="B47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20.295000000000002</v>
      </c>
      <c r="K471">
        <v>24.399799999999999</v>
      </c>
      <c r="L471">
        <v>50.291699999999999</v>
      </c>
      <c r="M471">
        <v>12.791439</v>
      </c>
      <c r="N471">
        <v>2795</v>
      </c>
      <c r="O471">
        <v>4665</v>
      </c>
      <c r="P471">
        <v>7460</v>
      </c>
    </row>
    <row r="472" spans="1:16" x14ac:dyDescent="0.3">
      <c r="A472">
        <v>471</v>
      </c>
      <c r="B472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24.873346999999999</v>
      </c>
      <c r="K472">
        <v>28.693750000000001</v>
      </c>
      <c r="L472">
        <v>50.791699999999999</v>
      </c>
      <c r="M472">
        <v>15.083643</v>
      </c>
      <c r="N472">
        <v>2846</v>
      </c>
      <c r="O472">
        <v>4286</v>
      </c>
      <c r="P472">
        <v>7132</v>
      </c>
    </row>
    <row r="473" spans="1:16" x14ac:dyDescent="0.3">
      <c r="A473">
        <v>472</v>
      </c>
      <c r="B473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27.230847000000001</v>
      </c>
      <c r="K473">
        <v>30.74625</v>
      </c>
      <c r="L473">
        <v>56.166699999999999</v>
      </c>
      <c r="M473">
        <v>19.083542999999999</v>
      </c>
      <c r="N473">
        <v>1198</v>
      </c>
      <c r="O473">
        <v>5172</v>
      </c>
      <c r="P473">
        <v>6370</v>
      </c>
    </row>
    <row r="474" spans="1:16" x14ac:dyDescent="0.3">
      <c r="A474">
        <v>473</v>
      </c>
      <c r="B474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24.941652999999999</v>
      </c>
      <c r="K474">
        <v>29.92435</v>
      </c>
      <c r="L474">
        <v>39.041699999999999</v>
      </c>
      <c r="M474">
        <v>18.333143</v>
      </c>
      <c r="N474">
        <v>989</v>
      </c>
      <c r="O474">
        <v>5702</v>
      </c>
      <c r="P474">
        <v>6691</v>
      </c>
    </row>
    <row r="475" spans="1:16" x14ac:dyDescent="0.3">
      <c r="A475">
        <v>474</v>
      </c>
      <c r="B475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18.996652999999998</v>
      </c>
      <c r="K475">
        <v>22.851900000000001</v>
      </c>
      <c r="L475">
        <v>56.916699999999999</v>
      </c>
      <c r="M475">
        <v>11.250104</v>
      </c>
      <c r="N475">
        <v>347</v>
      </c>
      <c r="O475">
        <v>4020</v>
      </c>
      <c r="P475">
        <v>4367</v>
      </c>
    </row>
    <row r="476" spans="1:16" x14ac:dyDescent="0.3">
      <c r="A476">
        <v>475</v>
      </c>
      <c r="B476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20.431653000000001</v>
      </c>
      <c r="K476">
        <v>24.6523</v>
      </c>
      <c r="L476">
        <v>61.25</v>
      </c>
      <c r="M476">
        <v>4.4172564000000003</v>
      </c>
      <c r="N476">
        <v>846</v>
      </c>
      <c r="O476">
        <v>5719</v>
      </c>
      <c r="P476">
        <v>6565</v>
      </c>
    </row>
    <row r="477" spans="1:16" x14ac:dyDescent="0.3">
      <c r="A477">
        <v>476</v>
      </c>
      <c r="B477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21.593347000000001</v>
      </c>
      <c r="K477">
        <v>25.78875</v>
      </c>
      <c r="L477">
        <v>69.458299999999994</v>
      </c>
      <c r="M477">
        <v>10.041357</v>
      </c>
      <c r="N477">
        <v>1340</v>
      </c>
      <c r="O477">
        <v>5950</v>
      </c>
      <c r="P477">
        <v>7290</v>
      </c>
    </row>
    <row r="478" spans="1:16" x14ac:dyDescent="0.3">
      <c r="A478">
        <v>477</v>
      </c>
      <c r="B478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23.37</v>
      </c>
      <c r="K478">
        <v>27.146049999999999</v>
      </c>
      <c r="L478">
        <v>68.291700000000006</v>
      </c>
      <c r="M478">
        <v>19.000329000000001</v>
      </c>
      <c r="N478">
        <v>2541</v>
      </c>
      <c r="O478">
        <v>4083</v>
      </c>
      <c r="P478">
        <v>6624</v>
      </c>
    </row>
    <row r="479" spans="1:16" x14ac:dyDescent="0.3">
      <c r="A479">
        <v>478</v>
      </c>
      <c r="B479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16.263347</v>
      </c>
      <c r="K479">
        <v>19.475200000000001</v>
      </c>
      <c r="L479">
        <v>83.541700000000006</v>
      </c>
      <c r="M479">
        <v>23.084582000000001</v>
      </c>
      <c r="N479">
        <v>120</v>
      </c>
      <c r="O479">
        <v>907</v>
      </c>
      <c r="P479">
        <v>1027</v>
      </c>
    </row>
    <row r="480" spans="1:16" x14ac:dyDescent="0.3">
      <c r="A480">
        <v>479</v>
      </c>
      <c r="B480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13.188347</v>
      </c>
      <c r="K480">
        <v>15.05625</v>
      </c>
      <c r="L480">
        <v>76.666700000000006</v>
      </c>
      <c r="M480">
        <v>20.334232</v>
      </c>
      <c r="N480">
        <v>195</v>
      </c>
      <c r="O480">
        <v>3019</v>
      </c>
      <c r="P480">
        <v>3214</v>
      </c>
    </row>
    <row r="481" spans="1:16" x14ac:dyDescent="0.3">
      <c r="A481">
        <v>480</v>
      </c>
      <c r="B48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16.946653000000001</v>
      </c>
      <c r="K481">
        <v>20.264150000000001</v>
      </c>
      <c r="L481">
        <v>45.416699999999999</v>
      </c>
      <c r="M481">
        <v>16.708660999999999</v>
      </c>
      <c r="N481">
        <v>518</v>
      </c>
      <c r="O481">
        <v>5115</v>
      </c>
      <c r="P481">
        <v>5633</v>
      </c>
    </row>
    <row r="482" spans="1:16" x14ac:dyDescent="0.3">
      <c r="A482">
        <v>481</v>
      </c>
      <c r="B482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19.543347000000001</v>
      </c>
      <c r="K482">
        <v>23.51585</v>
      </c>
      <c r="L482">
        <v>42.791699999999999</v>
      </c>
      <c r="M482">
        <v>7.9590639999999997</v>
      </c>
      <c r="N482">
        <v>655</v>
      </c>
      <c r="O482">
        <v>5541</v>
      </c>
      <c r="P482">
        <v>6196</v>
      </c>
    </row>
    <row r="483" spans="1:16" x14ac:dyDescent="0.3">
      <c r="A483">
        <v>482</v>
      </c>
      <c r="B483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20.431653000000001</v>
      </c>
      <c r="K483">
        <v>24.17915</v>
      </c>
      <c r="L483">
        <v>75.666700000000006</v>
      </c>
      <c r="M483">
        <v>11.833875000000001</v>
      </c>
      <c r="N483">
        <v>475</v>
      </c>
      <c r="O483">
        <v>4551</v>
      </c>
      <c r="P483">
        <v>5026</v>
      </c>
    </row>
    <row r="484" spans="1:16" x14ac:dyDescent="0.3">
      <c r="A484">
        <v>483</v>
      </c>
      <c r="B484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18.7575</v>
      </c>
      <c r="K484">
        <v>22.63185</v>
      </c>
      <c r="L484">
        <v>40.083300000000001</v>
      </c>
      <c r="M484">
        <v>23.291411</v>
      </c>
      <c r="N484">
        <v>1014</v>
      </c>
      <c r="O484">
        <v>5219</v>
      </c>
      <c r="P484">
        <v>6233</v>
      </c>
    </row>
    <row r="485" spans="1:16" x14ac:dyDescent="0.3">
      <c r="A485">
        <v>484</v>
      </c>
      <c r="B485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15.443346999999999</v>
      </c>
      <c r="K485">
        <v>18.8752</v>
      </c>
      <c r="L485">
        <v>48.958300000000001</v>
      </c>
      <c r="M485">
        <v>8.7083250000000003</v>
      </c>
      <c r="N485">
        <v>1120</v>
      </c>
      <c r="O485">
        <v>3100</v>
      </c>
      <c r="P485">
        <v>4220</v>
      </c>
    </row>
    <row r="486" spans="1:16" x14ac:dyDescent="0.3">
      <c r="A486">
        <v>485</v>
      </c>
      <c r="B486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18.791653</v>
      </c>
      <c r="K486">
        <v>22.506049999999998</v>
      </c>
      <c r="L486">
        <v>58.708300000000001</v>
      </c>
      <c r="M486">
        <v>7.8328360000000004</v>
      </c>
      <c r="N486">
        <v>2229</v>
      </c>
      <c r="O486">
        <v>4075</v>
      </c>
      <c r="P486">
        <v>6304</v>
      </c>
    </row>
    <row r="487" spans="1:16" x14ac:dyDescent="0.3">
      <c r="A487">
        <v>486</v>
      </c>
      <c r="B487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19.030847000000001</v>
      </c>
      <c r="K487">
        <v>22.884799999999998</v>
      </c>
      <c r="L487">
        <v>57</v>
      </c>
      <c r="M487">
        <v>11.499746</v>
      </c>
      <c r="N487">
        <v>665</v>
      </c>
      <c r="O487">
        <v>4907</v>
      </c>
      <c r="P487">
        <v>5572</v>
      </c>
    </row>
    <row r="488" spans="1:16" x14ac:dyDescent="0.3">
      <c r="A488">
        <v>487</v>
      </c>
      <c r="B488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25.146653000000001</v>
      </c>
      <c r="K488">
        <v>28.851050000000001</v>
      </c>
      <c r="L488">
        <v>65.958299999999994</v>
      </c>
      <c r="M488">
        <v>10.458432</v>
      </c>
      <c r="N488">
        <v>653</v>
      </c>
      <c r="O488">
        <v>5087</v>
      </c>
      <c r="P488">
        <v>5740</v>
      </c>
    </row>
    <row r="489" spans="1:16" x14ac:dyDescent="0.3">
      <c r="A489">
        <v>488</v>
      </c>
      <c r="B489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23.130846999999999</v>
      </c>
      <c r="K489">
        <v>26.8948</v>
      </c>
      <c r="L489">
        <v>79.708299999999994</v>
      </c>
      <c r="M489">
        <v>9.2498860000000001</v>
      </c>
      <c r="N489">
        <v>667</v>
      </c>
      <c r="O489">
        <v>5502</v>
      </c>
      <c r="P489">
        <v>6169</v>
      </c>
    </row>
    <row r="490" spans="1:16" x14ac:dyDescent="0.3">
      <c r="A490">
        <v>489</v>
      </c>
      <c r="B490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22.96</v>
      </c>
      <c r="K490">
        <v>26.862100000000002</v>
      </c>
      <c r="L490">
        <v>76.833299999999994</v>
      </c>
      <c r="M490">
        <v>8.9576320000000003</v>
      </c>
      <c r="N490">
        <v>764</v>
      </c>
      <c r="O490">
        <v>5657</v>
      </c>
      <c r="P490">
        <v>6421</v>
      </c>
    </row>
    <row r="491" spans="1:16" x14ac:dyDescent="0.3">
      <c r="A491">
        <v>490</v>
      </c>
      <c r="B49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25.727499999999999</v>
      </c>
      <c r="K491">
        <v>29.545850000000002</v>
      </c>
      <c r="L491">
        <v>73.541700000000006</v>
      </c>
      <c r="M491">
        <v>10.916846</v>
      </c>
      <c r="N491">
        <v>1069</v>
      </c>
      <c r="O491">
        <v>5227</v>
      </c>
      <c r="P491">
        <v>6296</v>
      </c>
    </row>
    <row r="492" spans="1:16" x14ac:dyDescent="0.3">
      <c r="A492">
        <v>491</v>
      </c>
      <c r="B492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25.488347000000001</v>
      </c>
      <c r="K492">
        <v>29.230399999999999</v>
      </c>
      <c r="L492">
        <v>75.666700000000006</v>
      </c>
      <c r="M492">
        <v>10.250463999999999</v>
      </c>
      <c r="N492">
        <v>2496</v>
      </c>
      <c r="O492">
        <v>4387</v>
      </c>
      <c r="P492">
        <v>6883</v>
      </c>
    </row>
    <row r="493" spans="1:16" x14ac:dyDescent="0.3">
      <c r="A493">
        <v>492</v>
      </c>
      <c r="B493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23.0625</v>
      </c>
      <c r="K493">
        <v>27.336849999999998</v>
      </c>
      <c r="L493">
        <v>74</v>
      </c>
      <c r="M493">
        <v>10.041893</v>
      </c>
      <c r="N493">
        <v>2135</v>
      </c>
      <c r="O493">
        <v>4224</v>
      </c>
      <c r="P493">
        <v>6359</v>
      </c>
    </row>
    <row r="494" spans="1:16" x14ac:dyDescent="0.3">
      <c r="A494">
        <v>493</v>
      </c>
      <c r="B494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22.037500000000001</v>
      </c>
      <c r="K494">
        <v>26.357099999999999</v>
      </c>
      <c r="L494">
        <v>66.416700000000006</v>
      </c>
      <c r="M494">
        <v>15.458307</v>
      </c>
      <c r="N494">
        <v>1008</v>
      </c>
      <c r="O494">
        <v>5265</v>
      </c>
      <c r="P494">
        <v>6273</v>
      </c>
    </row>
    <row r="495" spans="1:16" x14ac:dyDescent="0.3">
      <c r="A495">
        <v>494</v>
      </c>
      <c r="B495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23.848347</v>
      </c>
      <c r="K495">
        <v>27.873550000000002</v>
      </c>
      <c r="L495">
        <v>68.583299999999994</v>
      </c>
      <c r="M495">
        <v>19.833943000000001</v>
      </c>
      <c r="N495">
        <v>738</v>
      </c>
      <c r="O495">
        <v>4990</v>
      </c>
      <c r="P495">
        <v>5728</v>
      </c>
    </row>
    <row r="496" spans="1:16" x14ac:dyDescent="0.3">
      <c r="A496">
        <v>495</v>
      </c>
      <c r="B496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23.574999999999999</v>
      </c>
      <c r="K496">
        <v>27.651250000000001</v>
      </c>
      <c r="L496">
        <v>74.416700000000006</v>
      </c>
      <c r="M496">
        <v>14.499604</v>
      </c>
      <c r="N496">
        <v>620</v>
      </c>
      <c r="O496">
        <v>4097</v>
      </c>
      <c r="P496">
        <v>4717</v>
      </c>
    </row>
    <row r="497" spans="1:16" x14ac:dyDescent="0.3">
      <c r="A497">
        <v>496</v>
      </c>
      <c r="B497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20.739153000000002</v>
      </c>
      <c r="K497">
        <v>24.58915</v>
      </c>
      <c r="L497">
        <v>55.208300000000001</v>
      </c>
      <c r="M497">
        <v>21.042221000000001</v>
      </c>
      <c r="N497">
        <v>1026</v>
      </c>
      <c r="O497">
        <v>5546</v>
      </c>
      <c r="P497">
        <v>6572</v>
      </c>
    </row>
    <row r="498" spans="1:16" x14ac:dyDescent="0.3">
      <c r="A498">
        <v>497</v>
      </c>
      <c r="B498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21.866652999999999</v>
      </c>
      <c r="K498">
        <v>26.041650000000001</v>
      </c>
      <c r="L498">
        <v>36.041699999999999</v>
      </c>
      <c r="M498">
        <v>15.874779</v>
      </c>
      <c r="N498">
        <v>1319</v>
      </c>
      <c r="O498">
        <v>5711</v>
      </c>
      <c r="P498">
        <v>7030</v>
      </c>
    </row>
    <row r="499" spans="1:16" x14ac:dyDescent="0.3">
      <c r="A499">
        <v>498</v>
      </c>
      <c r="B499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23.130846999999999</v>
      </c>
      <c r="K499">
        <v>27.240849999999998</v>
      </c>
      <c r="L499">
        <v>48.041699999999999</v>
      </c>
      <c r="M499">
        <v>8.2499110000000009</v>
      </c>
      <c r="N499">
        <v>2622</v>
      </c>
      <c r="O499">
        <v>4807</v>
      </c>
      <c r="P499">
        <v>7429</v>
      </c>
    </row>
    <row r="500" spans="1:16" x14ac:dyDescent="0.3">
      <c r="A500">
        <v>499</v>
      </c>
      <c r="B500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25.112500000000001</v>
      </c>
      <c r="K500">
        <v>29.261900000000001</v>
      </c>
      <c r="L500">
        <v>57.625</v>
      </c>
      <c r="M500">
        <v>15.082839</v>
      </c>
      <c r="N500">
        <v>2172</v>
      </c>
      <c r="O500">
        <v>3946</v>
      </c>
      <c r="P500">
        <v>6118</v>
      </c>
    </row>
    <row r="501" spans="1:16" x14ac:dyDescent="0.3">
      <c r="A501">
        <v>500</v>
      </c>
      <c r="B50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23.506653</v>
      </c>
      <c r="K501">
        <v>27.495000000000001</v>
      </c>
      <c r="L501">
        <v>78.958299999999994</v>
      </c>
      <c r="M501">
        <v>14.250363999999999</v>
      </c>
      <c r="N501">
        <v>342</v>
      </c>
      <c r="O501">
        <v>2501</v>
      </c>
      <c r="P501">
        <v>2843</v>
      </c>
    </row>
    <row r="502" spans="1:16" x14ac:dyDescent="0.3">
      <c r="A502">
        <v>501</v>
      </c>
      <c r="B502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25.078347000000001</v>
      </c>
      <c r="K502">
        <v>28.8202</v>
      </c>
      <c r="L502">
        <v>79.458299999999994</v>
      </c>
      <c r="M502">
        <v>9.8752639999999996</v>
      </c>
      <c r="N502">
        <v>625</v>
      </c>
      <c r="O502">
        <v>4490</v>
      </c>
      <c r="P502">
        <v>5115</v>
      </c>
    </row>
    <row r="503" spans="1:16" x14ac:dyDescent="0.3">
      <c r="A503">
        <v>502</v>
      </c>
      <c r="B503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26.103346999999999</v>
      </c>
      <c r="K503">
        <v>29.798749999999998</v>
      </c>
      <c r="L503">
        <v>69.791700000000006</v>
      </c>
      <c r="M503">
        <v>8.208304</v>
      </c>
      <c r="N503">
        <v>991</v>
      </c>
      <c r="O503">
        <v>6433</v>
      </c>
      <c r="P503">
        <v>7424</v>
      </c>
    </row>
    <row r="504" spans="1:16" x14ac:dyDescent="0.3">
      <c r="A504">
        <v>503</v>
      </c>
      <c r="B504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24.326653</v>
      </c>
      <c r="K504">
        <v>28.630649999999999</v>
      </c>
      <c r="L504">
        <v>52</v>
      </c>
      <c r="M504">
        <v>15.374825</v>
      </c>
      <c r="N504">
        <v>1242</v>
      </c>
      <c r="O504">
        <v>6142</v>
      </c>
      <c r="P504">
        <v>7384</v>
      </c>
    </row>
    <row r="505" spans="1:16" x14ac:dyDescent="0.3">
      <c r="A505">
        <v>504</v>
      </c>
      <c r="B505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23.130846999999999</v>
      </c>
      <c r="K505">
        <v>27.556049999999999</v>
      </c>
      <c r="L505">
        <v>52.333300000000001</v>
      </c>
      <c r="M505">
        <v>9.1667389999999997</v>
      </c>
      <c r="N505">
        <v>1521</v>
      </c>
      <c r="O505">
        <v>6118</v>
      </c>
      <c r="P505">
        <v>7639</v>
      </c>
    </row>
    <row r="506" spans="1:16" x14ac:dyDescent="0.3">
      <c r="A506">
        <v>505</v>
      </c>
      <c r="B506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24.6</v>
      </c>
      <c r="K506">
        <v>28.345400000000001</v>
      </c>
      <c r="L506">
        <v>45.625</v>
      </c>
      <c r="M506">
        <v>5.6263249999999996</v>
      </c>
      <c r="N506">
        <v>3410</v>
      </c>
      <c r="O506">
        <v>4884</v>
      </c>
      <c r="P506">
        <v>8294</v>
      </c>
    </row>
    <row r="507" spans="1:16" x14ac:dyDescent="0.3">
      <c r="A507">
        <v>506</v>
      </c>
      <c r="B507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25.454153000000002</v>
      </c>
      <c r="K507">
        <v>29.198350000000001</v>
      </c>
      <c r="L507">
        <v>53.041699999999999</v>
      </c>
      <c r="M507">
        <v>17.042589</v>
      </c>
      <c r="N507">
        <v>2704</v>
      </c>
      <c r="O507">
        <v>4425</v>
      </c>
      <c r="P507">
        <v>7129</v>
      </c>
    </row>
    <row r="508" spans="1:16" x14ac:dyDescent="0.3">
      <c r="A508">
        <v>507</v>
      </c>
      <c r="B508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24.531652999999999</v>
      </c>
      <c r="K508">
        <v>28.283349999999999</v>
      </c>
      <c r="L508">
        <v>81.125</v>
      </c>
      <c r="M508">
        <v>15.624668</v>
      </c>
      <c r="N508">
        <v>630</v>
      </c>
      <c r="O508">
        <v>3729</v>
      </c>
      <c r="P508">
        <v>4359</v>
      </c>
    </row>
    <row r="509" spans="1:16" x14ac:dyDescent="0.3">
      <c r="A509">
        <v>508</v>
      </c>
      <c r="B509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25.215</v>
      </c>
      <c r="K509">
        <v>29.041250000000002</v>
      </c>
      <c r="L509">
        <v>76.583299999999994</v>
      </c>
      <c r="M509">
        <v>7.9171889999999996</v>
      </c>
      <c r="N509">
        <v>819</v>
      </c>
      <c r="O509">
        <v>5254</v>
      </c>
      <c r="P509">
        <v>6073</v>
      </c>
    </row>
    <row r="510" spans="1:16" x14ac:dyDescent="0.3">
      <c r="A510">
        <v>509</v>
      </c>
      <c r="B510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25.488347000000001</v>
      </c>
      <c r="K510">
        <v>29.230599999999999</v>
      </c>
      <c r="L510">
        <v>77.458299999999994</v>
      </c>
      <c r="M510">
        <v>6.8339999999999996</v>
      </c>
      <c r="N510">
        <v>766</v>
      </c>
      <c r="O510">
        <v>4494</v>
      </c>
      <c r="P510">
        <v>5260</v>
      </c>
    </row>
    <row r="511" spans="1:16" x14ac:dyDescent="0.3">
      <c r="A511">
        <v>510</v>
      </c>
      <c r="B51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26.855</v>
      </c>
      <c r="K511">
        <v>30.335000000000001</v>
      </c>
      <c r="L511">
        <v>71.666700000000006</v>
      </c>
      <c r="M511">
        <v>11.584032000000001</v>
      </c>
      <c r="N511">
        <v>1059</v>
      </c>
      <c r="O511">
        <v>5711</v>
      </c>
      <c r="P511">
        <v>6770</v>
      </c>
    </row>
    <row r="512" spans="1:16" x14ac:dyDescent="0.3">
      <c r="A512">
        <v>511</v>
      </c>
      <c r="B512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27.88</v>
      </c>
      <c r="K512">
        <v>31.376449999999998</v>
      </c>
      <c r="L512">
        <v>74.708299999999994</v>
      </c>
      <c r="M512">
        <v>9.4168500000000002</v>
      </c>
      <c r="N512">
        <v>1417</v>
      </c>
      <c r="O512">
        <v>5317</v>
      </c>
      <c r="P512">
        <v>6734</v>
      </c>
    </row>
    <row r="513" spans="1:16" x14ac:dyDescent="0.3">
      <c r="A513">
        <v>512</v>
      </c>
      <c r="B513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28.392499999999998</v>
      </c>
      <c r="K513">
        <v>32.134799999999998</v>
      </c>
      <c r="L513">
        <v>73.25</v>
      </c>
      <c r="M513">
        <v>13.332464</v>
      </c>
      <c r="N513">
        <v>2855</v>
      </c>
      <c r="O513">
        <v>3681</v>
      </c>
      <c r="P513">
        <v>6536</v>
      </c>
    </row>
    <row r="514" spans="1:16" x14ac:dyDescent="0.3">
      <c r="A514">
        <v>513</v>
      </c>
      <c r="B514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28.29</v>
      </c>
      <c r="K514">
        <v>32.071249999999999</v>
      </c>
      <c r="L514">
        <v>69.708299999999994</v>
      </c>
      <c r="M514">
        <v>14.416456999999999</v>
      </c>
      <c r="N514">
        <v>3283</v>
      </c>
      <c r="O514">
        <v>3308</v>
      </c>
      <c r="P514">
        <v>6591</v>
      </c>
    </row>
    <row r="515" spans="1:16" x14ac:dyDescent="0.3">
      <c r="A515">
        <v>514</v>
      </c>
      <c r="B515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29.212499999999999</v>
      </c>
      <c r="K515">
        <v>33.965000000000003</v>
      </c>
      <c r="L515">
        <v>67.625</v>
      </c>
      <c r="M515">
        <v>13.166907</v>
      </c>
      <c r="N515">
        <v>2557</v>
      </c>
      <c r="O515">
        <v>3486</v>
      </c>
      <c r="P515">
        <v>6043</v>
      </c>
    </row>
    <row r="516" spans="1:16" x14ac:dyDescent="0.3">
      <c r="A516">
        <v>515</v>
      </c>
      <c r="B516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29.622499999999999</v>
      </c>
      <c r="K516">
        <v>33.6496</v>
      </c>
      <c r="L516">
        <v>68.458299999999994</v>
      </c>
      <c r="M516">
        <v>19.791799999999999</v>
      </c>
      <c r="N516">
        <v>880</v>
      </c>
      <c r="O516">
        <v>4863</v>
      </c>
      <c r="P516">
        <v>5743</v>
      </c>
    </row>
    <row r="517" spans="1:16" x14ac:dyDescent="0.3">
      <c r="A517">
        <v>516</v>
      </c>
      <c r="B517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26.923347</v>
      </c>
      <c r="K517">
        <v>30.556450000000002</v>
      </c>
      <c r="L517">
        <v>67</v>
      </c>
      <c r="M517">
        <v>9.0000429999999998</v>
      </c>
      <c r="N517">
        <v>745</v>
      </c>
      <c r="O517">
        <v>6110</v>
      </c>
      <c r="P517">
        <v>6855</v>
      </c>
    </row>
    <row r="518" spans="1:16" x14ac:dyDescent="0.3">
      <c r="A518">
        <v>517</v>
      </c>
      <c r="B518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27.88</v>
      </c>
      <c r="K518">
        <v>31.56645</v>
      </c>
      <c r="L518">
        <v>49.291699999999999</v>
      </c>
      <c r="M518">
        <v>13.083693</v>
      </c>
      <c r="N518">
        <v>1100</v>
      </c>
      <c r="O518">
        <v>6238</v>
      </c>
      <c r="P518">
        <v>7338</v>
      </c>
    </row>
    <row r="519" spans="1:16" x14ac:dyDescent="0.3">
      <c r="A519">
        <v>518</v>
      </c>
      <c r="B519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26.820847000000001</v>
      </c>
      <c r="K519">
        <v>30.398099999999999</v>
      </c>
      <c r="L519">
        <v>75.541700000000006</v>
      </c>
      <c r="M519">
        <v>15.916721000000001</v>
      </c>
      <c r="N519">
        <v>533</v>
      </c>
      <c r="O519">
        <v>3594</v>
      </c>
      <c r="P519">
        <v>4127</v>
      </c>
    </row>
    <row r="520" spans="1:16" x14ac:dyDescent="0.3">
      <c r="A520">
        <v>519</v>
      </c>
      <c r="B520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23.916653</v>
      </c>
      <c r="K520">
        <v>28.314399999999999</v>
      </c>
      <c r="L520">
        <v>54.916699999999999</v>
      </c>
      <c r="M520">
        <v>12.499654</v>
      </c>
      <c r="N520">
        <v>2795</v>
      </c>
      <c r="O520">
        <v>5325</v>
      </c>
      <c r="P520">
        <v>8120</v>
      </c>
    </row>
    <row r="521" spans="1:16" x14ac:dyDescent="0.3">
      <c r="A521">
        <v>520</v>
      </c>
      <c r="B52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24.702500000000001</v>
      </c>
      <c r="K521">
        <v>28.75665</v>
      </c>
      <c r="L521">
        <v>49.333300000000001</v>
      </c>
      <c r="M521">
        <v>12.333829</v>
      </c>
      <c r="N521">
        <v>2494</v>
      </c>
      <c r="O521">
        <v>5147</v>
      </c>
      <c r="P521">
        <v>7641</v>
      </c>
    </row>
    <row r="522" spans="1:16" x14ac:dyDescent="0.3">
      <c r="A522">
        <v>521</v>
      </c>
      <c r="B522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24.497499999999999</v>
      </c>
      <c r="K522">
        <v>28.914149999999999</v>
      </c>
      <c r="L522">
        <v>48.708300000000001</v>
      </c>
      <c r="M522">
        <v>19.083811000000001</v>
      </c>
      <c r="N522">
        <v>1071</v>
      </c>
      <c r="O522">
        <v>5927</v>
      </c>
      <c r="P522">
        <v>6998</v>
      </c>
    </row>
    <row r="523" spans="1:16" x14ac:dyDescent="0.3">
      <c r="A523">
        <v>522</v>
      </c>
      <c r="B523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22.174153</v>
      </c>
      <c r="K523">
        <v>26.294599999999999</v>
      </c>
      <c r="L523">
        <v>61.333300000000001</v>
      </c>
      <c r="M523">
        <v>14.041525</v>
      </c>
      <c r="N523">
        <v>968</v>
      </c>
      <c r="O523">
        <v>6033</v>
      </c>
      <c r="P523">
        <v>7001</v>
      </c>
    </row>
    <row r="524" spans="1:16" x14ac:dyDescent="0.3">
      <c r="A524">
        <v>523</v>
      </c>
      <c r="B524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22.720846999999999</v>
      </c>
      <c r="K524">
        <v>27.114599999999999</v>
      </c>
      <c r="L524">
        <v>61.125</v>
      </c>
      <c r="M524">
        <v>5.1673749999999998</v>
      </c>
      <c r="N524">
        <v>1027</v>
      </c>
      <c r="O524">
        <v>6028</v>
      </c>
      <c r="P524">
        <v>7055</v>
      </c>
    </row>
    <row r="525" spans="1:16" x14ac:dyDescent="0.3">
      <c r="A525">
        <v>524</v>
      </c>
      <c r="B525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24.702500000000001</v>
      </c>
      <c r="K525">
        <v>28.472100000000001</v>
      </c>
      <c r="L525">
        <v>56.708300000000001</v>
      </c>
      <c r="M525">
        <v>10.542450000000001</v>
      </c>
      <c r="N525">
        <v>1038</v>
      </c>
      <c r="O525">
        <v>6456</v>
      </c>
      <c r="P525">
        <v>7494</v>
      </c>
    </row>
    <row r="526" spans="1:16" x14ac:dyDescent="0.3">
      <c r="A526">
        <v>525</v>
      </c>
      <c r="B526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26.615846999999999</v>
      </c>
      <c r="K526">
        <v>29.8931</v>
      </c>
      <c r="L526">
        <v>46.791699999999999</v>
      </c>
      <c r="M526">
        <v>11.750660999999999</v>
      </c>
      <c r="N526">
        <v>1488</v>
      </c>
      <c r="O526">
        <v>6248</v>
      </c>
      <c r="P526">
        <v>7736</v>
      </c>
    </row>
    <row r="527" spans="1:16" x14ac:dyDescent="0.3">
      <c r="A527">
        <v>526</v>
      </c>
      <c r="B527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29.144152999999999</v>
      </c>
      <c r="K527">
        <v>32.418349999999997</v>
      </c>
      <c r="L527">
        <v>43.708300000000001</v>
      </c>
      <c r="M527">
        <v>9.6672290000000007</v>
      </c>
      <c r="N527">
        <v>2708</v>
      </c>
      <c r="O527">
        <v>4790</v>
      </c>
      <c r="P527">
        <v>7498</v>
      </c>
    </row>
    <row r="528" spans="1:16" x14ac:dyDescent="0.3">
      <c r="A528">
        <v>527</v>
      </c>
      <c r="B528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29.793347000000001</v>
      </c>
      <c r="K528">
        <v>33.175849999999997</v>
      </c>
      <c r="L528">
        <v>53.833300000000001</v>
      </c>
      <c r="M528">
        <v>8.9593070000000008</v>
      </c>
      <c r="N528">
        <v>2224</v>
      </c>
      <c r="O528">
        <v>4374</v>
      </c>
      <c r="P528">
        <v>6598</v>
      </c>
    </row>
    <row r="529" spans="1:16" x14ac:dyDescent="0.3">
      <c r="A529">
        <v>528</v>
      </c>
      <c r="B529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29.554152999999999</v>
      </c>
      <c r="K529">
        <v>32.986049999999999</v>
      </c>
      <c r="L529">
        <v>58.791699999999999</v>
      </c>
      <c r="M529">
        <v>13.916771000000001</v>
      </c>
      <c r="N529">
        <v>1017</v>
      </c>
      <c r="O529">
        <v>5647</v>
      </c>
      <c r="P529">
        <v>6664</v>
      </c>
    </row>
    <row r="530" spans="1:16" x14ac:dyDescent="0.3">
      <c r="A530">
        <v>529</v>
      </c>
      <c r="B530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26.786653000000001</v>
      </c>
      <c r="K530">
        <v>29.893750000000001</v>
      </c>
      <c r="L530">
        <v>83.333299999999994</v>
      </c>
      <c r="M530">
        <v>14.374582</v>
      </c>
      <c r="N530">
        <v>477</v>
      </c>
      <c r="O530">
        <v>4495</v>
      </c>
      <c r="P530">
        <v>4972</v>
      </c>
    </row>
    <row r="531" spans="1:16" x14ac:dyDescent="0.3">
      <c r="A531">
        <v>530</v>
      </c>
      <c r="B53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26.889153</v>
      </c>
      <c r="K531">
        <v>30.55585</v>
      </c>
      <c r="L531">
        <v>58.208300000000001</v>
      </c>
      <c r="M531">
        <v>22.999693000000001</v>
      </c>
      <c r="N531">
        <v>1173</v>
      </c>
      <c r="O531">
        <v>6248</v>
      </c>
      <c r="P531">
        <v>7421</v>
      </c>
    </row>
    <row r="532" spans="1:16" x14ac:dyDescent="0.3">
      <c r="A532">
        <v>531</v>
      </c>
      <c r="B532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26.581652999999999</v>
      </c>
      <c r="K532">
        <v>31.219149999999999</v>
      </c>
      <c r="L532">
        <v>56.958300000000001</v>
      </c>
      <c r="M532">
        <v>17.000111</v>
      </c>
      <c r="N532">
        <v>1180</v>
      </c>
      <c r="O532">
        <v>6183</v>
      </c>
      <c r="P532">
        <v>7363</v>
      </c>
    </row>
    <row r="533" spans="1:16" x14ac:dyDescent="0.3">
      <c r="A533">
        <v>532</v>
      </c>
      <c r="B533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26.205846999999999</v>
      </c>
      <c r="K533">
        <v>29.9877</v>
      </c>
      <c r="L533">
        <v>58.958300000000001</v>
      </c>
      <c r="M533">
        <v>11.833339</v>
      </c>
      <c r="N533">
        <v>1563</v>
      </c>
      <c r="O533">
        <v>6102</v>
      </c>
      <c r="P533">
        <v>7665</v>
      </c>
    </row>
    <row r="534" spans="1:16" x14ac:dyDescent="0.3">
      <c r="A534">
        <v>533</v>
      </c>
      <c r="B534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25.898347000000001</v>
      </c>
      <c r="K534">
        <v>29.735399999999998</v>
      </c>
      <c r="L534">
        <v>50.416699999999999</v>
      </c>
      <c r="M534">
        <v>11.166689</v>
      </c>
      <c r="N534">
        <v>2963</v>
      </c>
      <c r="O534">
        <v>4739</v>
      </c>
      <c r="P534">
        <v>7702</v>
      </c>
    </row>
    <row r="535" spans="1:16" x14ac:dyDescent="0.3">
      <c r="A535">
        <v>534</v>
      </c>
      <c r="B535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24.2925</v>
      </c>
      <c r="K535">
        <v>28.598749999999999</v>
      </c>
      <c r="L535">
        <v>59.875</v>
      </c>
      <c r="M535">
        <v>9.7085679999999996</v>
      </c>
      <c r="N535">
        <v>2634</v>
      </c>
      <c r="O535">
        <v>4344</v>
      </c>
      <c r="P535">
        <v>6978</v>
      </c>
    </row>
    <row r="536" spans="1:16" x14ac:dyDescent="0.3">
      <c r="A536">
        <v>535</v>
      </c>
      <c r="B536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23.301653000000002</v>
      </c>
      <c r="K536">
        <v>27.242100000000001</v>
      </c>
      <c r="L536">
        <v>77.791700000000006</v>
      </c>
      <c r="M536">
        <v>11.707981999999999</v>
      </c>
      <c r="N536">
        <v>653</v>
      </c>
      <c r="O536">
        <v>4446</v>
      </c>
      <c r="P536">
        <v>5099</v>
      </c>
    </row>
    <row r="537" spans="1:16" x14ac:dyDescent="0.3">
      <c r="A537">
        <v>536</v>
      </c>
      <c r="B537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28.221653</v>
      </c>
      <c r="K537">
        <v>32.7346</v>
      </c>
      <c r="L537">
        <v>69</v>
      </c>
      <c r="M537">
        <v>9.9171390000000006</v>
      </c>
      <c r="N537">
        <v>968</v>
      </c>
      <c r="O537">
        <v>5857</v>
      </c>
      <c r="P537">
        <v>6825</v>
      </c>
    </row>
    <row r="538" spans="1:16" x14ac:dyDescent="0.3">
      <c r="A538">
        <v>537</v>
      </c>
      <c r="B538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32.082500000000003</v>
      </c>
      <c r="K538">
        <v>36.048749999999998</v>
      </c>
      <c r="L538">
        <v>59.208300000000001</v>
      </c>
      <c r="M538">
        <v>7.6254039999999996</v>
      </c>
      <c r="N538">
        <v>872</v>
      </c>
      <c r="O538">
        <v>5339</v>
      </c>
      <c r="P538">
        <v>6211</v>
      </c>
    </row>
    <row r="539" spans="1:16" x14ac:dyDescent="0.3">
      <c r="A539">
        <v>538</v>
      </c>
      <c r="B539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33.039152999999999</v>
      </c>
      <c r="K539">
        <v>37.627099999999999</v>
      </c>
      <c r="L539">
        <v>56.791699999999999</v>
      </c>
      <c r="M539">
        <v>7.9587289999999999</v>
      </c>
      <c r="N539">
        <v>778</v>
      </c>
      <c r="O539">
        <v>5127</v>
      </c>
      <c r="P539">
        <v>5905</v>
      </c>
    </row>
    <row r="540" spans="1:16" x14ac:dyDescent="0.3">
      <c r="A540">
        <v>539</v>
      </c>
      <c r="B540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31.877500000000001</v>
      </c>
      <c r="K540">
        <v>36.206049999999998</v>
      </c>
      <c r="L540">
        <v>57.375</v>
      </c>
      <c r="M540">
        <v>12.250413999999999</v>
      </c>
      <c r="N540">
        <v>964</v>
      </c>
      <c r="O540">
        <v>4859</v>
      </c>
      <c r="P540">
        <v>5823</v>
      </c>
    </row>
    <row r="541" spans="1:16" x14ac:dyDescent="0.3">
      <c r="A541">
        <v>540</v>
      </c>
      <c r="B54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29.998346999999999</v>
      </c>
      <c r="K541">
        <v>32.639600000000002</v>
      </c>
      <c r="L541">
        <v>53.458300000000001</v>
      </c>
      <c r="M541">
        <v>12.041307</v>
      </c>
      <c r="N541">
        <v>2657</v>
      </c>
      <c r="O541">
        <v>4801</v>
      </c>
      <c r="P541">
        <v>7458</v>
      </c>
    </row>
    <row r="542" spans="1:16" x14ac:dyDescent="0.3">
      <c r="A542">
        <v>541</v>
      </c>
      <c r="B542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30.476652999999999</v>
      </c>
      <c r="K542">
        <v>33.712699999999998</v>
      </c>
      <c r="L542">
        <v>47.916699999999999</v>
      </c>
      <c r="M542">
        <v>9.7501750000000005</v>
      </c>
      <c r="N542">
        <v>2551</v>
      </c>
      <c r="O542">
        <v>4340</v>
      </c>
      <c r="P542">
        <v>6891</v>
      </c>
    </row>
    <row r="543" spans="1:16" x14ac:dyDescent="0.3">
      <c r="A543">
        <v>542</v>
      </c>
      <c r="B543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29.349153000000001</v>
      </c>
      <c r="K543">
        <v>32.702100000000002</v>
      </c>
      <c r="L543">
        <v>50.416699999999999</v>
      </c>
      <c r="M543">
        <v>20.125661000000001</v>
      </c>
      <c r="N543">
        <v>1139</v>
      </c>
      <c r="O543">
        <v>5640</v>
      </c>
      <c r="P543">
        <v>6779</v>
      </c>
    </row>
    <row r="544" spans="1:16" x14ac:dyDescent="0.3">
      <c r="A544">
        <v>543</v>
      </c>
      <c r="B544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25.864153000000002</v>
      </c>
      <c r="K544">
        <v>29.735199999999999</v>
      </c>
      <c r="L544">
        <v>37.333300000000001</v>
      </c>
      <c r="M544">
        <v>23.292014000000002</v>
      </c>
      <c r="N544">
        <v>1077</v>
      </c>
      <c r="O544">
        <v>6365</v>
      </c>
      <c r="P544">
        <v>7442</v>
      </c>
    </row>
    <row r="545" spans="1:16" x14ac:dyDescent="0.3">
      <c r="A545">
        <v>544</v>
      </c>
      <c r="B545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28.5975</v>
      </c>
      <c r="K545">
        <v>32.0396</v>
      </c>
      <c r="L545">
        <v>36</v>
      </c>
      <c r="M545">
        <v>18.208925000000001</v>
      </c>
      <c r="N545">
        <v>1077</v>
      </c>
      <c r="O545">
        <v>6258</v>
      </c>
      <c r="P545">
        <v>7335</v>
      </c>
    </row>
    <row r="546" spans="1:16" x14ac:dyDescent="0.3">
      <c r="A546">
        <v>545</v>
      </c>
      <c r="B546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30.715847</v>
      </c>
      <c r="K546">
        <v>33.775599999999997</v>
      </c>
      <c r="L546">
        <v>42.25</v>
      </c>
      <c r="M546">
        <v>11.50055</v>
      </c>
      <c r="N546">
        <v>921</v>
      </c>
      <c r="O546">
        <v>5958</v>
      </c>
      <c r="P546">
        <v>6879</v>
      </c>
    </row>
    <row r="547" spans="1:16" x14ac:dyDescent="0.3">
      <c r="A547">
        <v>546</v>
      </c>
      <c r="B547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34.200847000000003</v>
      </c>
      <c r="K547">
        <v>39.330649999999999</v>
      </c>
      <c r="L547">
        <v>48.875</v>
      </c>
      <c r="M547">
        <v>11.082939</v>
      </c>
      <c r="N547">
        <v>829</v>
      </c>
      <c r="O547">
        <v>4634</v>
      </c>
      <c r="P547">
        <v>5463</v>
      </c>
    </row>
    <row r="548" spans="1:16" x14ac:dyDescent="0.3">
      <c r="A548">
        <v>547</v>
      </c>
      <c r="B548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31.364999999999998</v>
      </c>
      <c r="K548">
        <v>34.375399999999999</v>
      </c>
      <c r="L548">
        <v>60.125</v>
      </c>
      <c r="M548">
        <v>10.791757</v>
      </c>
      <c r="N548">
        <v>1455</v>
      </c>
      <c r="O548">
        <v>4232</v>
      </c>
      <c r="P548">
        <v>5687</v>
      </c>
    </row>
    <row r="549" spans="1:16" x14ac:dyDescent="0.3">
      <c r="A549">
        <v>548</v>
      </c>
      <c r="B549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33.449153000000003</v>
      </c>
      <c r="K549">
        <v>37.53145</v>
      </c>
      <c r="L549">
        <v>51.875</v>
      </c>
      <c r="M549">
        <v>11.291442999999999</v>
      </c>
      <c r="N549">
        <v>1421</v>
      </c>
      <c r="O549">
        <v>4110</v>
      </c>
      <c r="P549">
        <v>5531</v>
      </c>
    </row>
    <row r="550" spans="1:16" x14ac:dyDescent="0.3">
      <c r="A550">
        <v>549</v>
      </c>
      <c r="B550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32.048347</v>
      </c>
      <c r="K550">
        <v>35.101900000000001</v>
      </c>
      <c r="L550">
        <v>44.708300000000001</v>
      </c>
      <c r="M550">
        <v>13.082889</v>
      </c>
      <c r="N550">
        <v>904</v>
      </c>
      <c r="O550">
        <v>5323</v>
      </c>
      <c r="P550">
        <v>6227</v>
      </c>
    </row>
    <row r="551" spans="1:16" x14ac:dyDescent="0.3">
      <c r="A551">
        <v>550</v>
      </c>
      <c r="B55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32.014153</v>
      </c>
      <c r="K551">
        <v>35.1325</v>
      </c>
      <c r="L551">
        <v>49.208300000000001</v>
      </c>
      <c r="M551">
        <v>8.4578790000000001</v>
      </c>
      <c r="N551">
        <v>1052</v>
      </c>
      <c r="O551">
        <v>5608</v>
      </c>
      <c r="P551">
        <v>6660</v>
      </c>
    </row>
    <row r="552" spans="1:16" x14ac:dyDescent="0.3">
      <c r="A552">
        <v>551</v>
      </c>
      <c r="B552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32.355846999999997</v>
      </c>
      <c r="K552">
        <v>36.616849999999999</v>
      </c>
      <c r="L552">
        <v>53.875</v>
      </c>
      <c r="M552">
        <v>9.0416500000000006</v>
      </c>
      <c r="N552">
        <v>2562</v>
      </c>
      <c r="O552">
        <v>4841</v>
      </c>
      <c r="P552">
        <v>7403</v>
      </c>
    </row>
    <row r="553" spans="1:16" x14ac:dyDescent="0.3">
      <c r="A553">
        <v>552</v>
      </c>
      <c r="B553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33.927500000000002</v>
      </c>
      <c r="K553">
        <v>38.068350000000002</v>
      </c>
      <c r="L553">
        <v>45.791699999999999</v>
      </c>
      <c r="M553">
        <v>12.999943</v>
      </c>
      <c r="N553">
        <v>1405</v>
      </c>
      <c r="O553">
        <v>4836</v>
      </c>
      <c r="P553">
        <v>6241</v>
      </c>
    </row>
    <row r="554" spans="1:16" x14ac:dyDescent="0.3">
      <c r="A554">
        <v>553</v>
      </c>
      <c r="B554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33.961652999999998</v>
      </c>
      <c r="K554">
        <v>37.626649999999998</v>
      </c>
      <c r="L554">
        <v>45.083300000000001</v>
      </c>
      <c r="M554">
        <v>9.7915139999999994</v>
      </c>
      <c r="N554">
        <v>1366</v>
      </c>
      <c r="O554">
        <v>4841</v>
      </c>
      <c r="P554">
        <v>6207</v>
      </c>
    </row>
    <row r="555" spans="1:16" x14ac:dyDescent="0.3">
      <c r="A555">
        <v>554</v>
      </c>
      <c r="B555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35.328347000000001</v>
      </c>
      <c r="K555">
        <v>40.245649999999998</v>
      </c>
      <c r="L555">
        <v>49.208300000000001</v>
      </c>
      <c r="M555">
        <v>10.958118000000001</v>
      </c>
      <c r="N555">
        <v>1448</v>
      </c>
      <c r="O555">
        <v>3392</v>
      </c>
      <c r="P555">
        <v>4840</v>
      </c>
    </row>
    <row r="556" spans="1:16" x14ac:dyDescent="0.3">
      <c r="A556">
        <v>555</v>
      </c>
      <c r="B556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33.722499999999997</v>
      </c>
      <c r="K556">
        <v>39.519799999999996</v>
      </c>
      <c r="L556">
        <v>57.375</v>
      </c>
      <c r="M556">
        <v>8.4171429999999994</v>
      </c>
      <c r="N556">
        <v>1203</v>
      </c>
      <c r="O556">
        <v>3469</v>
      </c>
      <c r="P556">
        <v>4672</v>
      </c>
    </row>
    <row r="557" spans="1:16" x14ac:dyDescent="0.3">
      <c r="A557">
        <v>556</v>
      </c>
      <c r="B557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29.144152999999999</v>
      </c>
      <c r="K557">
        <v>32.7027</v>
      </c>
      <c r="L557">
        <v>68.333299999999994</v>
      </c>
      <c r="M557">
        <v>12.125325</v>
      </c>
      <c r="N557">
        <v>998</v>
      </c>
      <c r="O557">
        <v>5571</v>
      </c>
      <c r="P557">
        <v>6569</v>
      </c>
    </row>
    <row r="558" spans="1:16" x14ac:dyDescent="0.3">
      <c r="A558">
        <v>557</v>
      </c>
      <c r="B558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29.554152999999999</v>
      </c>
      <c r="K558">
        <v>33.239800000000002</v>
      </c>
      <c r="L558">
        <v>66.75</v>
      </c>
      <c r="M558">
        <v>10.166378999999999</v>
      </c>
      <c r="N558">
        <v>954</v>
      </c>
      <c r="O558">
        <v>5336</v>
      </c>
      <c r="P558">
        <v>6290</v>
      </c>
    </row>
    <row r="559" spans="1:16" x14ac:dyDescent="0.3">
      <c r="A559">
        <v>558</v>
      </c>
      <c r="B559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29.383347000000001</v>
      </c>
      <c r="K559">
        <v>32.513550000000002</v>
      </c>
      <c r="L559">
        <v>63.333300000000001</v>
      </c>
      <c r="M559">
        <v>10.166111000000001</v>
      </c>
      <c r="N559">
        <v>975</v>
      </c>
      <c r="O559">
        <v>6289</v>
      </c>
      <c r="P559">
        <v>7264</v>
      </c>
    </row>
    <row r="560" spans="1:16" x14ac:dyDescent="0.3">
      <c r="A560">
        <v>559</v>
      </c>
      <c r="B560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29.349153000000001</v>
      </c>
      <c r="K560">
        <v>32.73415</v>
      </c>
      <c r="L560">
        <v>52.958300000000001</v>
      </c>
      <c r="M560">
        <v>9.8339250000000007</v>
      </c>
      <c r="N560">
        <v>1032</v>
      </c>
      <c r="O560">
        <v>6414</v>
      </c>
      <c r="P560">
        <v>7446</v>
      </c>
    </row>
    <row r="561" spans="1:16" x14ac:dyDescent="0.3">
      <c r="A561">
        <v>560</v>
      </c>
      <c r="B56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29.998346999999999</v>
      </c>
      <c r="K561">
        <v>33.396650000000001</v>
      </c>
      <c r="L561">
        <v>48.583300000000001</v>
      </c>
      <c r="M561">
        <v>5.4169499999999999</v>
      </c>
      <c r="N561">
        <v>1511</v>
      </c>
      <c r="O561">
        <v>5988</v>
      </c>
      <c r="P561">
        <v>7499</v>
      </c>
    </row>
    <row r="562" spans="1:16" x14ac:dyDescent="0.3">
      <c r="A562">
        <v>561</v>
      </c>
      <c r="B562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28.836652999999998</v>
      </c>
      <c r="K562">
        <v>33.302100000000003</v>
      </c>
      <c r="L562">
        <v>69.916700000000006</v>
      </c>
      <c r="M562">
        <v>9.626493</v>
      </c>
      <c r="N562">
        <v>2355</v>
      </c>
      <c r="O562">
        <v>4614</v>
      </c>
      <c r="P562">
        <v>6969</v>
      </c>
    </row>
    <row r="563" spans="1:16" x14ac:dyDescent="0.3">
      <c r="A563">
        <v>562</v>
      </c>
      <c r="B563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30.579153000000002</v>
      </c>
      <c r="K563">
        <v>35.259799999999998</v>
      </c>
      <c r="L563">
        <v>71.791700000000006</v>
      </c>
      <c r="M563">
        <v>11.166689</v>
      </c>
      <c r="N563">
        <v>1920</v>
      </c>
      <c r="O563">
        <v>4111</v>
      </c>
      <c r="P563">
        <v>6031</v>
      </c>
    </row>
    <row r="564" spans="1:16" x14ac:dyDescent="0.3">
      <c r="A564">
        <v>563</v>
      </c>
      <c r="B564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31.296652999999999</v>
      </c>
      <c r="K564">
        <v>36.206249999999997</v>
      </c>
      <c r="L564">
        <v>64.5</v>
      </c>
      <c r="M564">
        <v>11.000529</v>
      </c>
      <c r="N564">
        <v>1088</v>
      </c>
      <c r="O564">
        <v>5742</v>
      </c>
      <c r="P564">
        <v>6830</v>
      </c>
    </row>
    <row r="565" spans="1:16" x14ac:dyDescent="0.3">
      <c r="A565">
        <v>564</v>
      </c>
      <c r="B565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33.551653000000002</v>
      </c>
      <c r="K565">
        <v>37.784149999999997</v>
      </c>
      <c r="L565">
        <v>50.583300000000001</v>
      </c>
      <c r="M565">
        <v>7.6667430000000003</v>
      </c>
      <c r="N565">
        <v>921</v>
      </c>
      <c r="O565">
        <v>5865</v>
      </c>
      <c r="P565">
        <v>6786</v>
      </c>
    </row>
    <row r="566" spans="1:16" x14ac:dyDescent="0.3">
      <c r="A566">
        <v>565</v>
      </c>
      <c r="B566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32.526653000000003</v>
      </c>
      <c r="K566">
        <v>37.279150000000001</v>
      </c>
      <c r="L566">
        <v>57.708300000000001</v>
      </c>
      <c r="M566">
        <v>9.2086140000000007</v>
      </c>
      <c r="N566">
        <v>799</v>
      </c>
      <c r="O566">
        <v>4914</v>
      </c>
      <c r="P566">
        <v>5713</v>
      </c>
    </row>
    <row r="567" spans="1:16" x14ac:dyDescent="0.3">
      <c r="A567">
        <v>566</v>
      </c>
      <c r="B567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31.57</v>
      </c>
      <c r="K567">
        <v>35.732100000000003</v>
      </c>
      <c r="L567">
        <v>60.041699999999999</v>
      </c>
      <c r="M567">
        <v>11.083743</v>
      </c>
      <c r="N567">
        <v>888</v>
      </c>
      <c r="O567">
        <v>5703</v>
      </c>
      <c r="P567">
        <v>6591</v>
      </c>
    </row>
    <row r="568" spans="1:16" x14ac:dyDescent="0.3">
      <c r="A568">
        <v>567</v>
      </c>
      <c r="B568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27.299153</v>
      </c>
      <c r="K568">
        <v>30.651250000000001</v>
      </c>
      <c r="L568">
        <v>84.416700000000006</v>
      </c>
      <c r="M568">
        <v>14.000788999999999</v>
      </c>
      <c r="N568">
        <v>747</v>
      </c>
      <c r="O568">
        <v>5123</v>
      </c>
      <c r="P568">
        <v>5870</v>
      </c>
    </row>
    <row r="569" spans="1:16" x14ac:dyDescent="0.3">
      <c r="A569">
        <v>568</v>
      </c>
      <c r="B569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24.429152999999999</v>
      </c>
      <c r="K569">
        <v>27.4956</v>
      </c>
      <c r="L569">
        <v>86.541700000000006</v>
      </c>
      <c r="M569">
        <v>14.2911</v>
      </c>
      <c r="N569">
        <v>1264</v>
      </c>
      <c r="O569">
        <v>3195</v>
      </c>
      <c r="P569">
        <v>4459</v>
      </c>
    </row>
    <row r="570" spans="1:16" x14ac:dyDescent="0.3">
      <c r="A570">
        <v>569</v>
      </c>
      <c r="B570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27.3675</v>
      </c>
      <c r="K570">
        <v>31.15625</v>
      </c>
      <c r="L570">
        <v>76.25</v>
      </c>
      <c r="M570">
        <v>6.2926935999999998</v>
      </c>
      <c r="N570">
        <v>2544</v>
      </c>
      <c r="O570">
        <v>4866</v>
      </c>
      <c r="P570">
        <v>7410</v>
      </c>
    </row>
    <row r="571" spans="1:16" x14ac:dyDescent="0.3">
      <c r="A571">
        <v>570</v>
      </c>
      <c r="B57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30.408346999999999</v>
      </c>
      <c r="K571">
        <v>34.50085</v>
      </c>
      <c r="L571">
        <v>69.416700000000006</v>
      </c>
      <c r="M571">
        <v>9.2917609999999993</v>
      </c>
      <c r="N571">
        <v>1135</v>
      </c>
      <c r="O571">
        <v>5831</v>
      </c>
      <c r="P571">
        <v>6966</v>
      </c>
    </row>
    <row r="572" spans="1:16" x14ac:dyDescent="0.3">
      <c r="A572">
        <v>571</v>
      </c>
      <c r="B572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30.784153</v>
      </c>
      <c r="K572">
        <v>35.322499999999998</v>
      </c>
      <c r="L572">
        <v>65.5</v>
      </c>
      <c r="M572">
        <v>14.167418</v>
      </c>
      <c r="N572">
        <v>1140</v>
      </c>
      <c r="O572">
        <v>6452</v>
      </c>
      <c r="P572">
        <v>7592</v>
      </c>
    </row>
    <row r="573" spans="1:16" x14ac:dyDescent="0.3">
      <c r="A573">
        <v>572</v>
      </c>
      <c r="B573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29.690847000000002</v>
      </c>
      <c r="K573">
        <v>32.7027</v>
      </c>
      <c r="L573">
        <v>45</v>
      </c>
      <c r="M573">
        <v>11.041600000000001</v>
      </c>
      <c r="N573">
        <v>1383</v>
      </c>
      <c r="O573">
        <v>6790</v>
      </c>
      <c r="P573">
        <v>8173</v>
      </c>
    </row>
    <row r="574" spans="1:16" x14ac:dyDescent="0.3">
      <c r="A574">
        <v>573</v>
      </c>
      <c r="B574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31.843347000000001</v>
      </c>
      <c r="K574">
        <v>36.963149999999999</v>
      </c>
      <c r="L574">
        <v>59.666699999999999</v>
      </c>
      <c r="M574">
        <v>19.082471000000002</v>
      </c>
      <c r="N574">
        <v>1036</v>
      </c>
      <c r="O574">
        <v>5825</v>
      </c>
      <c r="P574">
        <v>6861</v>
      </c>
    </row>
    <row r="575" spans="1:16" x14ac:dyDescent="0.3">
      <c r="A575">
        <v>574</v>
      </c>
      <c r="B575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32.048347</v>
      </c>
      <c r="K575">
        <v>36.710850000000001</v>
      </c>
      <c r="L575">
        <v>59.458300000000001</v>
      </c>
      <c r="M575">
        <v>10.250463999999999</v>
      </c>
      <c r="N575">
        <v>1259</v>
      </c>
      <c r="O575">
        <v>5645</v>
      </c>
      <c r="P575">
        <v>6904</v>
      </c>
    </row>
    <row r="576" spans="1:16" x14ac:dyDescent="0.3">
      <c r="A576">
        <v>575</v>
      </c>
      <c r="B576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30.989153000000002</v>
      </c>
      <c r="K576">
        <v>34.880200000000002</v>
      </c>
      <c r="L576">
        <v>61.333300000000001</v>
      </c>
      <c r="M576">
        <v>10.542450000000001</v>
      </c>
      <c r="N576">
        <v>2234</v>
      </c>
      <c r="O576">
        <v>4451</v>
      </c>
      <c r="P576">
        <v>6685</v>
      </c>
    </row>
    <row r="577" spans="1:16" x14ac:dyDescent="0.3">
      <c r="A577">
        <v>576</v>
      </c>
      <c r="B577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29.588346999999999</v>
      </c>
      <c r="K577">
        <v>33.396650000000001</v>
      </c>
      <c r="L577">
        <v>62.375</v>
      </c>
      <c r="M577">
        <v>11.416532</v>
      </c>
      <c r="N577">
        <v>2153</v>
      </c>
      <c r="O577">
        <v>4444</v>
      </c>
      <c r="P577">
        <v>6597</v>
      </c>
    </row>
    <row r="578" spans="1:16" x14ac:dyDescent="0.3">
      <c r="A578">
        <v>577</v>
      </c>
      <c r="B578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29.964153</v>
      </c>
      <c r="K578">
        <v>34.24935</v>
      </c>
      <c r="L578">
        <v>66.875</v>
      </c>
      <c r="M578">
        <v>10.292339</v>
      </c>
      <c r="N578">
        <v>1040</v>
      </c>
      <c r="O578">
        <v>6065</v>
      </c>
      <c r="P578">
        <v>7105</v>
      </c>
    </row>
    <row r="579" spans="1:16" x14ac:dyDescent="0.3">
      <c r="A579">
        <v>578</v>
      </c>
      <c r="B579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29.246652999999998</v>
      </c>
      <c r="K579">
        <v>33.144799999999996</v>
      </c>
      <c r="L579">
        <v>70.416700000000006</v>
      </c>
      <c r="M579">
        <v>11.083475</v>
      </c>
      <c r="N579">
        <v>968</v>
      </c>
      <c r="O579">
        <v>6248</v>
      </c>
      <c r="P579">
        <v>7216</v>
      </c>
    </row>
    <row r="580" spans="1:16" x14ac:dyDescent="0.3">
      <c r="A580">
        <v>579</v>
      </c>
      <c r="B580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29.4175</v>
      </c>
      <c r="K580">
        <v>33.365400000000001</v>
      </c>
      <c r="L580">
        <v>67.75</v>
      </c>
      <c r="M580">
        <v>9.4589929999999995</v>
      </c>
      <c r="N580">
        <v>1074</v>
      </c>
      <c r="O580">
        <v>6506</v>
      </c>
      <c r="P580">
        <v>7580</v>
      </c>
    </row>
    <row r="581" spans="1:16" x14ac:dyDescent="0.3">
      <c r="A581">
        <v>580</v>
      </c>
      <c r="B58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30.852499999999999</v>
      </c>
      <c r="K581">
        <v>35.354399999999998</v>
      </c>
      <c r="L581">
        <v>65.958299999999994</v>
      </c>
      <c r="M581">
        <v>8.6667179999999995</v>
      </c>
      <c r="N581">
        <v>983</v>
      </c>
      <c r="O581">
        <v>6278</v>
      </c>
      <c r="P581">
        <v>7261</v>
      </c>
    </row>
    <row r="582" spans="1:16" x14ac:dyDescent="0.3">
      <c r="A582">
        <v>581</v>
      </c>
      <c r="B582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31.399152999999998</v>
      </c>
      <c r="K582">
        <v>36.143349999999998</v>
      </c>
      <c r="L582">
        <v>64.25</v>
      </c>
      <c r="M582">
        <v>14.458064</v>
      </c>
      <c r="N582">
        <v>1328</v>
      </c>
      <c r="O582">
        <v>5847</v>
      </c>
      <c r="P582">
        <v>7175</v>
      </c>
    </row>
    <row r="583" spans="1:16" x14ac:dyDescent="0.3">
      <c r="A583">
        <v>582</v>
      </c>
      <c r="B583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32.526653000000003</v>
      </c>
      <c r="K583">
        <v>37.56335</v>
      </c>
      <c r="L583">
        <v>61.333300000000001</v>
      </c>
      <c r="M583">
        <v>17.249686000000001</v>
      </c>
      <c r="N583">
        <v>2345</v>
      </c>
      <c r="O583">
        <v>4479</v>
      </c>
      <c r="P583">
        <v>6824</v>
      </c>
    </row>
    <row r="584" spans="1:16" x14ac:dyDescent="0.3">
      <c r="A584">
        <v>583</v>
      </c>
      <c r="B584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31.535847</v>
      </c>
      <c r="K584">
        <v>36.55395</v>
      </c>
      <c r="L584">
        <v>65.25</v>
      </c>
      <c r="M584">
        <v>19.458207000000002</v>
      </c>
      <c r="N584">
        <v>1707</v>
      </c>
      <c r="O584">
        <v>3757</v>
      </c>
      <c r="P584">
        <v>5464</v>
      </c>
    </row>
    <row r="585" spans="1:16" x14ac:dyDescent="0.3">
      <c r="A585">
        <v>584</v>
      </c>
      <c r="B585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30.852499999999999</v>
      </c>
      <c r="K585">
        <v>35.512300000000003</v>
      </c>
      <c r="L585">
        <v>65.416700000000006</v>
      </c>
      <c r="M585">
        <v>8.6667179999999995</v>
      </c>
      <c r="N585">
        <v>1233</v>
      </c>
      <c r="O585">
        <v>5780</v>
      </c>
      <c r="P585">
        <v>7013</v>
      </c>
    </row>
    <row r="586" spans="1:16" x14ac:dyDescent="0.3">
      <c r="A586">
        <v>585</v>
      </c>
      <c r="B586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30.169153000000001</v>
      </c>
      <c r="K586">
        <v>34.881050000000002</v>
      </c>
      <c r="L586">
        <v>70.375</v>
      </c>
      <c r="M586">
        <v>7.8328360000000004</v>
      </c>
      <c r="N586">
        <v>1278</v>
      </c>
      <c r="O586">
        <v>5995</v>
      </c>
      <c r="P586">
        <v>7273</v>
      </c>
    </row>
    <row r="587" spans="1:16" x14ac:dyDescent="0.3">
      <c r="A587">
        <v>586</v>
      </c>
      <c r="B587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30.75</v>
      </c>
      <c r="K587">
        <v>35.385849999999998</v>
      </c>
      <c r="L587">
        <v>67.291700000000006</v>
      </c>
      <c r="M587">
        <v>7.4169</v>
      </c>
      <c r="N587">
        <v>1263</v>
      </c>
      <c r="O587">
        <v>6271</v>
      </c>
      <c r="P587">
        <v>7534</v>
      </c>
    </row>
    <row r="588" spans="1:16" x14ac:dyDescent="0.3">
      <c r="A588">
        <v>587</v>
      </c>
      <c r="B588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30.989153000000002</v>
      </c>
      <c r="K588">
        <v>34.9754</v>
      </c>
      <c r="L588">
        <v>62.041699999999999</v>
      </c>
      <c r="M588">
        <v>10.4587</v>
      </c>
      <c r="N588">
        <v>1196</v>
      </c>
      <c r="O588">
        <v>6090</v>
      </c>
      <c r="P588">
        <v>7286</v>
      </c>
    </row>
    <row r="589" spans="1:16" x14ac:dyDescent="0.3">
      <c r="A589">
        <v>588</v>
      </c>
      <c r="B589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29.349153000000001</v>
      </c>
      <c r="K589">
        <v>33.397100000000002</v>
      </c>
      <c r="L589">
        <v>71.583299999999994</v>
      </c>
      <c r="M589">
        <v>16.000471000000001</v>
      </c>
      <c r="N589">
        <v>1065</v>
      </c>
      <c r="O589">
        <v>4721</v>
      </c>
      <c r="P589">
        <v>5786</v>
      </c>
    </row>
    <row r="590" spans="1:16" x14ac:dyDescent="0.3">
      <c r="A590">
        <v>589</v>
      </c>
      <c r="B590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28.392499999999998</v>
      </c>
      <c r="K590">
        <v>31.913350000000001</v>
      </c>
      <c r="L590">
        <v>73.291700000000006</v>
      </c>
      <c r="M590">
        <v>13.834092999999999</v>
      </c>
      <c r="N590">
        <v>2247</v>
      </c>
      <c r="O590">
        <v>4052</v>
      </c>
      <c r="P590">
        <v>6299</v>
      </c>
    </row>
    <row r="591" spans="1:16" x14ac:dyDescent="0.3">
      <c r="A591">
        <v>590</v>
      </c>
      <c r="B59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28.734152999999999</v>
      </c>
      <c r="K591">
        <v>32.228949999999998</v>
      </c>
      <c r="L591">
        <v>53.041699999999999</v>
      </c>
      <c r="M591">
        <v>8.208304</v>
      </c>
      <c r="N591">
        <v>2182</v>
      </c>
      <c r="O591">
        <v>4362</v>
      </c>
      <c r="P591">
        <v>6544</v>
      </c>
    </row>
    <row r="592" spans="1:16" x14ac:dyDescent="0.3">
      <c r="A592">
        <v>591</v>
      </c>
      <c r="B592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29.554152999999999</v>
      </c>
      <c r="K592">
        <v>33.112699999999997</v>
      </c>
      <c r="L592">
        <v>54.541699999999999</v>
      </c>
      <c r="M592">
        <v>9.1262039999999995</v>
      </c>
      <c r="N592">
        <v>1207</v>
      </c>
      <c r="O592">
        <v>5676</v>
      </c>
      <c r="P592">
        <v>6883</v>
      </c>
    </row>
    <row r="593" spans="1:16" x14ac:dyDescent="0.3">
      <c r="A593">
        <v>592</v>
      </c>
      <c r="B593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29.793347000000001</v>
      </c>
      <c r="K593">
        <v>33.838949999999997</v>
      </c>
      <c r="L593">
        <v>68.666700000000006</v>
      </c>
      <c r="M593">
        <v>11.333586</v>
      </c>
      <c r="N593">
        <v>1128</v>
      </c>
      <c r="O593">
        <v>5656</v>
      </c>
      <c r="P593">
        <v>6784</v>
      </c>
    </row>
    <row r="594" spans="1:16" x14ac:dyDescent="0.3">
      <c r="A594">
        <v>593</v>
      </c>
      <c r="B594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28.973347</v>
      </c>
      <c r="K594">
        <v>32.70185</v>
      </c>
      <c r="L594">
        <v>61.958300000000001</v>
      </c>
      <c r="M594">
        <v>11.374656999999999</v>
      </c>
      <c r="N594">
        <v>1198</v>
      </c>
      <c r="O594">
        <v>6149</v>
      </c>
      <c r="P594">
        <v>7347</v>
      </c>
    </row>
    <row r="595" spans="1:16" x14ac:dyDescent="0.3">
      <c r="A595">
        <v>594</v>
      </c>
      <c r="B595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29.485847</v>
      </c>
      <c r="K595">
        <v>32.734400000000001</v>
      </c>
      <c r="L595">
        <v>51.916699999999999</v>
      </c>
      <c r="M595">
        <v>9.5003320000000002</v>
      </c>
      <c r="N595">
        <v>1338</v>
      </c>
      <c r="O595">
        <v>6267</v>
      </c>
      <c r="P595">
        <v>7605</v>
      </c>
    </row>
    <row r="596" spans="1:16" x14ac:dyDescent="0.3">
      <c r="A596">
        <v>595</v>
      </c>
      <c r="B596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29.656652999999999</v>
      </c>
      <c r="K596">
        <v>12.12</v>
      </c>
      <c r="L596">
        <v>57.083300000000001</v>
      </c>
      <c r="M596">
        <v>15.500718000000001</v>
      </c>
      <c r="N596">
        <v>1483</v>
      </c>
      <c r="O596">
        <v>5665</v>
      </c>
      <c r="P596">
        <v>7148</v>
      </c>
    </row>
    <row r="597" spans="1:16" x14ac:dyDescent="0.3">
      <c r="A597">
        <v>596</v>
      </c>
      <c r="B597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27.811653</v>
      </c>
      <c r="K597">
        <v>30.903549999999999</v>
      </c>
      <c r="L597">
        <v>60.333300000000001</v>
      </c>
      <c r="M597">
        <v>11.917089000000001</v>
      </c>
      <c r="N597">
        <v>2827</v>
      </c>
      <c r="O597">
        <v>5038</v>
      </c>
      <c r="P597">
        <v>7865</v>
      </c>
    </row>
    <row r="598" spans="1:16" x14ac:dyDescent="0.3">
      <c r="A598">
        <v>597</v>
      </c>
      <c r="B598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26.069153</v>
      </c>
      <c r="K598">
        <v>30.177700000000002</v>
      </c>
      <c r="L598">
        <v>71.166700000000006</v>
      </c>
      <c r="M598">
        <v>5.7921500000000004</v>
      </c>
      <c r="N598">
        <v>1208</v>
      </c>
      <c r="O598">
        <v>3341</v>
      </c>
      <c r="P598">
        <v>4549</v>
      </c>
    </row>
    <row r="599" spans="1:16" x14ac:dyDescent="0.3">
      <c r="A599">
        <v>598</v>
      </c>
      <c r="B599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26.069153</v>
      </c>
      <c r="K599">
        <v>29.798349999999999</v>
      </c>
      <c r="L599">
        <v>73.416700000000006</v>
      </c>
      <c r="M599">
        <v>8.7085930000000005</v>
      </c>
      <c r="N599">
        <v>1026</v>
      </c>
      <c r="O599">
        <v>5504</v>
      </c>
      <c r="P599">
        <v>6530</v>
      </c>
    </row>
    <row r="600" spans="1:16" x14ac:dyDescent="0.3">
      <c r="A600">
        <v>599</v>
      </c>
      <c r="B600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26.615846999999999</v>
      </c>
      <c r="K600">
        <v>30.05125</v>
      </c>
      <c r="L600">
        <v>67.375</v>
      </c>
      <c r="M600">
        <v>4.8756436000000001</v>
      </c>
      <c r="N600">
        <v>1081</v>
      </c>
      <c r="O600">
        <v>5925</v>
      </c>
      <c r="P600">
        <v>7006</v>
      </c>
    </row>
    <row r="601" spans="1:16" x14ac:dyDescent="0.3">
      <c r="A601">
        <v>600</v>
      </c>
      <c r="B60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27.3675</v>
      </c>
      <c r="K601">
        <v>31.092700000000001</v>
      </c>
      <c r="L601">
        <v>67.708299999999994</v>
      </c>
      <c r="M601">
        <v>4.7089810999999999</v>
      </c>
      <c r="N601">
        <v>1094</v>
      </c>
      <c r="O601">
        <v>6281</v>
      </c>
      <c r="P601">
        <v>7375</v>
      </c>
    </row>
    <row r="602" spans="1:16" x14ac:dyDescent="0.3">
      <c r="A602">
        <v>601</v>
      </c>
      <c r="B602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28.529153000000001</v>
      </c>
      <c r="K602">
        <v>31.8504</v>
      </c>
      <c r="L602">
        <v>63.583300000000001</v>
      </c>
      <c r="M602">
        <v>5.6679186000000001</v>
      </c>
      <c r="N602">
        <v>1363</v>
      </c>
      <c r="O602">
        <v>6402</v>
      </c>
      <c r="P602">
        <v>7765</v>
      </c>
    </row>
    <row r="603" spans="1:16" x14ac:dyDescent="0.3">
      <c r="A603">
        <v>602</v>
      </c>
      <c r="B603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28.802499999999998</v>
      </c>
      <c r="K603">
        <v>32.354999999999997</v>
      </c>
      <c r="L603">
        <v>61.5</v>
      </c>
      <c r="M603">
        <v>4.8337686</v>
      </c>
      <c r="N603">
        <v>1325</v>
      </c>
      <c r="O603">
        <v>6257</v>
      </c>
      <c r="P603">
        <v>7582</v>
      </c>
    </row>
    <row r="604" spans="1:16" x14ac:dyDescent="0.3">
      <c r="A604">
        <v>603</v>
      </c>
      <c r="B604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27.128347000000002</v>
      </c>
      <c r="K604">
        <v>30.934799999999999</v>
      </c>
      <c r="L604">
        <v>71.291700000000006</v>
      </c>
      <c r="M604">
        <v>16.375336000000001</v>
      </c>
      <c r="N604">
        <v>1829</v>
      </c>
      <c r="O604">
        <v>4224</v>
      </c>
      <c r="P604">
        <v>6053</v>
      </c>
    </row>
    <row r="605" spans="1:16" x14ac:dyDescent="0.3">
      <c r="A605">
        <v>604</v>
      </c>
      <c r="B605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26.786653000000001</v>
      </c>
      <c r="K605">
        <v>29.799800000000001</v>
      </c>
      <c r="L605">
        <v>84.583299999999994</v>
      </c>
      <c r="M605">
        <v>15.333486000000001</v>
      </c>
      <c r="N605">
        <v>1483</v>
      </c>
      <c r="O605">
        <v>3772</v>
      </c>
      <c r="P605">
        <v>5255</v>
      </c>
    </row>
    <row r="606" spans="1:16" x14ac:dyDescent="0.3">
      <c r="A606">
        <v>605</v>
      </c>
      <c r="B606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28.836652999999998</v>
      </c>
      <c r="K606">
        <v>32.734400000000001</v>
      </c>
      <c r="L606">
        <v>73.041700000000006</v>
      </c>
      <c r="M606">
        <v>8.6251110000000004</v>
      </c>
      <c r="N606">
        <v>989</v>
      </c>
      <c r="O606">
        <v>5928</v>
      </c>
      <c r="P606">
        <v>6917</v>
      </c>
    </row>
    <row r="607" spans="1:16" x14ac:dyDescent="0.3">
      <c r="A607">
        <v>606</v>
      </c>
      <c r="B607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29.861653</v>
      </c>
      <c r="K607">
        <v>33.302500000000002</v>
      </c>
      <c r="L607">
        <v>62</v>
      </c>
      <c r="M607">
        <v>12.791975000000001</v>
      </c>
      <c r="N607">
        <v>935</v>
      </c>
      <c r="O607">
        <v>6105</v>
      </c>
      <c r="P607">
        <v>7040</v>
      </c>
    </row>
    <row r="608" spans="1:16" x14ac:dyDescent="0.3">
      <c r="A608">
        <v>607</v>
      </c>
      <c r="B608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28.085000000000001</v>
      </c>
      <c r="K608">
        <v>31.786650000000002</v>
      </c>
      <c r="L608">
        <v>55.208300000000001</v>
      </c>
      <c r="M608">
        <v>7.5416540000000003</v>
      </c>
      <c r="N608">
        <v>1177</v>
      </c>
      <c r="O608">
        <v>6520</v>
      </c>
      <c r="P608">
        <v>7697</v>
      </c>
    </row>
    <row r="609" spans="1:16" x14ac:dyDescent="0.3">
      <c r="A609">
        <v>608</v>
      </c>
      <c r="B609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28.973347</v>
      </c>
      <c r="K609">
        <v>32.638950000000001</v>
      </c>
      <c r="L609">
        <v>59.041699999999999</v>
      </c>
      <c r="M609">
        <v>5.1668189</v>
      </c>
      <c r="N609">
        <v>1172</v>
      </c>
      <c r="O609">
        <v>6541</v>
      </c>
      <c r="P609">
        <v>7713</v>
      </c>
    </row>
    <row r="610" spans="1:16" x14ac:dyDescent="0.3">
      <c r="A610">
        <v>609</v>
      </c>
      <c r="B610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31.330846999999999</v>
      </c>
      <c r="K610">
        <v>34.47</v>
      </c>
      <c r="L610">
        <v>58.75</v>
      </c>
      <c r="M610">
        <v>11.291710999999999</v>
      </c>
      <c r="N610">
        <v>1433</v>
      </c>
      <c r="O610">
        <v>5917</v>
      </c>
      <c r="P610">
        <v>7350</v>
      </c>
    </row>
    <row r="611" spans="1:16" x14ac:dyDescent="0.3">
      <c r="A611">
        <v>610</v>
      </c>
      <c r="B61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30.886652999999999</v>
      </c>
      <c r="K611">
        <v>35.1327</v>
      </c>
      <c r="L611">
        <v>63.833300000000001</v>
      </c>
      <c r="M611">
        <v>7.5835290000000004</v>
      </c>
      <c r="N611">
        <v>2352</v>
      </c>
      <c r="O611">
        <v>3788</v>
      </c>
      <c r="P611">
        <v>6140</v>
      </c>
    </row>
    <row r="612" spans="1:16" x14ac:dyDescent="0.3">
      <c r="A612">
        <v>611</v>
      </c>
      <c r="B612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28.563347</v>
      </c>
      <c r="K612">
        <v>32.450000000000003</v>
      </c>
      <c r="L612">
        <v>81.5</v>
      </c>
      <c r="M612">
        <v>4.2927435999999997</v>
      </c>
      <c r="N612">
        <v>2613</v>
      </c>
      <c r="O612">
        <v>3197</v>
      </c>
      <c r="P612">
        <v>5810</v>
      </c>
    </row>
    <row r="613" spans="1:16" x14ac:dyDescent="0.3">
      <c r="A613">
        <v>612</v>
      </c>
      <c r="B613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29.0075</v>
      </c>
      <c r="K613">
        <v>33.081449999999997</v>
      </c>
      <c r="L613">
        <v>79.083299999999994</v>
      </c>
      <c r="M613">
        <v>10.125107</v>
      </c>
      <c r="N613">
        <v>1965</v>
      </c>
      <c r="O613">
        <v>4069</v>
      </c>
      <c r="P613">
        <v>6034</v>
      </c>
    </row>
    <row r="614" spans="1:16" x14ac:dyDescent="0.3">
      <c r="A614">
        <v>613</v>
      </c>
      <c r="B614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29.759153000000001</v>
      </c>
      <c r="K614">
        <v>34.3444</v>
      </c>
      <c r="L614">
        <v>75.5</v>
      </c>
      <c r="M614">
        <v>15.833507000000001</v>
      </c>
      <c r="N614">
        <v>867</v>
      </c>
      <c r="O614">
        <v>5997</v>
      </c>
      <c r="P614">
        <v>6864</v>
      </c>
    </row>
    <row r="615" spans="1:16" x14ac:dyDescent="0.3">
      <c r="A615">
        <v>614</v>
      </c>
      <c r="B615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30.203347000000001</v>
      </c>
      <c r="K615">
        <v>35.449150000000003</v>
      </c>
      <c r="L615">
        <v>74.125</v>
      </c>
      <c r="M615">
        <v>12.583136</v>
      </c>
      <c r="N615">
        <v>832</v>
      </c>
      <c r="O615">
        <v>6280</v>
      </c>
      <c r="P615">
        <v>7112</v>
      </c>
    </row>
    <row r="616" spans="1:16" x14ac:dyDescent="0.3">
      <c r="A616">
        <v>615</v>
      </c>
      <c r="B616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28.563347</v>
      </c>
      <c r="K616">
        <v>32.766449999999999</v>
      </c>
      <c r="L616">
        <v>81.041700000000006</v>
      </c>
      <c r="M616">
        <v>9.5422069999999994</v>
      </c>
      <c r="N616">
        <v>611</v>
      </c>
      <c r="O616">
        <v>5592</v>
      </c>
      <c r="P616">
        <v>6203</v>
      </c>
    </row>
    <row r="617" spans="1:16" x14ac:dyDescent="0.3">
      <c r="A617">
        <v>616</v>
      </c>
      <c r="B617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28.836652999999998</v>
      </c>
      <c r="K617">
        <v>32.860199999999999</v>
      </c>
      <c r="L617">
        <v>73.625</v>
      </c>
      <c r="M617">
        <v>11.500282</v>
      </c>
      <c r="N617">
        <v>1045</v>
      </c>
      <c r="O617">
        <v>6459</v>
      </c>
      <c r="P617">
        <v>7504</v>
      </c>
    </row>
    <row r="618" spans="1:16" x14ac:dyDescent="0.3">
      <c r="A618">
        <v>617</v>
      </c>
      <c r="B618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27.025846999999999</v>
      </c>
      <c r="K618">
        <v>30.556049999999999</v>
      </c>
      <c r="L618">
        <v>79.916700000000006</v>
      </c>
      <c r="M618">
        <v>18.833967999999999</v>
      </c>
      <c r="N618">
        <v>1557</v>
      </c>
      <c r="O618">
        <v>4419</v>
      </c>
      <c r="P618">
        <v>5976</v>
      </c>
    </row>
    <row r="619" spans="1:16" x14ac:dyDescent="0.3">
      <c r="A619">
        <v>618</v>
      </c>
      <c r="B619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25.01</v>
      </c>
      <c r="K619">
        <v>28.946249999999999</v>
      </c>
      <c r="L619">
        <v>54.75</v>
      </c>
      <c r="M619">
        <v>15.041232000000001</v>
      </c>
      <c r="N619">
        <v>2570</v>
      </c>
      <c r="O619">
        <v>5657</v>
      </c>
      <c r="P619">
        <v>8227</v>
      </c>
    </row>
    <row r="620" spans="1:16" x14ac:dyDescent="0.3">
      <c r="A620">
        <v>619</v>
      </c>
      <c r="B620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23.916653</v>
      </c>
      <c r="K620">
        <v>28.282699999999998</v>
      </c>
      <c r="L620">
        <v>50.375</v>
      </c>
      <c r="M620">
        <v>17.333770999999999</v>
      </c>
      <c r="N620">
        <v>1118</v>
      </c>
      <c r="O620">
        <v>6407</v>
      </c>
      <c r="P620">
        <v>7525</v>
      </c>
    </row>
    <row r="621" spans="1:16" x14ac:dyDescent="0.3">
      <c r="A621">
        <v>620</v>
      </c>
      <c r="B62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23.677499999999998</v>
      </c>
      <c r="K621">
        <v>27.714600000000001</v>
      </c>
      <c r="L621">
        <v>52</v>
      </c>
      <c r="M621">
        <v>6.1676314000000003</v>
      </c>
      <c r="N621">
        <v>1070</v>
      </c>
      <c r="O621">
        <v>6697</v>
      </c>
      <c r="P621">
        <v>7767</v>
      </c>
    </row>
    <row r="622" spans="1:16" x14ac:dyDescent="0.3">
      <c r="A622">
        <v>621</v>
      </c>
      <c r="B622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24.565847000000002</v>
      </c>
      <c r="K622">
        <v>28.50375</v>
      </c>
      <c r="L622">
        <v>57.708300000000001</v>
      </c>
      <c r="M622">
        <v>8.8336819999999996</v>
      </c>
      <c r="N622">
        <v>1050</v>
      </c>
      <c r="O622">
        <v>6820</v>
      </c>
      <c r="P622">
        <v>7870</v>
      </c>
    </row>
    <row r="623" spans="1:16" x14ac:dyDescent="0.3">
      <c r="A623">
        <v>622</v>
      </c>
      <c r="B623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25.112500000000001</v>
      </c>
      <c r="K623">
        <v>28.977900000000002</v>
      </c>
      <c r="L623">
        <v>63.708300000000001</v>
      </c>
      <c r="M623">
        <v>5.5422935999999998</v>
      </c>
      <c r="N623">
        <v>1054</v>
      </c>
      <c r="O623">
        <v>6750</v>
      </c>
      <c r="P623">
        <v>7804</v>
      </c>
    </row>
    <row r="624" spans="1:16" x14ac:dyDescent="0.3">
      <c r="A624">
        <v>623</v>
      </c>
      <c r="B624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25.966653000000001</v>
      </c>
      <c r="K624">
        <v>29.704149999999998</v>
      </c>
      <c r="L624">
        <v>67.25</v>
      </c>
      <c r="M624">
        <v>6.9588210000000004</v>
      </c>
      <c r="N624">
        <v>1379</v>
      </c>
      <c r="O624">
        <v>6630</v>
      </c>
      <c r="P624">
        <v>8009</v>
      </c>
    </row>
    <row r="625" spans="1:16" x14ac:dyDescent="0.3">
      <c r="A625">
        <v>624</v>
      </c>
      <c r="B625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24.941652999999999</v>
      </c>
      <c r="K625">
        <v>29.29335</v>
      </c>
      <c r="L625">
        <v>50.166699999999999</v>
      </c>
      <c r="M625">
        <v>16.583907</v>
      </c>
      <c r="N625">
        <v>3160</v>
      </c>
      <c r="O625">
        <v>5554</v>
      </c>
      <c r="P625">
        <v>8714</v>
      </c>
    </row>
    <row r="626" spans="1:16" x14ac:dyDescent="0.3">
      <c r="A626">
        <v>625</v>
      </c>
      <c r="B626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23.78</v>
      </c>
      <c r="K626">
        <v>28.15625</v>
      </c>
      <c r="L626">
        <v>57</v>
      </c>
      <c r="M626">
        <v>6.0422811000000003</v>
      </c>
      <c r="N626">
        <v>2166</v>
      </c>
      <c r="O626">
        <v>5167</v>
      </c>
      <c r="P626">
        <v>7333</v>
      </c>
    </row>
    <row r="627" spans="1:16" x14ac:dyDescent="0.3">
      <c r="A627">
        <v>626</v>
      </c>
      <c r="B627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23.814153000000001</v>
      </c>
      <c r="K627">
        <v>27.6525</v>
      </c>
      <c r="L627">
        <v>73.458299999999994</v>
      </c>
      <c r="M627">
        <v>10.166714000000001</v>
      </c>
      <c r="N627">
        <v>1022</v>
      </c>
      <c r="O627">
        <v>5847</v>
      </c>
      <c r="P627">
        <v>6869</v>
      </c>
    </row>
    <row r="628" spans="1:16" x14ac:dyDescent="0.3">
      <c r="A628">
        <v>627</v>
      </c>
      <c r="B628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25.556653000000001</v>
      </c>
      <c r="K628">
        <v>28.253350000000001</v>
      </c>
      <c r="L628">
        <v>87.25</v>
      </c>
      <c r="M628">
        <v>23.958328999999999</v>
      </c>
      <c r="N628">
        <v>371</v>
      </c>
      <c r="O628">
        <v>3702</v>
      </c>
      <c r="P628">
        <v>4073</v>
      </c>
    </row>
    <row r="629" spans="1:16" x14ac:dyDescent="0.3">
      <c r="A629">
        <v>628</v>
      </c>
      <c r="B629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22.6525</v>
      </c>
      <c r="K629">
        <v>27.020199999999999</v>
      </c>
      <c r="L629">
        <v>53.666699999999999</v>
      </c>
      <c r="M629">
        <v>14.416725</v>
      </c>
      <c r="N629">
        <v>788</v>
      </c>
      <c r="O629">
        <v>6803</v>
      </c>
      <c r="P629">
        <v>7591</v>
      </c>
    </row>
    <row r="630" spans="1:16" x14ac:dyDescent="0.3">
      <c r="A630">
        <v>629</v>
      </c>
      <c r="B630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22.413347000000002</v>
      </c>
      <c r="K630">
        <v>26.6096</v>
      </c>
      <c r="L630">
        <v>61.833300000000001</v>
      </c>
      <c r="M630">
        <v>7.9171889999999996</v>
      </c>
      <c r="N630">
        <v>939</v>
      </c>
      <c r="O630">
        <v>6781</v>
      </c>
      <c r="P630">
        <v>7720</v>
      </c>
    </row>
    <row r="631" spans="1:16" x14ac:dyDescent="0.3">
      <c r="A631">
        <v>630</v>
      </c>
      <c r="B63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24.565847000000002</v>
      </c>
      <c r="K631">
        <v>28.598549999999999</v>
      </c>
      <c r="L631">
        <v>66.875</v>
      </c>
      <c r="M631">
        <v>10.333342999999999</v>
      </c>
      <c r="N631">
        <v>1250</v>
      </c>
      <c r="O631">
        <v>6917</v>
      </c>
      <c r="P631">
        <v>8167</v>
      </c>
    </row>
    <row r="632" spans="1:16" x14ac:dyDescent="0.3">
      <c r="A632">
        <v>631</v>
      </c>
      <c r="B632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26.65</v>
      </c>
      <c r="K632">
        <v>30.5244</v>
      </c>
      <c r="L632">
        <v>64.666700000000006</v>
      </c>
      <c r="M632">
        <v>19.000060999999999</v>
      </c>
      <c r="N632">
        <v>2512</v>
      </c>
      <c r="O632">
        <v>5883</v>
      </c>
      <c r="P632">
        <v>8395</v>
      </c>
    </row>
    <row r="633" spans="1:16" x14ac:dyDescent="0.3">
      <c r="A633">
        <v>632</v>
      </c>
      <c r="B633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21.695847000000001</v>
      </c>
      <c r="K633">
        <v>25.946650000000002</v>
      </c>
      <c r="L633">
        <v>46.708300000000001</v>
      </c>
      <c r="M633">
        <v>14.958285999999999</v>
      </c>
      <c r="N633">
        <v>2454</v>
      </c>
      <c r="O633">
        <v>5453</v>
      </c>
      <c r="P633">
        <v>7907</v>
      </c>
    </row>
    <row r="634" spans="1:16" x14ac:dyDescent="0.3">
      <c r="A634">
        <v>633</v>
      </c>
      <c r="B634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21.080846999999999</v>
      </c>
      <c r="K634">
        <v>25.12565</v>
      </c>
      <c r="L634">
        <v>49.291699999999999</v>
      </c>
      <c r="M634">
        <v>9.5410679999999992</v>
      </c>
      <c r="N634">
        <v>1001</v>
      </c>
      <c r="O634">
        <v>6435</v>
      </c>
      <c r="P634">
        <v>7436</v>
      </c>
    </row>
    <row r="635" spans="1:16" x14ac:dyDescent="0.3">
      <c r="A635">
        <v>634</v>
      </c>
      <c r="B635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22.55</v>
      </c>
      <c r="K635">
        <v>27.208950000000002</v>
      </c>
      <c r="L635">
        <v>57</v>
      </c>
      <c r="M635">
        <v>15.833507000000001</v>
      </c>
      <c r="N635">
        <v>845</v>
      </c>
      <c r="O635">
        <v>6693</v>
      </c>
      <c r="P635">
        <v>7538</v>
      </c>
    </row>
    <row r="636" spans="1:16" x14ac:dyDescent="0.3">
      <c r="A636">
        <v>635</v>
      </c>
      <c r="B636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26.035</v>
      </c>
      <c r="K636">
        <v>29.830649999999999</v>
      </c>
      <c r="L636">
        <v>63.083300000000001</v>
      </c>
      <c r="M636">
        <v>16.3748</v>
      </c>
      <c r="N636">
        <v>787</v>
      </c>
      <c r="O636">
        <v>6946</v>
      </c>
      <c r="P636">
        <v>7733</v>
      </c>
    </row>
    <row r="637" spans="1:16" x14ac:dyDescent="0.3">
      <c r="A637">
        <v>636</v>
      </c>
      <c r="B637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26.65</v>
      </c>
      <c r="K637">
        <v>30.39875</v>
      </c>
      <c r="L637">
        <v>69.083299999999994</v>
      </c>
      <c r="M637">
        <v>9.0009139999999999</v>
      </c>
      <c r="N637">
        <v>751</v>
      </c>
      <c r="O637">
        <v>6642</v>
      </c>
      <c r="P637">
        <v>7393</v>
      </c>
    </row>
    <row r="638" spans="1:16" x14ac:dyDescent="0.3">
      <c r="A638">
        <v>637</v>
      </c>
      <c r="B638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25.385846999999998</v>
      </c>
      <c r="K638">
        <v>29.293150000000001</v>
      </c>
      <c r="L638">
        <v>69</v>
      </c>
      <c r="M638">
        <v>10.999993</v>
      </c>
      <c r="N638">
        <v>1045</v>
      </c>
      <c r="O638">
        <v>6370</v>
      </c>
      <c r="P638">
        <v>7415</v>
      </c>
    </row>
    <row r="639" spans="1:16" x14ac:dyDescent="0.3">
      <c r="A639">
        <v>638</v>
      </c>
      <c r="B639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22.2425</v>
      </c>
      <c r="K639">
        <v>26.514800000000001</v>
      </c>
      <c r="L639">
        <v>54.291699999999999</v>
      </c>
      <c r="M639">
        <v>15.249468</v>
      </c>
      <c r="N639">
        <v>2589</v>
      </c>
      <c r="O639">
        <v>5966</v>
      </c>
      <c r="P639">
        <v>8555</v>
      </c>
    </row>
    <row r="640" spans="1:16" x14ac:dyDescent="0.3">
      <c r="A640">
        <v>639</v>
      </c>
      <c r="B640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21.593347000000001</v>
      </c>
      <c r="K640">
        <v>25.883150000000001</v>
      </c>
      <c r="L640">
        <v>58.333300000000001</v>
      </c>
      <c r="M640">
        <v>9.0421859999999992</v>
      </c>
      <c r="N640">
        <v>2015</v>
      </c>
      <c r="O640">
        <v>4874</v>
      </c>
      <c r="P640">
        <v>6889</v>
      </c>
    </row>
    <row r="641" spans="1:16" x14ac:dyDescent="0.3">
      <c r="A641">
        <v>640</v>
      </c>
      <c r="B64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21.354153</v>
      </c>
      <c r="K641">
        <v>25.6</v>
      </c>
      <c r="L641">
        <v>64.916700000000006</v>
      </c>
      <c r="M641">
        <v>6.0838814000000001</v>
      </c>
      <c r="N641">
        <v>763</v>
      </c>
      <c r="O641">
        <v>6015</v>
      </c>
      <c r="P641">
        <v>6778</v>
      </c>
    </row>
    <row r="642" spans="1:16" x14ac:dyDescent="0.3">
      <c r="A642">
        <v>641</v>
      </c>
      <c r="B642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24.224153000000001</v>
      </c>
      <c r="K642">
        <v>27.11665</v>
      </c>
      <c r="L642">
        <v>87.166700000000006</v>
      </c>
      <c r="M642">
        <v>6.9998250000000004</v>
      </c>
      <c r="N642">
        <v>315</v>
      </c>
      <c r="O642">
        <v>4324</v>
      </c>
      <c r="P642">
        <v>4639</v>
      </c>
    </row>
    <row r="643" spans="1:16" x14ac:dyDescent="0.3">
      <c r="A643">
        <v>642</v>
      </c>
      <c r="B643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26.9575</v>
      </c>
      <c r="K643">
        <v>29.95665</v>
      </c>
      <c r="L643">
        <v>79.375</v>
      </c>
      <c r="M643">
        <v>4.4585686000000004</v>
      </c>
      <c r="N643">
        <v>728</v>
      </c>
      <c r="O643">
        <v>6844</v>
      </c>
      <c r="P643">
        <v>7572</v>
      </c>
    </row>
    <row r="644" spans="1:16" x14ac:dyDescent="0.3">
      <c r="A644">
        <v>643</v>
      </c>
      <c r="B644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26.9575</v>
      </c>
      <c r="K644">
        <v>30.39875</v>
      </c>
      <c r="L644">
        <v>72.291700000000006</v>
      </c>
      <c r="M644">
        <v>7.8755819999999996</v>
      </c>
      <c r="N644">
        <v>891</v>
      </c>
      <c r="O644">
        <v>6437</v>
      </c>
      <c r="P644">
        <v>7328</v>
      </c>
    </row>
    <row r="645" spans="1:16" x14ac:dyDescent="0.3">
      <c r="A645">
        <v>644</v>
      </c>
      <c r="B645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25.215</v>
      </c>
      <c r="K645">
        <v>29.009350000000001</v>
      </c>
      <c r="L645">
        <v>62.75</v>
      </c>
      <c r="M645">
        <v>7.1254499999999998</v>
      </c>
      <c r="N645">
        <v>1516</v>
      </c>
      <c r="O645">
        <v>6640</v>
      </c>
      <c r="P645">
        <v>8156</v>
      </c>
    </row>
    <row r="646" spans="1:16" x14ac:dyDescent="0.3">
      <c r="A646">
        <v>645</v>
      </c>
      <c r="B646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22.720846999999999</v>
      </c>
      <c r="K646">
        <v>26.92605</v>
      </c>
      <c r="L646">
        <v>66.416700000000006</v>
      </c>
      <c r="M646">
        <v>17.957674999999998</v>
      </c>
      <c r="N646">
        <v>3031</v>
      </c>
      <c r="O646">
        <v>4934</v>
      </c>
      <c r="P646">
        <v>7965</v>
      </c>
    </row>
    <row r="647" spans="1:16" x14ac:dyDescent="0.3">
      <c r="A647">
        <v>646</v>
      </c>
      <c r="B647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17.049153</v>
      </c>
      <c r="K647">
        <v>20.990649999999999</v>
      </c>
      <c r="L647">
        <v>70.833299999999994</v>
      </c>
      <c r="M647">
        <v>9.4578539999999993</v>
      </c>
      <c r="N647">
        <v>781</v>
      </c>
      <c r="O647">
        <v>2729</v>
      </c>
      <c r="P647">
        <v>3510</v>
      </c>
    </row>
    <row r="648" spans="1:16" x14ac:dyDescent="0.3">
      <c r="A648">
        <v>647</v>
      </c>
      <c r="B648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15.716653000000001</v>
      </c>
      <c r="K648">
        <v>19.380400000000002</v>
      </c>
      <c r="L648">
        <v>70.958299999999994</v>
      </c>
      <c r="M648">
        <v>12.708493000000001</v>
      </c>
      <c r="N648">
        <v>874</v>
      </c>
      <c r="O648">
        <v>4604</v>
      </c>
      <c r="P648">
        <v>5478</v>
      </c>
    </row>
    <row r="649" spans="1:16" x14ac:dyDescent="0.3">
      <c r="A649">
        <v>648</v>
      </c>
      <c r="B649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18.313347</v>
      </c>
      <c r="K649">
        <v>21.9056</v>
      </c>
      <c r="L649">
        <v>76.166700000000006</v>
      </c>
      <c r="M649">
        <v>12.7501</v>
      </c>
      <c r="N649">
        <v>601</v>
      </c>
      <c r="O649">
        <v>5791</v>
      </c>
      <c r="P649">
        <v>6392</v>
      </c>
    </row>
    <row r="650" spans="1:16" x14ac:dyDescent="0.3">
      <c r="A650">
        <v>649</v>
      </c>
      <c r="B650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21.080846999999999</v>
      </c>
      <c r="K650">
        <v>25.1571</v>
      </c>
      <c r="L650">
        <v>63.083300000000001</v>
      </c>
      <c r="M650">
        <v>12.584007</v>
      </c>
      <c r="N650">
        <v>780</v>
      </c>
      <c r="O650">
        <v>6911</v>
      </c>
      <c r="P650">
        <v>7691</v>
      </c>
    </row>
    <row r="651" spans="1:16" x14ac:dyDescent="0.3">
      <c r="A651">
        <v>650</v>
      </c>
      <c r="B65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17.835000000000001</v>
      </c>
      <c r="K651">
        <v>21.558350000000001</v>
      </c>
      <c r="L651">
        <v>46.333300000000001</v>
      </c>
      <c r="M651">
        <v>12.166931999999999</v>
      </c>
      <c r="N651">
        <v>834</v>
      </c>
      <c r="O651">
        <v>6736</v>
      </c>
      <c r="P651">
        <v>7570</v>
      </c>
    </row>
    <row r="652" spans="1:16" x14ac:dyDescent="0.3">
      <c r="A652">
        <v>651</v>
      </c>
      <c r="B652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17.9375</v>
      </c>
      <c r="K652">
        <v>21.653549999999999</v>
      </c>
      <c r="L652">
        <v>53.916699999999999</v>
      </c>
      <c r="M652">
        <v>15.751163999999999</v>
      </c>
      <c r="N652">
        <v>1060</v>
      </c>
      <c r="O652">
        <v>6222</v>
      </c>
      <c r="P652">
        <v>7282</v>
      </c>
    </row>
    <row r="653" spans="1:16" x14ac:dyDescent="0.3">
      <c r="A653">
        <v>652</v>
      </c>
      <c r="B653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16.126653000000001</v>
      </c>
      <c r="K653">
        <v>19.569800000000001</v>
      </c>
      <c r="L653">
        <v>49.458300000000001</v>
      </c>
      <c r="M653">
        <v>9.7915139999999994</v>
      </c>
      <c r="N653">
        <v>2252</v>
      </c>
      <c r="O653">
        <v>4857</v>
      </c>
      <c r="P653">
        <v>7109</v>
      </c>
    </row>
    <row r="654" spans="1:16" x14ac:dyDescent="0.3">
      <c r="A654">
        <v>653</v>
      </c>
      <c r="B654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21.388347</v>
      </c>
      <c r="K654">
        <v>25.4102</v>
      </c>
      <c r="L654">
        <v>64.041700000000006</v>
      </c>
      <c r="M654">
        <v>18.667003999999999</v>
      </c>
      <c r="N654">
        <v>2080</v>
      </c>
      <c r="O654">
        <v>4559</v>
      </c>
      <c r="P654">
        <v>6639</v>
      </c>
    </row>
    <row r="655" spans="1:16" x14ac:dyDescent="0.3">
      <c r="A655">
        <v>654</v>
      </c>
      <c r="B655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23.028347</v>
      </c>
      <c r="K655">
        <v>26.9575</v>
      </c>
      <c r="L655">
        <v>70.75</v>
      </c>
      <c r="M655">
        <v>19.834479000000002</v>
      </c>
      <c r="N655">
        <v>760</v>
      </c>
      <c r="O655">
        <v>5115</v>
      </c>
      <c r="P655">
        <v>5875</v>
      </c>
    </row>
    <row r="656" spans="1:16" x14ac:dyDescent="0.3">
      <c r="A656">
        <v>655</v>
      </c>
      <c r="B656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19.201653</v>
      </c>
      <c r="K656">
        <v>23.042300000000001</v>
      </c>
      <c r="L656">
        <v>55.833300000000001</v>
      </c>
      <c r="M656">
        <v>12.208807</v>
      </c>
      <c r="N656">
        <v>922</v>
      </c>
      <c r="O656">
        <v>6612</v>
      </c>
      <c r="P656">
        <v>7534</v>
      </c>
    </row>
    <row r="657" spans="1:16" x14ac:dyDescent="0.3">
      <c r="A657">
        <v>656</v>
      </c>
      <c r="B657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18.689153000000001</v>
      </c>
      <c r="K657">
        <v>22.505400000000002</v>
      </c>
      <c r="L657">
        <v>69.291700000000006</v>
      </c>
      <c r="M657">
        <v>6.7918570000000003</v>
      </c>
      <c r="N657">
        <v>979</v>
      </c>
      <c r="O657">
        <v>6482</v>
      </c>
      <c r="P657">
        <v>7461</v>
      </c>
    </row>
    <row r="658" spans="1:16" x14ac:dyDescent="0.3">
      <c r="A658">
        <v>657</v>
      </c>
      <c r="B658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21.422499999999999</v>
      </c>
      <c r="K658">
        <v>25.631250000000001</v>
      </c>
      <c r="L658">
        <v>72.833299999999994</v>
      </c>
      <c r="M658">
        <v>15.874779</v>
      </c>
      <c r="N658">
        <v>1008</v>
      </c>
      <c r="O658">
        <v>6501</v>
      </c>
      <c r="P658">
        <v>7509</v>
      </c>
    </row>
    <row r="659" spans="1:16" x14ac:dyDescent="0.3">
      <c r="A659">
        <v>658</v>
      </c>
      <c r="B659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23.096653</v>
      </c>
      <c r="K659">
        <v>26.8948</v>
      </c>
      <c r="L659">
        <v>81.5</v>
      </c>
      <c r="M659">
        <v>9.0419180000000008</v>
      </c>
      <c r="N659">
        <v>753</v>
      </c>
      <c r="O659">
        <v>4671</v>
      </c>
      <c r="P659">
        <v>5424</v>
      </c>
    </row>
    <row r="660" spans="1:16" x14ac:dyDescent="0.3">
      <c r="A660">
        <v>659</v>
      </c>
      <c r="B660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19.850847000000002</v>
      </c>
      <c r="K660">
        <v>23.642099999999999</v>
      </c>
      <c r="L660">
        <v>57.291699999999999</v>
      </c>
      <c r="M660">
        <v>7.8749789999999997</v>
      </c>
      <c r="N660">
        <v>2806</v>
      </c>
      <c r="O660">
        <v>5284</v>
      </c>
      <c r="P660">
        <v>8090</v>
      </c>
    </row>
    <row r="661" spans="1:16" x14ac:dyDescent="0.3">
      <c r="A661">
        <v>660</v>
      </c>
      <c r="B66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19.030847000000001</v>
      </c>
      <c r="K661">
        <v>22.821449999999999</v>
      </c>
      <c r="L661">
        <v>51</v>
      </c>
      <c r="M661">
        <v>11.125617999999999</v>
      </c>
      <c r="N661">
        <v>2132</v>
      </c>
      <c r="O661">
        <v>4692</v>
      </c>
      <c r="P661">
        <v>6824</v>
      </c>
    </row>
    <row r="662" spans="1:16" x14ac:dyDescent="0.3">
      <c r="A662">
        <v>661</v>
      </c>
      <c r="B662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19.987500000000001</v>
      </c>
      <c r="K662">
        <v>24.147099999999998</v>
      </c>
      <c r="L662">
        <v>56.833300000000001</v>
      </c>
      <c r="M662">
        <v>5.4593810999999999</v>
      </c>
      <c r="N662">
        <v>830</v>
      </c>
      <c r="O662">
        <v>6228</v>
      </c>
      <c r="P662">
        <v>7058</v>
      </c>
    </row>
    <row r="663" spans="1:16" x14ac:dyDescent="0.3">
      <c r="A663">
        <v>662</v>
      </c>
      <c r="B663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22.310846999999999</v>
      </c>
      <c r="K663">
        <v>26.5152</v>
      </c>
      <c r="L663">
        <v>64.166700000000006</v>
      </c>
      <c r="M663">
        <v>6.3345685999999999</v>
      </c>
      <c r="N663">
        <v>841</v>
      </c>
      <c r="O663">
        <v>6625</v>
      </c>
      <c r="P663">
        <v>7466</v>
      </c>
    </row>
    <row r="664" spans="1:16" x14ac:dyDescent="0.3">
      <c r="A664">
        <v>663</v>
      </c>
      <c r="B664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24.087499999999999</v>
      </c>
      <c r="K664">
        <v>27.936050000000002</v>
      </c>
      <c r="L664">
        <v>63.625</v>
      </c>
      <c r="M664">
        <v>4.8762064000000001</v>
      </c>
      <c r="N664">
        <v>795</v>
      </c>
      <c r="O664">
        <v>6898</v>
      </c>
      <c r="P664">
        <v>7693</v>
      </c>
    </row>
    <row r="665" spans="1:16" x14ac:dyDescent="0.3">
      <c r="A665">
        <v>664</v>
      </c>
      <c r="B665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22.55</v>
      </c>
      <c r="K665">
        <v>26.484400000000001</v>
      </c>
      <c r="L665">
        <v>80.041700000000006</v>
      </c>
      <c r="M665">
        <v>8.3331250000000008</v>
      </c>
      <c r="N665">
        <v>875</v>
      </c>
      <c r="O665">
        <v>6484</v>
      </c>
      <c r="P665">
        <v>7359</v>
      </c>
    </row>
    <row r="666" spans="1:16" x14ac:dyDescent="0.3">
      <c r="A666">
        <v>665</v>
      </c>
      <c r="B666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22.379152999999999</v>
      </c>
      <c r="K666">
        <v>26.137499999999999</v>
      </c>
      <c r="L666">
        <v>80.708299999999994</v>
      </c>
      <c r="M666">
        <v>8.8752890000000004</v>
      </c>
      <c r="N666">
        <v>1182</v>
      </c>
      <c r="O666">
        <v>6262</v>
      </c>
      <c r="P666">
        <v>7444</v>
      </c>
    </row>
    <row r="667" spans="1:16" x14ac:dyDescent="0.3">
      <c r="A667">
        <v>666</v>
      </c>
      <c r="B667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21.73</v>
      </c>
      <c r="K667">
        <v>25.75665</v>
      </c>
      <c r="L667">
        <v>72</v>
      </c>
      <c r="M667">
        <v>15.791364</v>
      </c>
      <c r="N667">
        <v>2643</v>
      </c>
      <c r="O667">
        <v>5209</v>
      </c>
      <c r="P667">
        <v>7852</v>
      </c>
    </row>
    <row r="668" spans="1:16" x14ac:dyDescent="0.3">
      <c r="A668">
        <v>667</v>
      </c>
      <c r="B668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19.577500000000001</v>
      </c>
      <c r="K668">
        <v>23.388549999999999</v>
      </c>
      <c r="L668">
        <v>69.458299999999994</v>
      </c>
      <c r="M668">
        <v>26.666536000000001</v>
      </c>
      <c r="N668">
        <v>998</v>
      </c>
      <c r="O668">
        <v>3461</v>
      </c>
      <c r="P668">
        <v>4459</v>
      </c>
    </row>
    <row r="669" spans="1:16" x14ac:dyDescent="0.3">
      <c r="A669">
        <v>668</v>
      </c>
      <c r="B669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18.04</v>
      </c>
      <c r="K669">
        <v>21.97</v>
      </c>
      <c r="L669">
        <v>88</v>
      </c>
      <c r="M669">
        <v>23.999400000000001</v>
      </c>
      <c r="N669">
        <v>2</v>
      </c>
      <c r="O669">
        <v>20</v>
      </c>
      <c r="P669">
        <v>22</v>
      </c>
    </row>
    <row r="670" spans="1:16" x14ac:dyDescent="0.3">
      <c r="A670">
        <v>669</v>
      </c>
      <c r="B670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13.045462000000001</v>
      </c>
      <c r="K670">
        <v>15.49545</v>
      </c>
      <c r="L670">
        <v>82.545500000000004</v>
      </c>
      <c r="M670">
        <v>14.271603000000001</v>
      </c>
      <c r="N670">
        <v>87</v>
      </c>
      <c r="O670">
        <v>1009</v>
      </c>
      <c r="P670">
        <v>1096</v>
      </c>
    </row>
    <row r="671" spans="1:16" x14ac:dyDescent="0.3">
      <c r="A671">
        <v>670</v>
      </c>
      <c r="B67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14.657500000000001</v>
      </c>
      <c r="K671">
        <v>18.055</v>
      </c>
      <c r="L671">
        <v>66.666700000000006</v>
      </c>
      <c r="M671">
        <v>11.166689</v>
      </c>
      <c r="N671">
        <v>419</v>
      </c>
      <c r="O671">
        <v>5147</v>
      </c>
      <c r="P671">
        <v>5566</v>
      </c>
    </row>
    <row r="672" spans="1:16" x14ac:dyDescent="0.3">
      <c r="A672">
        <v>671</v>
      </c>
      <c r="B672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14.999153</v>
      </c>
      <c r="K672">
        <v>18.4971</v>
      </c>
      <c r="L672">
        <v>58.166699999999999</v>
      </c>
      <c r="M672">
        <v>10.542182</v>
      </c>
      <c r="N672">
        <v>466</v>
      </c>
      <c r="O672">
        <v>5520</v>
      </c>
      <c r="P672">
        <v>5986</v>
      </c>
    </row>
    <row r="673" spans="1:16" x14ac:dyDescent="0.3">
      <c r="A673">
        <v>672</v>
      </c>
      <c r="B673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14.555</v>
      </c>
      <c r="K673">
        <v>17.802099999999999</v>
      </c>
      <c r="L673">
        <v>52.208300000000001</v>
      </c>
      <c r="M673">
        <v>17.833725000000001</v>
      </c>
      <c r="N673">
        <v>618</v>
      </c>
      <c r="O673">
        <v>5229</v>
      </c>
      <c r="P673">
        <v>5847</v>
      </c>
    </row>
    <row r="674" spans="1:16" x14ac:dyDescent="0.3">
      <c r="A674">
        <v>673</v>
      </c>
      <c r="B674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14.076653</v>
      </c>
      <c r="K674">
        <v>16.192299999999999</v>
      </c>
      <c r="L674">
        <v>49.125</v>
      </c>
      <c r="M674">
        <v>18.125443000000001</v>
      </c>
      <c r="N674">
        <v>1029</v>
      </c>
      <c r="O674">
        <v>4109</v>
      </c>
      <c r="P674">
        <v>5138</v>
      </c>
    </row>
    <row r="675" spans="1:16" x14ac:dyDescent="0.3">
      <c r="A675">
        <v>674</v>
      </c>
      <c r="B675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13.359152999999999</v>
      </c>
      <c r="K675">
        <v>16.476900000000001</v>
      </c>
      <c r="L675">
        <v>53.291699999999999</v>
      </c>
      <c r="M675">
        <v>12.000235999999999</v>
      </c>
      <c r="N675">
        <v>1201</v>
      </c>
      <c r="O675">
        <v>3906</v>
      </c>
      <c r="P675">
        <v>5107</v>
      </c>
    </row>
    <row r="676" spans="1:16" x14ac:dyDescent="0.3">
      <c r="A676">
        <v>675</v>
      </c>
      <c r="B676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13.085846999999999</v>
      </c>
      <c r="K676">
        <v>15.40375</v>
      </c>
      <c r="L676">
        <v>49.416699999999999</v>
      </c>
      <c r="M676">
        <v>15.833774999999999</v>
      </c>
      <c r="N676">
        <v>378</v>
      </c>
      <c r="O676">
        <v>4881</v>
      </c>
      <c r="P676">
        <v>5259</v>
      </c>
    </row>
    <row r="677" spans="1:16" x14ac:dyDescent="0.3">
      <c r="A677">
        <v>676</v>
      </c>
      <c r="B677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11.514153</v>
      </c>
      <c r="K677">
        <v>14.07835</v>
      </c>
      <c r="L677">
        <v>56.708300000000001</v>
      </c>
      <c r="M677">
        <v>11.625370999999999</v>
      </c>
      <c r="N677">
        <v>466</v>
      </c>
      <c r="O677">
        <v>5220</v>
      </c>
      <c r="P677">
        <v>5686</v>
      </c>
    </row>
    <row r="678" spans="1:16" x14ac:dyDescent="0.3">
      <c r="A678">
        <v>677</v>
      </c>
      <c r="B678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12.129153000000001</v>
      </c>
      <c r="K678">
        <v>13.73105</v>
      </c>
      <c r="L678">
        <v>54.75</v>
      </c>
      <c r="M678">
        <v>20.375236000000001</v>
      </c>
      <c r="N678">
        <v>326</v>
      </c>
      <c r="O678">
        <v>4709</v>
      </c>
      <c r="P678">
        <v>5035</v>
      </c>
    </row>
    <row r="679" spans="1:16" x14ac:dyDescent="0.3">
      <c r="A679">
        <v>678</v>
      </c>
      <c r="B679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14.439133999999999</v>
      </c>
      <c r="K679">
        <v>17.094550000000002</v>
      </c>
      <c r="L679">
        <v>33.347799999999999</v>
      </c>
      <c r="M679">
        <v>23.304945</v>
      </c>
      <c r="N679">
        <v>340</v>
      </c>
      <c r="O679">
        <v>4975</v>
      </c>
      <c r="P679">
        <v>5315</v>
      </c>
    </row>
    <row r="680" spans="1:16" x14ac:dyDescent="0.3">
      <c r="A680">
        <v>679</v>
      </c>
      <c r="B680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14.828347000000001</v>
      </c>
      <c r="K680">
        <v>17.77065</v>
      </c>
      <c r="L680">
        <v>54.083300000000001</v>
      </c>
      <c r="M680">
        <v>14.375386000000001</v>
      </c>
      <c r="N680">
        <v>709</v>
      </c>
      <c r="O680">
        <v>5283</v>
      </c>
      <c r="P680">
        <v>5992</v>
      </c>
    </row>
    <row r="681" spans="1:16" x14ac:dyDescent="0.3">
      <c r="A681">
        <v>680</v>
      </c>
      <c r="B68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15.955847</v>
      </c>
      <c r="K681">
        <v>19.696850000000001</v>
      </c>
      <c r="L681">
        <v>64.541700000000006</v>
      </c>
      <c r="M681">
        <v>3.8756686</v>
      </c>
      <c r="N681">
        <v>2090</v>
      </c>
      <c r="O681">
        <v>4446</v>
      </c>
      <c r="P681">
        <v>6536</v>
      </c>
    </row>
    <row r="682" spans="1:16" x14ac:dyDescent="0.3">
      <c r="A682">
        <v>681</v>
      </c>
      <c r="B682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17.254152999999999</v>
      </c>
      <c r="K682">
        <v>21.085650000000001</v>
      </c>
      <c r="L682">
        <v>65.916700000000006</v>
      </c>
      <c r="M682">
        <v>8.5425000000000004</v>
      </c>
      <c r="N682">
        <v>2290</v>
      </c>
      <c r="O682">
        <v>4562</v>
      </c>
      <c r="P682">
        <v>6852</v>
      </c>
    </row>
    <row r="683" spans="1:16" x14ac:dyDescent="0.3">
      <c r="A683">
        <v>682</v>
      </c>
      <c r="B683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19.885000000000002</v>
      </c>
      <c r="K683">
        <v>23.76915</v>
      </c>
      <c r="L683">
        <v>74.166700000000006</v>
      </c>
      <c r="M683">
        <v>11.625639</v>
      </c>
      <c r="N683">
        <v>1097</v>
      </c>
      <c r="O683">
        <v>5172</v>
      </c>
      <c r="P683">
        <v>6269</v>
      </c>
    </row>
    <row r="684" spans="1:16" x14ac:dyDescent="0.3">
      <c r="A684">
        <v>683</v>
      </c>
      <c r="B684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14.076653</v>
      </c>
      <c r="K684">
        <v>16.161249999999999</v>
      </c>
      <c r="L684">
        <v>66.291700000000006</v>
      </c>
      <c r="M684">
        <v>22.917082000000001</v>
      </c>
      <c r="N684">
        <v>327</v>
      </c>
      <c r="O684">
        <v>3767</v>
      </c>
      <c r="P684">
        <v>4094</v>
      </c>
    </row>
    <row r="685" spans="1:16" x14ac:dyDescent="0.3">
      <c r="A685">
        <v>684</v>
      </c>
      <c r="B685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11.855847000000001</v>
      </c>
      <c r="K685">
        <v>14.078150000000001</v>
      </c>
      <c r="L685">
        <v>55.208300000000001</v>
      </c>
      <c r="M685">
        <v>13.374874999999999</v>
      </c>
      <c r="N685">
        <v>373</v>
      </c>
      <c r="O685">
        <v>5122</v>
      </c>
      <c r="P685">
        <v>5495</v>
      </c>
    </row>
    <row r="686" spans="1:16" x14ac:dyDescent="0.3">
      <c r="A686">
        <v>685</v>
      </c>
      <c r="B686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13.188347</v>
      </c>
      <c r="K686">
        <v>16.224599999999999</v>
      </c>
      <c r="L686">
        <v>62.041699999999999</v>
      </c>
      <c r="M686">
        <v>10.250128999999999</v>
      </c>
      <c r="N686">
        <v>320</v>
      </c>
      <c r="O686">
        <v>5125</v>
      </c>
      <c r="P686">
        <v>5445</v>
      </c>
    </row>
    <row r="687" spans="1:16" x14ac:dyDescent="0.3">
      <c r="A687">
        <v>686</v>
      </c>
      <c r="B687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14.145</v>
      </c>
      <c r="K687">
        <v>17.360199999999999</v>
      </c>
      <c r="L687">
        <v>52.458300000000001</v>
      </c>
      <c r="M687">
        <v>11.458674999999999</v>
      </c>
      <c r="N687">
        <v>484</v>
      </c>
      <c r="O687">
        <v>5214</v>
      </c>
      <c r="P687">
        <v>5698</v>
      </c>
    </row>
    <row r="688" spans="1:16" x14ac:dyDescent="0.3">
      <c r="A688">
        <v>687</v>
      </c>
      <c r="B688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13.324999999999999</v>
      </c>
      <c r="K688">
        <v>16.31915</v>
      </c>
      <c r="L688">
        <v>54.541699999999999</v>
      </c>
      <c r="M688">
        <v>12.041843</v>
      </c>
      <c r="N688">
        <v>1313</v>
      </c>
      <c r="O688">
        <v>4316</v>
      </c>
      <c r="P688">
        <v>5629</v>
      </c>
    </row>
    <row r="689" spans="1:16" x14ac:dyDescent="0.3">
      <c r="A689">
        <v>688</v>
      </c>
      <c r="B689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14.0425</v>
      </c>
      <c r="K689">
        <v>16.8873</v>
      </c>
      <c r="L689">
        <v>69.291700000000006</v>
      </c>
      <c r="M689">
        <v>15.250004000000001</v>
      </c>
      <c r="N689">
        <v>922</v>
      </c>
      <c r="O689">
        <v>3747</v>
      </c>
      <c r="P689">
        <v>4669</v>
      </c>
    </row>
    <row r="690" spans="1:16" x14ac:dyDescent="0.3">
      <c r="A690">
        <v>689</v>
      </c>
      <c r="B690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15.614153</v>
      </c>
      <c r="K690">
        <v>18.78105</v>
      </c>
      <c r="L690">
        <v>62.333300000000001</v>
      </c>
      <c r="M690">
        <v>15.749489000000001</v>
      </c>
      <c r="N690">
        <v>449</v>
      </c>
      <c r="O690">
        <v>5050</v>
      </c>
      <c r="P690">
        <v>5499</v>
      </c>
    </row>
    <row r="691" spans="1:16" x14ac:dyDescent="0.3">
      <c r="A691">
        <v>690</v>
      </c>
      <c r="B69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15.340847</v>
      </c>
      <c r="K691">
        <v>19.033349999999999</v>
      </c>
      <c r="L691">
        <v>68.5</v>
      </c>
      <c r="M691">
        <v>5.5425750000000003</v>
      </c>
      <c r="N691">
        <v>534</v>
      </c>
      <c r="O691">
        <v>5100</v>
      </c>
      <c r="P691">
        <v>5634</v>
      </c>
    </row>
    <row r="692" spans="1:16" x14ac:dyDescent="0.3">
      <c r="A692">
        <v>691</v>
      </c>
      <c r="B692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14.486653</v>
      </c>
      <c r="K692">
        <v>18.244599999999998</v>
      </c>
      <c r="L692">
        <v>61.375</v>
      </c>
      <c r="M692">
        <v>6.9174819999999997</v>
      </c>
      <c r="N692">
        <v>615</v>
      </c>
      <c r="O692">
        <v>4531</v>
      </c>
      <c r="P692">
        <v>5146</v>
      </c>
    </row>
    <row r="693" spans="1:16" x14ac:dyDescent="0.3">
      <c r="A693">
        <v>692</v>
      </c>
      <c r="B693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13.94</v>
      </c>
      <c r="K693">
        <v>17.518550000000001</v>
      </c>
      <c r="L693">
        <v>58.041699999999999</v>
      </c>
      <c r="M693">
        <v>3.5423436000000001</v>
      </c>
      <c r="N693">
        <v>955</v>
      </c>
      <c r="O693">
        <v>1470</v>
      </c>
      <c r="P693">
        <v>2425</v>
      </c>
    </row>
    <row r="694" spans="1:16" x14ac:dyDescent="0.3">
      <c r="A694">
        <v>693</v>
      </c>
      <c r="B694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15.101653000000001</v>
      </c>
      <c r="K694">
        <v>18.938949999999998</v>
      </c>
      <c r="L694">
        <v>56.875</v>
      </c>
      <c r="M694">
        <v>9.9174070000000007</v>
      </c>
      <c r="N694">
        <v>1603</v>
      </c>
      <c r="O694">
        <v>2307</v>
      </c>
      <c r="P694">
        <v>3910</v>
      </c>
    </row>
    <row r="695" spans="1:16" x14ac:dyDescent="0.3">
      <c r="A695">
        <v>694</v>
      </c>
      <c r="B695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11.411652999999999</v>
      </c>
      <c r="K695">
        <v>12.437099999999999</v>
      </c>
      <c r="L695">
        <v>40.458300000000001</v>
      </c>
      <c r="M695">
        <v>25.250357000000001</v>
      </c>
      <c r="N695">
        <v>532</v>
      </c>
      <c r="O695">
        <v>1745</v>
      </c>
      <c r="P695">
        <v>2277</v>
      </c>
    </row>
    <row r="696" spans="1:16" x14ac:dyDescent="0.3">
      <c r="A696">
        <v>695</v>
      </c>
      <c r="B696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10.079153</v>
      </c>
      <c r="K696">
        <v>12.879149999999999</v>
      </c>
      <c r="L696">
        <v>46.833300000000001</v>
      </c>
      <c r="M696">
        <v>10.083500000000001</v>
      </c>
      <c r="N696">
        <v>309</v>
      </c>
      <c r="O696">
        <v>2115</v>
      </c>
      <c r="P696">
        <v>2424</v>
      </c>
    </row>
    <row r="697" spans="1:16" x14ac:dyDescent="0.3">
      <c r="A697">
        <v>696</v>
      </c>
      <c r="B697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12.846653</v>
      </c>
      <c r="K697">
        <v>16.950199999999999</v>
      </c>
      <c r="L697">
        <v>53.541699999999999</v>
      </c>
      <c r="M697">
        <v>3.1255500000000001</v>
      </c>
      <c r="N697">
        <v>337</v>
      </c>
      <c r="O697">
        <v>4750</v>
      </c>
      <c r="P697">
        <v>5087</v>
      </c>
    </row>
    <row r="698" spans="1:16" x14ac:dyDescent="0.3">
      <c r="A698">
        <v>697</v>
      </c>
      <c r="B698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11.958347</v>
      </c>
      <c r="K698">
        <v>14.0779</v>
      </c>
      <c r="L698">
        <v>78.666700000000006</v>
      </c>
      <c r="M698">
        <v>15.916653999999999</v>
      </c>
      <c r="N698">
        <v>123</v>
      </c>
      <c r="O698">
        <v>3836</v>
      </c>
      <c r="P698">
        <v>3959</v>
      </c>
    </row>
    <row r="699" spans="1:16" x14ac:dyDescent="0.3">
      <c r="A699">
        <v>698</v>
      </c>
      <c r="B699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12.163347</v>
      </c>
      <c r="K699">
        <v>14.488099999999999</v>
      </c>
      <c r="L699">
        <v>50.625</v>
      </c>
      <c r="M699">
        <v>14.125007</v>
      </c>
      <c r="N699">
        <v>198</v>
      </c>
      <c r="O699">
        <v>5062</v>
      </c>
      <c r="P699">
        <v>5260</v>
      </c>
    </row>
    <row r="700" spans="1:16" x14ac:dyDescent="0.3">
      <c r="A700">
        <v>699</v>
      </c>
      <c r="B700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11.51567</v>
      </c>
      <c r="K700">
        <v>14.921099999999999</v>
      </c>
      <c r="L700">
        <v>55.565199999999997</v>
      </c>
      <c r="M700">
        <v>7.7399740000000001</v>
      </c>
      <c r="N700">
        <v>243</v>
      </c>
      <c r="O700">
        <v>5080</v>
      </c>
      <c r="P700">
        <v>5323</v>
      </c>
    </row>
    <row r="701" spans="1:16" x14ac:dyDescent="0.3">
      <c r="A701">
        <v>700</v>
      </c>
      <c r="B70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12.231653</v>
      </c>
      <c r="K701">
        <v>16.193349999999999</v>
      </c>
      <c r="L701">
        <v>64.958299999999994</v>
      </c>
      <c r="M701">
        <v>3.9175436000000001</v>
      </c>
      <c r="N701">
        <v>362</v>
      </c>
      <c r="O701">
        <v>5306</v>
      </c>
      <c r="P701">
        <v>5668</v>
      </c>
    </row>
    <row r="702" spans="1:16" x14ac:dyDescent="0.3">
      <c r="A702">
        <v>701</v>
      </c>
      <c r="B702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12.231653</v>
      </c>
      <c r="K702">
        <v>15.8452</v>
      </c>
      <c r="L702">
        <v>80.666700000000006</v>
      </c>
      <c r="M702">
        <v>4.0001813999999998</v>
      </c>
      <c r="N702">
        <v>951</v>
      </c>
      <c r="O702">
        <v>4240</v>
      </c>
      <c r="P702">
        <v>5191</v>
      </c>
    </row>
    <row r="703" spans="1:16" x14ac:dyDescent="0.3">
      <c r="A703">
        <v>702</v>
      </c>
      <c r="B703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14.2475</v>
      </c>
      <c r="K703">
        <v>17.9604</v>
      </c>
      <c r="L703">
        <v>82.333299999999994</v>
      </c>
      <c r="M703">
        <v>8.3333929999999992</v>
      </c>
      <c r="N703">
        <v>892</v>
      </c>
      <c r="O703">
        <v>3757</v>
      </c>
      <c r="P703">
        <v>4649</v>
      </c>
    </row>
    <row r="704" spans="1:16" x14ac:dyDescent="0.3">
      <c r="A704">
        <v>703</v>
      </c>
      <c r="B704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18.552499999999998</v>
      </c>
      <c r="K704">
        <v>22.7898</v>
      </c>
      <c r="L704">
        <v>76.75</v>
      </c>
      <c r="M704">
        <v>5.5422935999999998</v>
      </c>
      <c r="N704">
        <v>555</v>
      </c>
      <c r="O704">
        <v>5679</v>
      </c>
      <c r="P704">
        <v>6234</v>
      </c>
    </row>
    <row r="705" spans="1:16" x14ac:dyDescent="0.3">
      <c r="A705">
        <v>704</v>
      </c>
      <c r="B705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19.509153000000001</v>
      </c>
      <c r="K705">
        <v>23.4527</v>
      </c>
      <c r="L705">
        <v>73.375</v>
      </c>
      <c r="M705">
        <v>11.666643000000001</v>
      </c>
      <c r="N705">
        <v>551</v>
      </c>
      <c r="O705">
        <v>6055</v>
      </c>
      <c r="P705">
        <v>6606</v>
      </c>
    </row>
    <row r="706" spans="1:16" x14ac:dyDescent="0.3">
      <c r="A706">
        <v>705</v>
      </c>
      <c r="B706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17.971653</v>
      </c>
      <c r="K706">
        <v>21.400600000000001</v>
      </c>
      <c r="L706">
        <v>48.5</v>
      </c>
      <c r="M706">
        <v>21.709406999999999</v>
      </c>
      <c r="N706">
        <v>331</v>
      </c>
      <c r="O706">
        <v>5398</v>
      </c>
      <c r="P706">
        <v>5729</v>
      </c>
    </row>
    <row r="707" spans="1:16" x14ac:dyDescent="0.3">
      <c r="A707">
        <v>706</v>
      </c>
      <c r="B707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10.489153</v>
      </c>
      <c r="K707">
        <v>12.9102</v>
      </c>
      <c r="L707">
        <v>50.875</v>
      </c>
      <c r="M707">
        <v>11.708518</v>
      </c>
      <c r="N707">
        <v>340</v>
      </c>
      <c r="O707">
        <v>5035</v>
      </c>
      <c r="P707">
        <v>5375</v>
      </c>
    </row>
    <row r="708" spans="1:16" x14ac:dyDescent="0.3">
      <c r="A708">
        <v>707</v>
      </c>
      <c r="B708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13.154153000000001</v>
      </c>
      <c r="K708">
        <v>16.097899999999999</v>
      </c>
      <c r="L708">
        <v>76.416700000000006</v>
      </c>
      <c r="M708">
        <v>8.7501999999999995</v>
      </c>
      <c r="N708">
        <v>349</v>
      </c>
      <c r="O708">
        <v>4659</v>
      </c>
      <c r="P708">
        <v>5008</v>
      </c>
    </row>
    <row r="709" spans="1:16" x14ac:dyDescent="0.3">
      <c r="A709">
        <v>708</v>
      </c>
      <c r="B709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15.648346999999999</v>
      </c>
      <c r="K709">
        <v>19.4754</v>
      </c>
      <c r="L709">
        <v>91.125</v>
      </c>
      <c r="M709">
        <v>6.7923929999999997</v>
      </c>
      <c r="N709">
        <v>1153</v>
      </c>
      <c r="O709">
        <v>4429</v>
      </c>
      <c r="P709">
        <v>5582</v>
      </c>
    </row>
    <row r="710" spans="1:16" x14ac:dyDescent="0.3">
      <c r="A710">
        <v>709</v>
      </c>
      <c r="B710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15.750847</v>
      </c>
      <c r="K710">
        <v>19.507300000000001</v>
      </c>
      <c r="L710">
        <v>90.541700000000006</v>
      </c>
      <c r="M710">
        <v>10.584325</v>
      </c>
      <c r="N710">
        <v>441</v>
      </c>
      <c r="O710">
        <v>2787</v>
      </c>
      <c r="P710">
        <v>3228</v>
      </c>
    </row>
    <row r="711" spans="1:16" x14ac:dyDescent="0.3">
      <c r="A711">
        <v>710</v>
      </c>
      <c r="B71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17.869153000000001</v>
      </c>
      <c r="K711">
        <v>21.778749999999999</v>
      </c>
      <c r="L711">
        <v>92.5</v>
      </c>
      <c r="M711">
        <v>12.750636</v>
      </c>
      <c r="N711">
        <v>329</v>
      </c>
      <c r="O711">
        <v>4841</v>
      </c>
      <c r="P711">
        <v>5170</v>
      </c>
    </row>
    <row r="712" spans="1:16" x14ac:dyDescent="0.3">
      <c r="A712">
        <v>711</v>
      </c>
      <c r="B712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14.486653</v>
      </c>
      <c r="K712">
        <v>16.918150000000001</v>
      </c>
      <c r="L712">
        <v>59.666699999999999</v>
      </c>
      <c r="M712">
        <v>19.834479000000002</v>
      </c>
      <c r="N712">
        <v>282</v>
      </c>
      <c r="O712">
        <v>5219</v>
      </c>
      <c r="P712">
        <v>5501</v>
      </c>
    </row>
    <row r="713" spans="1:16" x14ac:dyDescent="0.3">
      <c r="A713">
        <v>712</v>
      </c>
      <c r="B713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12.1975</v>
      </c>
      <c r="K713">
        <v>14.866899999999999</v>
      </c>
      <c r="L713">
        <v>53.833300000000001</v>
      </c>
      <c r="M713">
        <v>10.916779</v>
      </c>
      <c r="N713">
        <v>310</v>
      </c>
      <c r="O713">
        <v>5009</v>
      </c>
      <c r="P713">
        <v>5319</v>
      </c>
    </row>
    <row r="714" spans="1:16" x14ac:dyDescent="0.3">
      <c r="A714">
        <v>713</v>
      </c>
      <c r="B714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12.129153000000001</v>
      </c>
      <c r="K714">
        <v>14.7094</v>
      </c>
      <c r="L714">
        <v>48.583300000000001</v>
      </c>
      <c r="M714">
        <v>11.666643000000001</v>
      </c>
      <c r="N714">
        <v>425</v>
      </c>
      <c r="O714">
        <v>5107</v>
      </c>
      <c r="P714">
        <v>5532</v>
      </c>
    </row>
    <row r="715" spans="1:16" x14ac:dyDescent="0.3">
      <c r="A715">
        <v>714</v>
      </c>
      <c r="B715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11.548347</v>
      </c>
      <c r="K715">
        <v>14.7096</v>
      </c>
      <c r="L715">
        <v>64.291700000000006</v>
      </c>
      <c r="M715">
        <v>8.7923430000000007</v>
      </c>
      <c r="N715">
        <v>429</v>
      </c>
      <c r="O715">
        <v>5182</v>
      </c>
      <c r="P715">
        <v>5611</v>
      </c>
    </row>
    <row r="716" spans="1:16" x14ac:dyDescent="0.3">
      <c r="A716">
        <v>715</v>
      </c>
      <c r="B716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13.290846999999999</v>
      </c>
      <c r="K716">
        <v>16.919149999999998</v>
      </c>
      <c r="L716">
        <v>65.041700000000006</v>
      </c>
      <c r="M716">
        <v>7.1254499999999998</v>
      </c>
      <c r="N716">
        <v>767</v>
      </c>
      <c r="O716">
        <v>4280</v>
      </c>
      <c r="P716">
        <v>5047</v>
      </c>
    </row>
    <row r="717" spans="1:16" x14ac:dyDescent="0.3">
      <c r="A717">
        <v>716</v>
      </c>
      <c r="B717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14.862500000000001</v>
      </c>
      <c r="K717">
        <v>18.4969</v>
      </c>
      <c r="L717">
        <v>83.875</v>
      </c>
      <c r="M717">
        <v>6.749714</v>
      </c>
      <c r="N717">
        <v>538</v>
      </c>
      <c r="O717">
        <v>3248</v>
      </c>
      <c r="P717">
        <v>3786</v>
      </c>
    </row>
    <row r="718" spans="1:16" x14ac:dyDescent="0.3">
      <c r="A718">
        <v>717</v>
      </c>
      <c r="B718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16.126653000000001</v>
      </c>
      <c r="K718">
        <v>20.074999999999999</v>
      </c>
      <c r="L718">
        <v>90.708299999999994</v>
      </c>
      <c r="M718">
        <v>6.5833060999999997</v>
      </c>
      <c r="N718">
        <v>212</v>
      </c>
      <c r="O718">
        <v>4373</v>
      </c>
      <c r="P718">
        <v>4585</v>
      </c>
    </row>
    <row r="719" spans="1:16" x14ac:dyDescent="0.3">
      <c r="A719">
        <v>718</v>
      </c>
      <c r="B719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16.844152999999999</v>
      </c>
      <c r="K719">
        <v>20.485399999999998</v>
      </c>
      <c r="L719">
        <v>66.625</v>
      </c>
      <c r="M719">
        <v>14.834068</v>
      </c>
      <c r="N719">
        <v>433</v>
      </c>
      <c r="O719">
        <v>5124</v>
      </c>
      <c r="P719">
        <v>5557</v>
      </c>
    </row>
    <row r="720" spans="1:16" x14ac:dyDescent="0.3">
      <c r="A720">
        <v>719</v>
      </c>
      <c r="B720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13.6325</v>
      </c>
      <c r="K720">
        <v>17.1081</v>
      </c>
      <c r="L720">
        <v>62.541699999999999</v>
      </c>
      <c r="M720">
        <v>12.334163999999999</v>
      </c>
      <c r="N720">
        <v>333</v>
      </c>
      <c r="O720">
        <v>4934</v>
      </c>
      <c r="P720">
        <v>5267</v>
      </c>
    </row>
    <row r="721" spans="1:16" x14ac:dyDescent="0.3">
      <c r="A721">
        <v>720</v>
      </c>
      <c r="B72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13.53</v>
      </c>
      <c r="K721">
        <v>16.760850000000001</v>
      </c>
      <c r="L721">
        <v>66.791700000000006</v>
      </c>
      <c r="M721">
        <v>8.8750210000000003</v>
      </c>
      <c r="N721">
        <v>314</v>
      </c>
      <c r="O721">
        <v>3814</v>
      </c>
      <c r="P721">
        <v>4128</v>
      </c>
    </row>
    <row r="722" spans="1:16" x14ac:dyDescent="0.3">
      <c r="A722">
        <v>721</v>
      </c>
      <c r="B722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13.393347</v>
      </c>
      <c r="K722">
        <v>15.08835</v>
      </c>
      <c r="L722">
        <v>55.666699999999999</v>
      </c>
      <c r="M722">
        <v>25.083660999999999</v>
      </c>
      <c r="N722">
        <v>221</v>
      </c>
      <c r="O722">
        <v>3402</v>
      </c>
      <c r="P722">
        <v>3623</v>
      </c>
    </row>
    <row r="723" spans="1:16" x14ac:dyDescent="0.3">
      <c r="A723">
        <v>722</v>
      </c>
      <c r="B723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10.899153</v>
      </c>
      <c r="K723">
        <v>11.80565</v>
      </c>
      <c r="L723">
        <v>44.125</v>
      </c>
      <c r="M723">
        <v>27.292182</v>
      </c>
      <c r="N723">
        <v>205</v>
      </c>
      <c r="O723">
        <v>1544</v>
      </c>
      <c r="P723">
        <v>1749</v>
      </c>
    </row>
    <row r="724" spans="1:16" x14ac:dyDescent="0.3">
      <c r="A724">
        <v>723</v>
      </c>
      <c r="B724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10.079153</v>
      </c>
      <c r="K724">
        <v>12.973549999999999</v>
      </c>
      <c r="L724">
        <v>51.541699999999999</v>
      </c>
      <c r="M724">
        <v>8.9165609999999997</v>
      </c>
      <c r="N724">
        <v>408</v>
      </c>
      <c r="O724">
        <v>1379</v>
      </c>
      <c r="P724">
        <v>1787</v>
      </c>
    </row>
    <row r="725" spans="1:16" x14ac:dyDescent="0.3">
      <c r="A725">
        <v>724</v>
      </c>
      <c r="B725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9.4834639999999997</v>
      </c>
      <c r="K725">
        <v>12.945</v>
      </c>
      <c r="L725">
        <v>79.130399999999995</v>
      </c>
      <c r="M725">
        <v>5.1744367999999996</v>
      </c>
      <c r="N725">
        <v>174</v>
      </c>
      <c r="O725">
        <v>746</v>
      </c>
      <c r="P725">
        <v>920</v>
      </c>
    </row>
    <row r="726" spans="1:16" x14ac:dyDescent="0.3">
      <c r="A726">
        <v>725</v>
      </c>
      <c r="B726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11.943464000000001</v>
      </c>
      <c r="K726">
        <v>14.72325</v>
      </c>
      <c r="L726">
        <v>73.478300000000004</v>
      </c>
      <c r="M726">
        <v>11.304641999999999</v>
      </c>
      <c r="N726">
        <v>440</v>
      </c>
      <c r="O726">
        <v>573</v>
      </c>
      <c r="P726">
        <v>1013</v>
      </c>
    </row>
    <row r="727" spans="1:16" x14ac:dyDescent="0.3">
      <c r="A727">
        <v>726</v>
      </c>
      <c r="B727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9.9766530000000007</v>
      </c>
      <c r="K727">
        <v>11.01665</v>
      </c>
      <c r="L727">
        <v>82.333299999999994</v>
      </c>
      <c r="M727">
        <v>21.208582</v>
      </c>
      <c r="N727">
        <v>9</v>
      </c>
      <c r="O727">
        <v>432</v>
      </c>
      <c r="P727">
        <v>441</v>
      </c>
    </row>
    <row r="728" spans="1:16" x14ac:dyDescent="0.3">
      <c r="A728">
        <v>727</v>
      </c>
      <c r="B728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10.420847</v>
      </c>
      <c r="K728">
        <v>11.332100000000001</v>
      </c>
      <c r="L728">
        <v>65.291700000000006</v>
      </c>
      <c r="M728">
        <v>23.458911000000001</v>
      </c>
      <c r="N728">
        <v>247</v>
      </c>
      <c r="O728">
        <v>1867</v>
      </c>
      <c r="P728">
        <v>2114</v>
      </c>
    </row>
    <row r="729" spans="1:16" x14ac:dyDescent="0.3">
      <c r="A729">
        <v>728</v>
      </c>
      <c r="B729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10.386653000000001</v>
      </c>
      <c r="K729">
        <v>12.7523</v>
      </c>
      <c r="L729">
        <v>59</v>
      </c>
      <c r="M729">
        <v>10.416556999999999</v>
      </c>
      <c r="N729">
        <v>644</v>
      </c>
      <c r="O729">
        <v>2451</v>
      </c>
      <c r="P729">
        <v>3095</v>
      </c>
    </row>
    <row r="730" spans="1:16" x14ac:dyDescent="0.3">
      <c r="A730">
        <v>729</v>
      </c>
      <c r="B730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10.386653000000001</v>
      </c>
      <c r="K730">
        <v>12.12</v>
      </c>
      <c r="L730">
        <v>75.291700000000006</v>
      </c>
      <c r="M730">
        <v>8.3336609999999993</v>
      </c>
      <c r="N730">
        <v>159</v>
      </c>
      <c r="O730">
        <v>1182</v>
      </c>
      <c r="P730">
        <v>1341</v>
      </c>
    </row>
    <row r="731" spans="1:16" x14ac:dyDescent="0.3">
      <c r="A731">
        <v>730</v>
      </c>
      <c r="B73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10.489153</v>
      </c>
      <c r="K731">
        <v>11.585000000000001</v>
      </c>
      <c r="L731">
        <v>48.333300000000001</v>
      </c>
      <c r="M731">
        <v>23.500518</v>
      </c>
      <c r="N731">
        <v>364</v>
      </c>
      <c r="O731">
        <v>1432</v>
      </c>
      <c r="P731">
        <v>1796</v>
      </c>
    </row>
    <row r="732" spans="1:16" x14ac:dyDescent="0.3">
      <c r="A732">
        <v>731</v>
      </c>
      <c r="B732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8.8491529999999994</v>
      </c>
      <c r="K732">
        <v>11.17435</v>
      </c>
      <c r="L732">
        <v>57.75</v>
      </c>
      <c r="M732">
        <v>10.374682</v>
      </c>
      <c r="N732">
        <v>439</v>
      </c>
      <c r="O732">
        <v>2290</v>
      </c>
      <c r="P732">
        <v>2729</v>
      </c>
    </row>
  </sheetData>
  <sheetProtection algorithmName="SHA-512" hashValue="rPUFyf5M/km/JBIiBzjGw34ax5Wwmq2A/rBsPWyn4x+ZqYga2k6wjLcsh+xIsBSFj7nnGTJuWVQC0dl24ZduFg==" saltValue="EatWEVj35aaxDHX1/j7d8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9D0B-56CB-4C3E-A830-63AE594EED61}">
  <dimension ref="B1:AS732"/>
  <sheetViews>
    <sheetView showGridLines="0" workbookViewId="0"/>
  </sheetViews>
  <sheetFormatPr defaultRowHeight="14.4" x14ac:dyDescent="0.3"/>
  <cols>
    <col min="1" max="1" width="1.88671875" customWidth="1"/>
    <col min="2" max="2" width="6.77734375" bestFit="1" customWidth="1"/>
    <col min="3" max="3" width="10.33203125" bestFit="1" customWidth="1"/>
    <col min="4" max="4" width="6.77734375" bestFit="1" customWidth="1"/>
    <col min="5" max="5" width="2.6640625" bestFit="1" customWidth="1"/>
    <col min="6" max="6" width="5.5546875" bestFit="1" customWidth="1"/>
    <col min="7" max="7" width="8.5546875" bestFit="1" customWidth="1"/>
    <col min="8" max="8" width="9.77734375" bestFit="1" customWidth="1"/>
    <col min="9" max="9" width="6.21875" bestFit="1" customWidth="1"/>
    <col min="10" max="10" width="9.33203125" bestFit="1" customWidth="1"/>
    <col min="11" max="11" width="5" style="8" bestFit="1" customWidth="1"/>
    <col min="12" max="12" width="10" bestFit="1" customWidth="1"/>
    <col min="13" max="13" width="9" bestFit="1" customWidth="1"/>
    <col min="14" max="14" width="8" bestFit="1" customWidth="1"/>
    <col min="15" max="15" width="10.109375" bestFit="1" customWidth="1"/>
    <col min="16" max="16" width="7.21875" bestFit="1" customWidth="1"/>
    <col min="17" max="17" width="10.88671875" bestFit="1" customWidth="1"/>
    <col min="18" max="18" width="3.77734375" bestFit="1" customWidth="1"/>
    <col min="19" max="20" width="4.44140625" bestFit="1" customWidth="1"/>
    <col min="21" max="21" width="4" bestFit="1" customWidth="1"/>
    <col min="22" max="22" width="4.77734375" bestFit="1" customWidth="1"/>
    <col min="23" max="23" width="3.88671875" bestFit="1" customWidth="1"/>
    <col min="24" max="24" width="3.21875" bestFit="1" customWidth="1"/>
    <col min="25" max="25" width="4.33203125" bestFit="1" customWidth="1"/>
    <col min="26" max="26" width="4.109375" bestFit="1" customWidth="1"/>
    <col min="27" max="27" width="3.88671875" bestFit="1" customWidth="1"/>
    <col min="28" max="28" width="4.44140625" bestFit="1" customWidth="1"/>
    <col min="29" max="29" width="4.109375" bestFit="1" customWidth="1"/>
    <col min="30" max="30" width="8.109375" bestFit="1" customWidth="1"/>
    <col min="31" max="31" width="8" bestFit="1" customWidth="1"/>
    <col min="32" max="32" width="10.88671875" bestFit="1" customWidth="1"/>
    <col min="33" max="33" width="8.77734375" bestFit="1" customWidth="1"/>
    <col min="34" max="34" width="6.109375" bestFit="1" customWidth="1"/>
    <col min="35" max="35" width="8.5546875" bestFit="1" customWidth="1"/>
    <col min="36" max="36" width="7.33203125" bestFit="1" customWidth="1"/>
    <col min="37" max="37" width="12.109375" bestFit="1" customWidth="1"/>
    <col min="38" max="38" width="12.21875" bestFit="1" customWidth="1"/>
    <col min="39" max="39" width="12" bestFit="1" customWidth="1"/>
    <col min="40" max="41" width="5" bestFit="1" customWidth="1"/>
    <col min="42" max="42" width="6.33203125" bestFit="1" customWidth="1"/>
    <col min="43" max="43" width="8.109375" bestFit="1" customWidth="1"/>
    <col min="44" max="44" width="3.77734375" bestFit="1" customWidth="1"/>
    <col min="45" max="45" width="6.6640625" bestFit="1" customWidth="1"/>
  </cols>
  <sheetData>
    <row r="1" spans="2:45" s="9" customFormat="1" x14ac:dyDescent="0.3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6</v>
      </c>
      <c r="H1" s="11" t="s">
        <v>8</v>
      </c>
      <c r="I1" s="11" t="s">
        <v>13</v>
      </c>
      <c r="J1" s="11" t="s">
        <v>14</v>
      </c>
      <c r="K1" s="10" t="s">
        <v>15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5</v>
      </c>
      <c r="Q1" s="11" t="s">
        <v>7</v>
      </c>
      <c r="R1" s="11" t="s">
        <v>51</v>
      </c>
      <c r="S1" s="11" t="s">
        <v>52</v>
      </c>
      <c r="T1" s="11" t="s">
        <v>53</v>
      </c>
      <c r="U1" s="11" t="s">
        <v>54</v>
      </c>
      <c r="V1" s="11" t="s">
        <v>55</v>
      </c>
      <c r="W1" s="11" t="s">
        <v>56</v>
      </c>
      <c r="X1" s="11" t="s">
        <v>57</v>
      </c>
      <c r="Y1" s="11" t="s">
        <v>58</v>
      </c>
      <c r="Z1" s="11" t="s">
        <v>59</v>
      </c>
      <c r="AA1" s="11" t="s">
        <v>60</v>
      </c>
      <c r="AB1" s="11" t="s">
        <v>61</v>
      </c>
      <c r="AC1" s="11" t="s">
        <v>62</v>
      </c>
      <c r="AD1" s="11" t="s">
        <v>63</v>
      </c>
      <c r="AE1" s="11" t="s">
        <v>64</v>
      </c>
      <c r="AF1" s="11" t="s">
        <v>65</v>
      </c>
      <c r="AG1" s="11" t="s">
        <v>66</v>
      </c>
      <c r="AH1" s="11" t="s">
        <v>67</v>
      </c>
      <c r="AI1" s="11" t="s">
        <v>68</v>
      </c>
      <c r="AJ1" s="11" t="s">
        <v>69</v>
      </c>
      <c r="AK1" s="11" t="s">
        <v>20</v>
      </c>
      <c r="AL1" s="11" t="s">
        <v>21</v>
      </c>
      <c r="AM1" s="11" t="s">
        <v>22</v>
      </c>
      <c r="AN1" s="11">
        <v>2018</v>
      </c>
      <c r="AO1" s="11">
        <v>2019</v>
      </c>
      <c r="AP1" s="11" t="s">
        <v>17</v>
      </c>
      <c r="AQ1" s="11" t="s">
        <v>16</v>
      </c>
      <c r="AR1" s="11" t="s">
        <v>18</v>
      </c>
      <c r="AS1" s="11" t="s">
        <v>19</v>
      </c>
    </row>
    <row r="2" spans="2:45" x14ac:dyDescent="0.3">
      <c r="B2">
        <v>1</v>
      </c>
      <c r="C2" s="1">
        <v>40544</v>
      </c>
      <c r="D2">
        <v>1</v>
      </c>
      <c r="E2">
        <v>0</v>
      </c>
      <c r="F2">
        <v>1</v>
      </c>
      <c r="G2">
        <v>6</v>
      </c>
      <c r="H2">
        <v>2</v>
      </c>
      <c r="I2">
        <v>331</v>
      </c>
      <c r="J2">
        <v>654</v>
      </c>
      <c r="K2" s="8">
        <v>985</v>
      </c>
      <c r="L2">
        <v>14.110847</v>
      </c>
      <c r="M2">
        <v>18.181249999999999</v>
      </c>
      <c r="N2">
        <v>80.583299999999994</v>
      </c>
      <c r="O2">
        <v>10.749881999999999</v>
      </c>
      <c r="P2">
        <v>0</v>
      </c>
      <c r="Q2">
        <v>0</v>
      </c>
      <c r="R2">
        <f>IF($F2=1,1,0)</f>
        <v>1</v>
      </c>
      <c r="S2">
        <f>IF($F2=2,1,0)</f>
        <v>0</v>
      </c>
      <c r="T2">
        <f>IF($F2=3,1,0)</f>
        <v>0</v>
      </c>
      <c r="U2">
        <f>IF($F2=4,1,0)</f>
        <v>0</v>
      </c>
      <c r="V2">
        <f>IF($F2=5,1,0)</f>
        <v>0</v>
      </c>
      <c r="W2">
        <f>IF($F2=6,1,0)</f>
        <v>0</v>
      </c>
      <c r="X2">
        <f>IF($F2=7,1,0)</f>
        <v>0</v>
      </c>
      <c r="Y2">
        <f>IF($F2=8,1,0)</f>
        <v>0</v>
      </c>
      <c r="Z2">
        <f>IF($F2=9,1,0)</f>
        <v>0</v>
      </c>
      <c r="AA2">
        <f>IF($F2=10,1,0)</f>
        <v>0</v>
      </c>
      <c r="AB2">
        <f>IF($F2=11,1,0)</f>
        <v>0</v>
      </c>
      <c r="AC2">
        <f>IF($F2=12,1,0)</f>
        <v>0</v>
      </c>
      <c r="AD2">
        <f>IF($G2=0,1,0)</f>
        <v>0</v>
      </c>
      <c r="AE2">
        <f>IF($G2=1,1,0)</f>
        <v>0</v>
      </c>
      <c r="AF2">
        <f>IF($G2=2,1,0)</f>
        <v>0</v>
      </c>
      <c r="AG2">
        <f>IF($G2=3,1,0)</f>
        <v>0</v>
      </c>
      <c r="AH2">
        <f>IF($G2=4,1,0)</f>
        <v>0</v>
      </c>
      <c r="AI2">
        <f>IF($G2=5,1,0)</f>
        <v>0</v>
      </c>
      <c r="AJ2">
        <f>IF($G2=6,1,0)</f>
        <v>1</v>
      </c>
      <c r="AK2">
        <f>IF($H2=1,1,0)</f>
        <v>0</v>
      </c>
      <c r="AL2">
        <f>IF($H2=2,1,0)</f>
        <v>1</v>
      </c>
      <c r="AM2">
        <f>IF($H2=3,1,0)</f>
        <v>0</v>
      </c>
      <c r="AN2">
        <f>IF($E2=0,1,0)</f>
        <v>1</v>
      </c>
      <c r="AO2">
        <f>IF($E2=1,1,0)</f>
        <v>0</v>
      </c>
      <c r="AP2">
        <f>IF($D2=1,1,0)</f>
        <v>1</v>
      </c>
      <c r="AQ2">
        <f>IF($D2=2,1,0)</f>
        <v>0</v>
      </c>
      <c r="AR2">
        <f>IF($D2=3,1,0)</f>
        <v>0</v>
      </c>
      <c r="AS2">
        <f>IF($D2=4,1,0)</f>
        <v>0</v>
      </c>
    </row>
    <row r="3" spans="2:45" x14ac:dyDescent="0.3">
      <c r="B3">
        <v>2</v>
      </c>
      <c r="C3" s="1">
        <v>40545</v>
      </c>
      <c r="D3">
        <v>1</v>
      </c>
      <c r="E3">
        <v>0</v>
      </c>
      <c r="F3">
        <v>1</v>
      </c>
      <c r="G3">
        <v>0</v>
      </c>
      <c r="H3">
        <v>2</v>
      </c>
      <c r="I3">
        <v>131</v>
      </c>
      <c r="J3">
        <v>670</v>
      </c>
      <c r="K3" s="8">
        <v>801</v>
      </c>
      <c r="L3">
        <v>14.902597999999999</v>
      </c>
      <c r="M3">
        <v>17.68695</v>
      </c>
      <c r="N3">
        <v>69.608699999999999</v>
      </c>
      <c r="O3">
        <v>16.652113</v>
      </c>
      <c r="P3">
        <v>0</v>
      </c>
      <c r="Q3">
        <v>0</v>
      </c>
      <c r="R3">
        <f t="shared" ref="R3:R66" si="0">IF($F3=1,1,0)</f>
        <v>1</v>
      </c>
      <c r="S3">
        <f t="shared" ref="S3:S66" si="1">IF($F3=2,1,0)</f>
        <v>0</v>
      </c>
      <c r="T3">
        <f t="shared" ref="T3:T66" si="2">IF($F3=3,1,0)</f>
        <v>0</v>
      </c>
      <c r="U3">
        <f t="shared" ref="U3:U66" si="3">IF($F3=4,1,0)</f>
        <v>0</v>
      </c>
      <c r="V3">
        <f t="shared" ref="V3:V66" si="4">IF($F3=5,1,0)</f>
        <v>0</v>
      </c>
      <c r="W3">
        <f t="shared" ref="W3:W66" si="5">IF($F3=6,1,0)</f>
        <v>0</v>
      </c>
      <c r="X3">
        <f t="shared" ref="X3:X66" si="6">IF($F3=7,1,0)</f>
        <v>0</v>
      </c>
      <c r="Y3">
        <f t="shared" ref="Y3:Y66" si="7">IF($F3=8,1,0)</f>
        <v>0</v>
      </c>
      <c r="Z3">
        <f t="shared" ref="Z3:Z66" si="8">IF($F3=9,1,0)</f>
        <v>0</v>
      </c>
      <c r="AA3">
        <f t="shared" ref="AA3:AA66" si="9">IF($F3=10,1,0)</f>
        <v>0</v>
      </c>
      <c r="AB3">
        <f t="shared" ref="AB3:AB66" si="10">IF($F3=11,1,0)</f>
        <v>0</v>
      </c>
      <c r="AC3">
        <f t="shared" ref="AC3:AC66" si="11">IF($F3=12,1,0)</f>
        <v>0</v>
      </c>
      <c r="AD3">
        <f t="shared" ref="AD3:AD66" si="12">IF($G3=0,1,0)</f>
        <v>1</v>
      </c>
      <c r="AE3">
        <f t="shared" ref="AE3:AE66" si="13">IF($G3=1,1,0)</f>
        <v>0</v>
      </c>
      <c r="AF3">
        <f t="shared" ref="AF3:AF66" si="14">IF($G3=2,1,0)</f>
        <v>0</v>
      </c>
      <c r="AG3">
        <f t="shared" ref="AG3:AG66" si="15">IF($G3=3,1,0)</f>
        <v>0</v>
      </c>
      <c r="AH3">
        <f t="shared" ref="AH3:AH66" si="16">IF($G3=4,1,0)</f>
        <v>0</v>
      </c>
      <c r="AI3">
        <f t="shared" ref="AI3:AI66" si="17">IF($G3=5,1,0)</f>
        <v>0</v>
      </c>
      <c r="AJ3">
        <f t="shared" ref="AJ3:AJ66" si="18">IF($G3=6,1,0)</f>
        <v>0</v>
      </c>
      <c r="AK3">
        <f t="shared" ref="AK3:AK66" si="19">IF($H3=1,1,0)</f>
        <v>0</v>
      </c>
      <c r="AL3">
        <f t="shared" ref="AL3:AL66" si="20">IF($H3=2,1,0)</f>
        <v>1</v>
      </c>
      <c r="AM3">
        <f t="shared" ref="AM3:AM66" si="21">IF($H3=3,1,0)</f>
        <v>0</v>
      </c>
      <c r="AN3">
        <f t="shared" ref="AN3:AN66" si="22">IF($E3=0,1,0)</f>
        <v>1</v>
      </c>
      <c r="AO3">
        <f t="shared" ref="AO3:AO66" si="23">IF($E3=1,1,0)</f>
        <v>0</v>
      </c>
      <c r="AP3">
        <f t="shared" ref="AP3:AP66" si="24">IF($D3=1,1,0)</f>
        <v>1</v>
      </c>
      <c r="AQ3">
        <f t="shared" ref="AQ3:AQ66" si="25">IF($D3=2,1,0)</f>
        <v>0</v>
      </c>
      <c r="AR3">
        <f t="shared" ref="AR3:AR66" si="26">IF($D3=3,1,0)</f>
        <v>0</v>
      </c>
      <c r="AS3">
        <f t="shared" ref="AS3:AS66" si="27">IF($D3=4,1,0)</f>
        <v>0</v>
      </c>
    </row>
    <row r="4" spans="2:45" x14ac:dyDescent="0.3">
      <c r="B4">
        <v>3</v>
      </c>
      <c r="C4" s="1">
        <v>40546</v>
      </c>
      <c r="D4">
        <v>1</v>
      </c>
      <c r="E4">
        <v>0</v>
      </c>
      <c r="F4">
        <v>1</v>
      </c>
      <c r="G4">
        <v>1</v>
      </c>
      <c r="H4">
        <v>1</v>
      </c>
      <c r="I4">
        <v>120</v>
      </c>
      <c r="J4">
        <v>1229</v>
      </c>
      <c r="K4" s="8">
        <v>1349</v>
      </c>
      <c r="L4">
        <v>8.0509240000000002</v>
      </c>
      <c r="M4">
        <v>9.4702500000000001</v>
      </c>
      <c r="N4">
        <v>43.7273</v>
      </c>
      <c r="O4">
        <v>16.636703000000001</v>
      </c>
      <c r="P4">
        <v>0</v>
      </c>
      <c r="Q4">
        <v>1</v>
      </c>
      <c r="R4">
        <f t="shared" si="0"/>
        <v>1</v>
      </c>
      <c r="S4">
        <f t="shared" si="1"/>
        <v>0</v>
      </c>
      <c r="T4">
        <f t="shared" si="2"/>
        <v>0</v>
      </c>
      <c r="U4">
        <f t="shared" si="3"/>
        <v>0</v>
      </c>
      <c r="V4">
        <f t="shared" si="4"/>
        <v>0</v>
      </c>
      <c r="W4">
        <f t="shared" si="5"/>
        <v>0</v>
      </c>
      <c r="X4">
        <f t="shared" si="6"/>
        <v>0</v>
      </c>
      <c r="Y4">
        <f t="shared" si="7"/>
        <v>0</v>
      </c>
      <c r="Z4">
        <f t="shared" si="8"/>
        <v>0</v>
      </c>
      <c r="AA4">
        <f t="shared" si="9"/>
        <v>0</v>
      </c>
      <c r="AB4">
        <f t="shared" si="10"/>
        <v>0</v>
      </c>
      <c r="AC4">
        <f t="shared" si="11"/>
        <v>0</v>
      </c>
      <c r="AD4">
        <f t="shared" si="12"/>
        <v>0</v>
      </c>
      <c r="AE4">
        <f t="shared" si="13"/>
        <v>1</v>
      </c>
      <c r="AF4">
        <f t="shared" si="14"/>
        <v>0</v>
      </c>
      <c r="AG4">
        <f t="shared" si="15"/>
        <v>0</v>
      </c>
      <c r="AH4">
        <f t="shared" si="16"/>
        <v>0</v>
      </c>
      <c r="AI4">
        <f t="shared" si="17"/>
        <v>0</v>
      </c>
      <c r="AJ4">
        <f t="shared" si="18"/>
        <v>0</v>
      </c>
      <c r="AK4">
        <f t="shared" si="19"/>
        <v>1</v>
      </c>
      <c r="AL4">
        <f t="shared" si="20"/>
        <v>0</v>
      </c>
      <c r="AM4">
        <f t="shared" si="21"/>
        <v>0</v>
      </c>
      <c r="AN4">
        <f t="shared" si="22"/>
        <v>1</v>
      </c>
      <c r="AO4">
        <f t="shared" si="23"/>
        <v>0</v>
      </c>
      <c r="AP4">
        <f t="shared" si="24"/>
        <v>1</v>
      </c>
      <c r="AQ4">
        <f t="shared" si="25"/>
        <v>0</v>
      </c>
      <c r="AR4">
        <f t="shared" si="26"/>
        <v>0</v>
      </c>
      <c r="AS4">
        <f t="shared" si="27"/>
        <v>0</v>
      </c>
    </row>
    <row r="5" spans="2:45" x14ac:dyDescent="0.3">
      <c r="B5">
        <v>4</v>
      </c>
      <c r="C5" s="1">
        <v>40547</v>
      </c>
      <c r="D5">
        <v>1</v>
      </c>
      <c r="E5">
        <v>0</v>
      </c>
      <c r="F5">
        <v>1</v>
      </c>
      <c r="G5">
        <v>2</v>
      </c>
      <c r="H5">
        <v>1</v>
      </c>
      <c r="I5">
        <v>108</v>
      </c>
      <c r="J5">
        <v>1454</v>
      </c>
      <c r="K5" s="8">
        <v>1562</v>
      </c>
      <c r="L5">
        <v>8.1999999999999993</v>
      </c>
      <c r="M5">
        <v>10.6061</v>
      </c>
      <c r="N5">
        <v>59.043500000000002</v>
      </c>
      <c r="O5">
        <v>10.739832</v>
      </c>
      <c r="P5">
        <v>0</v>
      </c>
      <c r="Q5">
        <v>1</v>
      </c>
      <c r="R5">
        <f t="shared" si="0"/>
        <v>1</v>
      </c>
      <c r="S5">
        <f t="shared" si="1"/>
        <v>0</v>
      </c>
      <c r="T5">
        <f t="shared" si="2"/>
        <v>0</v>
      </c>
      <c r="U5">
        <f t="shared" si="3"/>
        <v>0</v>
      </c>
      <c r="V5">
        <f t="shared" si="4"/>
        <v>0</v>
      </c>
      <c r="W5">
        <f t="shared" si="5"/>
        <v>0</v>
      </c>
      <c r="X5">
        <f t="shared" si="6"/>
        <v>0</v>
      </c>
      <c r="Y5">
        <f t="shared" si="7"/>
        <v>0</v>
      </c>
      <c r="Z5">
        <f t="shared" si="8"/>
        <v>0</v>
      </c>
      <c r="AA5">
        <f t="shared" si="9"/>
        <v>0</v>
      </c>
      <c r="AB5">
        <f t="shared" si="10"/>
        <v>0</v>
      </c>
      <c r="AC5">
        <f t="shared" si="11"/>
        <v>0</v>
      </c>
      <c r="AD5">
        <f t="shared" si="12"/>
        <v>0</v>
      </c>
      <c r="AE5">
        <f t="shared" si="13"/>
        <v>0</v>
      </c>
      <c r="AF5">
        <f t="shared" si="14"/>
        <v>1</v>
      </c>
      <c r="AG5">
        <f t="shared" si="15"/>
        <v>0</v>
      </c>
      <c r="AH5">
        <f t="shared" si="16"/>
        <v>0</v>
      </c>
      <c r="AI5">
        <f t="shared" si="17"/>
        <v>0</v>
      </c>
      <c r="AJ5">
        <f t="shared" si="18"/>
        <v>0</v>
      </c>
      <c r="AK5">
        <f t="shared" si="19"/>
        <v>1</v>
      </c>
      <c r="AL5">
        <f t="shared" si="20"/>
        <v>0</v>
      </c>
      <c r="AM5">
        <f t="shared" si="21"/>
        <v>0</v>
      </c>
      <c r="AN5">
        <f t="shared" si="22"/>
        <v>1</v>
      </c>
      <c r="AO5">
        <f t="shared" si="23"/>
        <v>0</v>
      </c>
      <c r="AP5">
        <f t="shared" si="24"/>
        <v>1</v>
      </c>
      <c r="AQ5">
        <f t="shared" si="25"/>
        <v>0</v>
      </c>
      <c r="AR5">
        <f t="shared" si="26"/>
        <v>0</v>
      </c>
      <c r="AS5">
        <f t="shared" si="27"/>
        <v>0</v>
      </c>
    </row>
    <row r="6" spans="2:45" x14ac:dyDescent="0.3">
      <c r="B6">
        <v>5</v>
      </c>
      <c r="C6" s="1">
        <v>40548</v>
      </c>
      <c r="D6">
        <v>1</v>
      </c>
      <c r="E6">
        <v>0</v>
      </c>
      <c r="F6">
        <v>1</v>
      </c>
      <c r="G6">
        <v>3</v>
      </c>
      <c r="H6">
        <v>1</v>
      </c>
      <c r="I6">
        <v>82</v>
      </c>
      <c r="J6">
        <v>1518</v>
      </c>
      <c r="K6" s="8">
        <v>1600</v>
      </c>
      <c r="L6">
        <v>9.305237</v>
      </c>
      <c r="M6">
        <v>11.4635</v>
      </c>
      <c r="N6">
        <v>43.695700000000002</v>
      </c>
      <c r="O6">
        <v>12.5223</v>
      </c>
      <c r="P6">
        <v>0</v>
      </c>
      <c r="Q6">
        <v>1</v>
      </c>
      <c r="R6">
        <f t="shared" si="0"/>
        <v>1</v>
      </c>
      <c r="S6">
        <f t="shared" si="1"/>
        <v>0</v>
      </c>
      <c r="T6">
        <f t="shared" si="2"/>
        <v>0</v>
      </c>
      <c r="U6">
        <f t="shared" si="3"/>
        <v>0</v>
      </c>
      <c r="V6">
        <f t="shared" si="4"/>
        <v>0</v>
      </c>
      <c r="W6">
        <f t="shared" si="5"/>
        <v>0</v>
      </c>
      <c r="X6">
        <f t="shared" si="6"/>
        <v>0</v>
      </c>
      <c r="Y6">
        <f t="shared" si="7"/>
        <v>0</v>
      </c>
      <c r="Z6">
        <f t="shared" si="8"/>
        <v>0</v>
      </c>
      <c r="AA6">
        <f t="shared" si="9"/>
        <v>0</v>
      </c>
      <c r="AB6">
        <f t="shared" si="10"/>
        <v>0</v>
      </c>
      <c r="AC6">
        <f t="shared" si="11"/>
        <v>0</v>
      </c>
      <c r="AD6">
        <f t="shared" si="12"/>
        <v>0</v>
      </c>
      <c r="AE6">
        <f t="shared" si="13"/>
        <v>0</v>
      </c>
      <c r="AF6">
        <f t="shared" si="14"/>
        <v>0</v>
      </c>
      <c r="AG6">
        <f t="shared" si="15"/>
        <v>1</v>
      </c>
      <c r="AH6">
        <f t="shared" si="16"/>
        <v>0</v>
      </c>
      <c r="AI6">
        <f t="shared" si="17"/>
        <v>0</v>
      </c>
      <c r="AJ6">
        <f t="shared" si="18"/>
        <v>0</v>
      </c>
      <c r="AK6">
        <f t="shared" si="19"/>
        <v>1</v>
      </c>
      <c r="AL6">
        <f t="shared" si="20"/>
        <v>0</v>
      </c>
      <c r="AM6">
        <f t="shared" si="21"/>
        <v>0</v>
      </c>
      <c r="AN6">
        <f t="shared" si="22"/>
        <v>1</v>
      </c>
      <c r="AO6">
        <f t="shared" si="23"/>
        <v>0</v>
      </c>
      <c r="AP6">
        <f t="shared" si="24"/>
        <v>1</v>
      </c>
      <c r="AQ6">
        <f t="shared" si="25"/>
        <v>0</v>
      </c>
      <c r="AR6">
        <f t="shared" si="26"/>
        <v>0</v>
      </c>
      <c r="AS6">
        <f t="shared" si="27"/>
        <v>0</v>
      </c>
    </row>
    <row r="7" spans="2:45" x14ac:dyDescent="0.3">
      <c r="B7">
        <v>6</v>
      </c>
      <c r="C7" s="1">
        <v>40549</v>
      </c>
      <c r="D7">
        <v>1</v>
      </c>
      <c r="E7">
        <v>0</v>
      </c>
      <c r="F7">
        <v>1</v>
      </c>
      <c r="G7">
        <v>4</v>
      </c>
      <c r="H7">
        <v>1</v>
      </c>
      <c r="I7">
        <v>88</v>
      </c>
      <c r="J7">
        <v>1518</v>
      </c>
      <c r="K7" s="8">
        <v>1606</v>
      </c>
      <c r="L7">
        <v>8.3782680000000003</v>
      </c>
      <c r="M7">
        <v>11.660450000000001</v>
      </c>
      <c r="N7">
        <v>51.826099999999997</v>
      </c>
      <c r="O7">
        <v>6.0008683999999999</v>
      </c>
      <c r="P7">
        <v>0</v>
      </c>
      <c r="Q7">
        <v>1</v>
      </c>
      <c r="R7">
        <f t="shared" si="0"/>
        <v>1</v>
      </c>
      <c r="S7">
        <f t="shared" si="1"/>
        <v>0</v>
      </c>
      <c r="T7">
        <f t="shared" si="2"/>
        <v>0</v>
      </c>
      <c r="U7">
        <f t="shared" si="3"/>
        <v>0</v>
      </c>
      <c r="V7">
        <f t="shared" si="4"/>
        <v>0</v>
      </c>
      <c r="W7">
        <f t="shared" si="5"/>
        <v>0</v>
      </c>
      <c r="X7">
        <f t="shared" si="6"/>
        <v>0</v>
      </c>
      <c r="Y7">
        <f t="shared" si="7"/>
        <v>0</v>
      </c>
      <c r="Z7">
        <f t="shared" si="8"/>
        <v>0</v>
      </c>
      <c r="AA7">
        <f t="shared" si="9"/>
        <v>0</v>
      </c>
      <c r="AB7">
        <f t="shared" si="10"/>
        <v>0</v>
      </c>
      <c r="AC7">
        <f t="shared" si="11"/>
        <v>0</v>
      </c>
      <c r="AD7">
        <f t="shared" si="12"/>
        <v>0</v>
      </c>
      <c r="AE7">
        <f t="shared" si="13"/>
        <v>0</v>
      </c>
      <c r="AF7">
        <f t="shared" si="14"/>
        <v>0</v>
      </c>
      <c r="AG7">
        <f t="shared" si="15"/>
        <v>0</v>
      </c>
      <c r="AH7">
        <f t="shared" si="16"/>
        <v>1</v>
      </c>
      <c r="AI7">
        <f t="shared" si="17"/>
        <v>0</v>
      </c>
      <c r="AJ7">
        <f t="shared" si="18"/>
        <v>0</v>
      </c>
      <c r="AK7">
        <f t="shared" si="19"/>
        <v>1</v>
      </c>
      <c r="AL7">
        <f t="shared" si="20"/>
        <v>0</v>
      </c>
      <c r="AM7">
        <f t="shared" si="21"/>
        <v>0</v>
      </c>
      <c r="AN7">
        <f t="shared" si="22"/>
        <v>1</v>
      </c>
      <c r="AO7">
        <f t="shared" si="23"/>
        <v>0</v>
      </c>
      <c r="AP7">
        <f t="shared" si="24"/>
        <v>1</v>
      </c>
      <c r="AQ7">
        <f t="shared" si="25"/>
        <v>0</v>
      </c>
      <c r="AR7">
        <f t="shared" si="26"/>
        <v>0</v>
      </c>
      <c r="AS7">
        <f t="shared" si="27"/>
        <v>0</v>
      </c>
    </row>
    <row r="8" spans="2:45" x14ac:dyDescent="0.3">
      <c r="B8">
        <v>7</v>
      </c>
      <c r="C8" s="1">
        <v>40550</v>
      </c>
      <c r="D8">
        <v>1</v>
      </c>
      <c r="E8">
        <v>0</v>
      </c>
      <c r="F8">
        <v>1</v>
      </c>
      <c r="G8">
        <v>5</v>
      </c>
      <c r="H8">
        <v>2</v>
      </c>
      <c r="I8">
        <v>148</v>
      </c>
      <c r="J8">
        <v>1362</v>
      </c>
      <c r="K8" s="8">
        <v>1510</v>
      </c>
      <c r="L8">
        <v>8.0574019999999997</v>
      </c>
      <c r="M8">
        <v>10.44195</v>
      </c>
      <c r="N8">
        <v>49.869599999999998</v>
      </c>
      <c r="O8">
        <v>11.304641999999999</v>
      </c>
      <c r="P8">
        <v>0</v>
      </c>
      <c r="Q8">
        <v>1</v>
      </c>
      <c r="R8">
        <f t="shared" si="0"/>
        <v>1</v>
      </c>
      <c r="S8">
        <f t="shared" si="1"/>
        <v>0</v>
      </c>
      <c r="T8">
        <f t="shared" si="2"/>
        <v>0</v>
      </c>
      <c r="U8">
        <f t="shared" si="3"/>
        <v>0</v>
      </c>
      <c r="V8">
        <f t="shared" si="4"/>
        <v>0</v>
      </c>
      <c r="W8">
        <f t="shared" si="5"/>
        <v>0</v>
      </c>
      <c r="X8">
        <f t="shared" si="6"/>
        <v>0</v>
      </c>
      <c r="Y8">
        <f t="shared" si="7"/>
        <v>0</v>
      </c>
      <c r="Z8">
        <f t="shared" si="8"/>
        <v>0</v>
      </c>
      <c r="AA8">
        <f t="shared" si="9"/>
        <v>0</v>
      </c>
      <c r="AB8">
        <f t="shared" si="10"/>
        <v>0</v>
      </c>
      <c r="AC8">
        <f t="shared" si="11"/>
        <v>0</v>
      </c>
      <c r="AD8">
        <f t="shared" si="12"/>
        <v>0</v>
      </c>
      <c r="AE8">
        <f t="shared" si="13"/>
        <v>0</v>
      </c>
      <c r="AF8">
        <f t="shared" si="14"/>
        <v>0</v>
      </c>
      <c r="AG8">
        <f t="shared" si="15"/>
        <v>0</v>
      </c>
      <c r="AH8">
        <f t="shared" si="16"/>
        <v>0</v>
      </c>
      <c r="AI8">
        <f t="shared" si="17"/>
        <v>1</v>
      </c>
      <c r="AJ8">
        <f t="shared" si="18"/>
        <v>0</v>
      </c>
      <c r="AK8">
        <f t="shared" si="19"/>
        <v>0</v>
      </c>
      <c r="AL8">
        <f t="shared" si="20"/>
        <v>1</v>
      </c>
      <c r="AM8">
        <f t="shared" si="21"/>
        <v>0</v>
      </c>
      <c r="AN8">
        <f t="shared" si="22"/>
        <v>1</v>
      </c>
      <c r="AO8">
        <f t="shared" si="23"/>
        <v>0</v>
      </c>
      <c r="AP8">
        <f t="shared" si="24"/>
        <v>1</v>
      </c>
      <c r="AQ8">
        <f t="shared" si="25"/>
        <v>0</v>
      </c>
      <c r="AR8">
        <f t="shared" si="26"/>
        <v>0</v>
      </c>
      <c r="AS8">
        <f t="shared" si="27"/>
        <v>0</v>
      </c>
    </row>
    <row r="9" spans="2:45" x14ac:dyDescent="0.3">
      <c r="B9">
        <v>8</v>
      </c>
      <c r="C9" s="1">
        <v>40551</v>
      </c>
      <c r="D9">
        <v>1</v>
      </c>
      <c r="E9">
        <v>0</v>
      </c>
      <c r="F9">
        <v>1</v>
      </c>
      <c r="G9">
        <v>6</v>
      </c>
      <c r="H9">
        <v>2</v>
      </c>
      <c r="I9">
        <v>68</v>
      </c>
      <c r="J9">
        <v>891</v>
      </c>
      <c r="K9" s="8">
        <v>959</v>
      </c>
      <c r="L9">
        <v>6.7649999999999997</v>
      </c>
      <c r="M9">
        <v>8.1127000000000002</v>
      </c>
      <c r="N9">
        <v>53.583300000000001</v>
      </c>
      <c r="O9">
        <v>17.875868000000001</v>
      </c>
      <c r="P9">
        <v>0</v>
      </c>
      <c r="Q9">
        <v>0</v>
      </c>
      <c r="R9">
        <f t="shared" si="0"/>
        <v>1</v>
      </c>
      <c r="S9">
        <f t="shared" si="1"/>
        <v>0</v>
      </c>
      <c r="T9">
        <f t="shared" si="2"/>
        <v>0</v>
      </c>
      <c r="U9">
        <f t="shared" si="3"/>
        <v>0</v>
      </c>
      <c r="V9">
        <f t="shared" si="4"/>
        <v>0</v>
      </c>
      <c r="W9">
        <f t="shared" si="5"/>
        <v>0</v>
      </c>
      <c r="X9">
        <f t="shared" si="6"/>
        <v>0</v>
      </c>
      <c r="Y9">
        <f t="shared" si="7"/>
        <v>0</v>
      </c>
      <c r="Z9">
        <f t="shared" si="8"/>
        <v>0</v>
      </c>
      <c r="AA9">
        <f t="shared" si="9"/>
        <v>0</v>
      </c>
      <c r="AB9">
        <f t="shared" si="10"/>
        <v>0</v>
      </c>
      <c r="AC9">
        <f t="shared" si="11"/>
        <v>0</v>
      </c>
      <c r="AD9">
        <f t="shared" si="12"/>
        <v>0</v>
      </c>
      <c r="AE9">
        <f t="shared" si="13"/>
        <v>0</v>
      </c>
      <c r="AF9">
        <f t="shared" si="14"/>
        <v>0</v>
      </c>
      <c r="AG9">
        <f t="shared" si="15"/>
        <v>0</v>
      </c>
      <c r="AH9">
        <f t="shared" si="16"/>
        <v>0</v>
      </c>
      <c r="AI9">
        <f t="shared" si="17"/>
        <v>0</v>
      </c>
      <c r="AJ9">
        <f t="shared" si="18"/>
        <v>1</v>
      </c>
      <c r="AK9">
        <f t="shared" si="19"/>
        <v>0</v>
      </c>
      <c r="AL9">
        <f t="shared" si="20"/>
        <v>1</v>
      </c>
      <c r="AM9">
        <f t="shared" si="21"/>
        <v>0</v>
      </c>
      <c r="AN9">
        <f t="shared" si="22"/>
        <v>1</v>
      </c>
      <c r="AO9">
        <f t="shared" si="23"/>
        <v>0</v>
      </c>
      <c r="AP9">
        <f t="shared" si="24"/>
        <v>1</v>
      </c>
      <c r="AQ9">
        <f t="shared" si="25"/>
        <v>0</v>
      </c>
      <c r="AR9">
        <f t="shared" si="26"/>
        <v>0</v>
      </c>
      <c r="AS9">
        <f t="shared" si="27"/>
        <v>0</v>
      </c>
    </row>
    <row r="10" spans="2:45" x14ac:dyDescent="0.3">
      <c r="B10">
        <v>9</v>
      </c>
      <c r="C10" s="1">
        <v>40552</v>
      </c>
      <c r="D10">
        <v>1</v>
      </c>
      <c r="E10">
        <v>0</v>
      </c>
      <c r="F10">
        <v>1</v>
      </c>
      <c r="G10">
        <v>0</v>
      </c>
      <c r="H10">
        <v>1</v>
      </c>
      <c r="I10">
        <v>54</v>
      </c>
      <c r="J10">
        <v>768</v>
      </c>
      <c r="K10" s="8">
        <v>822</v>
      </c>
      <c r="L10">
        <v>5.6716530000000001</v>
      </c>
      <c r="M10">
        <v>5.8087499999999999</v>
      </c>
      <c r="N10">
        <v>43.416699999999999</v>
      </c>
      <c r="O10">
        <v>24.25065</v>
      </c>
      <c r="P10">
        <v>0</v>
      </c>
      <c r="Q10">
        <v>0</v>
      </c>
      <c r="R10">
        <f t="shared" si="0"/>
        <v>1</v>
      </c>
      <c r="S10">
        <f t="shared" si="1"/>
        <v>0</v>
      </c>
      <c r="T10">
        <f t="shared" si="2"/>
        <v>0</v>
      </c>
      <c r="U10">
        <f t="shared" si="3"/>
        <v>0</v>
      </c>
      <c r="V10">
        <f t="shared" si="4"/>
        <v>0</v>
      </c>
      <c r="W10">
        <f t="shared" si="5"/>
        <v>0</v>
      </c>
      <c r="X10">
        <f t="shared" si="6"/>
        <v>0</v>
      </c>
      <c r="Y10">
        <f t="shared" si="7"/>
        <v>0</v>
      </c>
      <c r="Z10">
        <f t="shared" si="8"/>
        <v>0</v>
      </c>
      <c r="AA10">
        <f t="shared" si="9"/>
        <v>0</v>
      </c>
      <c r="AB10">
        <f t="shared" si="10"/>
        <v>0</v>
      </c>
      <c r="AC10">
        <f t="shared" si="11"/>
        <v>0</v>
      </c>
      <c r="AD10">
        <f t="shared" si="12"/>
        <v>1</v>
      </c>
      <c r="AE10">
        <f t="shared" si="13"/>
        <v>0</v>
      </c>
      <c r="AF10">
        <f t="shared" si="14"/>
        <v>0</v>
      </c>
      <c r="AG10">
        <f t="shared" si="15"/>
        <v>0</v>
      </c>
      <c r="AH10">
        <f t="shared" si="16"/>
        <v>0</v>
      </c>
      <c r="AI10">
        <f t="shared" si="17"/>
        <v>0</v>
      </c>
      <c r="AJ10">
        <f t="shared" si="18"/>
        <v>0</v>
      </c>
      <c r="AK10">
        <f t="shared" si="19"/>
        <v>1</v>
      </c>
      <c r="AL10">
        <f t="shared" si="20"/>
        <v>0</v>
      </c>
      <c r="AM10">
        <f t="shared" si="21"/>
        <v>0</v>
      </c>
      <c r="AN10">
        <f t="shared" si="22"/>
        <v>1</v>
      </c>
      <c r="AO10">
        <f t="shared" si="23"/>
        <v>0</v>
      </c>
      <c r="AP10">
        <f t="shared" si="24"/>
        <v>1</v>
      </c>
      <c r="AQ10">
        <f t="shared" si="25"/>
        <v>0</v>
      </c>
      <c r="AR10">
        <f t="shared" si="26"/>
        <v>0</v>
      </c>
      <c r="AS10">
        <f t="shared" si="27"/>
        <v>0</v>
      </c>
    </row>
    <row r="11" spans="2:45" x14ac:dyDescent="0.3">
      <c r="B11">
        <v>10</v>
      </c>
      <c r="C11" s="1">
        <v>40553</v>
      </c>
      <c r="D11">
        <v>1</v>
      </c>
      <c r="E11">
        <v>0</v>
      </c>
      <c r="F11">
        <v>1</v>
      </c>
      <c r="G11">
        <v>1</v>
      </c>
      <c r="H11">
        <v>1</v>
      </c>
      <c r="I11">
        <v>41</v>
      </c>
      <c r="J11">
        <v>1280</v>
      </c>
      <c r="K11" s="8">
        <v>1321</v>
      </c>
      <c r="L11">
        <v>6.1841530000000002</v>
      </c>
      <c r="M11">
        <v>7.5444000000000004</v>
      </c>
      <c r="N11">
        <v>48.291699999999999</v>
      </c>
      <c r="O11">
        <v>14.958888999999999</v>
      </c>
      <c r="P11">
        <v>0</v>
      </c>
      <c r="Q11">
        <v>1</v>
      </c>
      <c r="R11">
        <f t="shared" si="0"/>
        <v>1</v>
      </c>
      <c r="S11">
        <f t="shared" si="1"/>
        <v>0</v>
      </c>
      <c r="T11">
        <f t="shared" si="2"/>
        <v>0</v>
      </c>
      <c r="U11">
        <f t="shared" si="3"/>
        <v>0</v>
      </c>
      <c r="V11">
        <f t="shared" si="4"/>
        <v>0</v>
      </c>
      <c r="W11">
        <f t="shared" si="5"/>
        <v>0</v>
      </c>
      <c r="X11">
        <f t="shared" si="6"/>
        <v>0</v>
      </c>
      <c r="Y11">
        <f t="shared" si="7"/>
        <v>0</v>
      </c>
      <c r="Z11">
        <f t="shared" si="8"/>
        <v>0</v>
      </c>
      <c r="AA11">
        <f t="shared" si="9"/>
        <v>0</v>
      </c>
      <c r="AB11">
        <f t="shared" si="10"/>
        <v>0</v>
      </c>
      <c r="AC11">
        <f t="shared" si="11"/>
        <v>0</v>
      </c>
      <c r="AD11">
        <f t="shared" si="12"/>
        <v>0</v>
      </c>
      <c r="AE11">
        <f t="shared" si="13"/>
        <v>1</v>
      </c>
      <c r="AF11">
        <f t="shared" si="14"/>
        <v>0</v>
      </c>
      <c r="AG11">
        <f t="shared" si="15"/>
        <v>0</v>
      </c>
      <c r="AH11">
        <f t="shared" si="16"/>
        <v>0</v>
      </c>
      <c r="AI11">
        <f t="shared" si="17"/>
        <v>0</v>
      </c>
      <c r="AJ11">
        <f t="shared" si="18"/>
        <v>0</v>
      </c>
      <c r="AK11">
        <f t="shared" si="19"/>
        <v>1</v>
      </c>
      <c r="AL11">
        <f t="shared" si="20"/>
        <v>0</v>
      </c>
      <c r="AM11">
        <f t="shared" si="21"/>
        <v>0</v>
      </c>
      <c r="AN11">
        <f t="shared" si="22"/>
        <v>1</v>
      </c>
      <c r="AO11">
        <f t="shared" si="23"/>
        <v>0</v>
      </c>
      <c r="AP11">
        <f t="shared" si="24"/>
        <v>1</v>
      </c>
      <c r="AQ11">
        <f t="shared" si="25"/>
        <v>0</v>
      </c>
      <c r="AR11">
        <f t="shared" si="26"/>
        <v>0</v>
      </c>
      <c r="AS11">
        <f t="shared" si="27"/>
        <v>0</v>
      </c>
    </row>
    <row r="12" spans="2:45" x14ac:dyDescent="0.3">
      <c r="B12">
        <v>11</v>
      </c>
      <c r="C12" s="1">
        <v>40554</v>
      </c>
      <c r="D12">
        <v>1</v>
      </c>
      <c r="E12">
        <v>0</v>
      </c>
      <c r="F12">
        <v>1</v>
      </c>
      <c r="G12">
        <v>2</v>
      </c>
      <c r="H12">
        <v>2</v>
      </c>
      <c r="I12">
        <v>43</v>
      </c>
      <c r="J12">
        <v>1220</v>
      </c>
      <c r="K12" s="8">
        <v>1263</v>
      </c>
      <c r="L12">
        <v>6.9327310000000004</v>
      </c>
      <c r="M12">
        <v>9.5731999999999999</v>
      </c>
      <c r="N12">
        <v>68.636399999999995</v>
      </c>
      <c r="O12">
        <v>8.1828439999999993</v>
      </c>
      <c r="P12">
        <v>0</v>
      </c>
      <c r="Q12">
        <v>1</v>
      </c>
      <c r="R12">
        <f t="shared" si="0"/>
        <v>1</v>
      </c>
      <c r="S12">
        <f t="shared" si="1"/>
        <v>0</v>
      </c>
      <c r="T12">
        <f t="shared" si="2"/>
        <v>0</v>
      </c>
      <c r="U12">
        <f t="shared" si="3"/>
        <v>0</v>
      </c>
      <c r="V12">
        <f t="shared" si="4"/>
        <v>0</v>
      </c>
      <c r="W12">
        <f t="shared" si="5"/>
        <v>0</v>
      </c>
      <c r="X12">
        <f t="shared" si="6"/>
        <v>0</v>
      </c>
      <c r="Y12">
        <f t="shared" si="7"/>
        <v>0</v>
      </c>
      <c r="Z12">
        <f t="shared" si="8"/>
        <v>0</v>
      </c>
      <c r="AA12">
        <f t="shared" si="9"/>
        <v>0</v>
      </c>
      <c r="AB12">
        <f t="shared" si="10"/>
        <v>0</v>
      </c>
      <c r="AC12">
        <f t="shared" si="11"/>
        <v>0</v>
      </c>
      <c r="AD12">
        <f t="shared" si="12"/>
        <v>0</v>
      </c>
      <c r="AE12">
        <f t="shared" si="13"/>
        <v>0</v>
      </c>
      <c r="AF12">
        <f t="shared" si="14"/>
        <v>1</v>
      </c>
      <c r="AG12">
        <f t="shared" si="15"/>
        <v>0</v>
      </c>
      <c r="AH12">
        <f t="shared" si="16"/>
        <v>0</v>
      </c>
      <c r="AI12">
        <f t="shared" si="17"/>
        <v>0</v>
      </c>
      <c r="AJ12">
        <f t="shared" si="18"/>
        <v>0</v>
      </c>
      <c r="AK12">
        <f t="shared" si="19"/>
        <v>0</v>
      </c>
      <c r="AL12">
        <f t="shared" si="20"/>
        <v>1</v>
      </c>
      <c r="AM12">
        <f t="shared" si="21"/>
        <v>0</v>
      </c>
      <c r="AN12">
        <f t="shared" si="22"/>
        <v>1</v>
      </c>
      <c r="AO12">
        <f t="shared" si="23"/>
        <v>0</v>
      </c>
      <c r="AP12">
        <f t="shared" si="24"/>
        <v>1</v>
      </c>
      <c r="AQ12">
        <f t="shared" si="25"/>
        <v>0</v>
      </c>
      <c r="AR12">
        <f t="shared" si="26"/>
        <v>0</v>
      </c>
      <c r="AS12">
        <f t="shared" si="27"/>
        <v>0</v>
      </c>
    </row>
    <row r="13" spans="2:45" x14ac:dyDescent="0.3">
      <c r="B13">
        <v>12</v>
      </c>
      <c r="C13" s="1">
        <v>40555</v>
      </c>
      <c r="D13">
        <v>1</v>
      </c>
      <c r="E13">
        <v>0</v>
      </c>
      <c r="F13">
        <v>1</v>
      </c>
      <c r="G13">
        <v>3</v>
      </c>
      <c r="H13">
        <v>1</v>
      </c>
      <c r="I13">
        <v>25</v>
      </c>
      <c r="J13">
        <v>1137</v>
      </c>
      <c r="K13" s="8">
        <v>1162</v>
      </c>
      <c r="L13">
        <v>7.0818070000000004</v>
      </c>
      <c r="M13">
        <v>8.0236499999999999</v>
      </c>
      <c r="N13">
        <v>59.954500000000003</v>
      </c>
      <c r="O13">
        <v>20.410008999999999</v>
      </c>
      <c r="P13">
        <v>0</v>
      </c>
      <c r="Q13">
        <v>1</v>
      </c>
      <c r="R13">
        <f t="shared" si="0"/>
        <v>1</v>
      </c>
      <c r="S13">
        <f t="shared" si="1"/>
        <v>0</v>
      </c>
      <c r="T13">
        <f t="shared" si="2"/>
        <v>0</v>
      </c>
      <c r="U13">
        <f t="shared" si="3"/>
        <v>0</v>
      </c>
      <c r="V13">
        <f t="shared" si="4"/>
        <v>0</v>
      </c>
      <c r="W13">
        <f t="shared" si="5"/>
        <v>0</v>
      </c>
      <c r="X13">
        <f t="shared" si="6"/>
        <v>0</v>
      </c>
      <c r="Y13">
        <f t="shared" si="7"/>
        <v>0</v>
      </c>
      <c r="Z13">
        <f t="shared" si="8"/>
        <v>0</v>
      </c>
      <c r="AA13">
        <f t="shared" si="9"/>
        <v>0</v>
      </c>
      <c r="AB13">
        <f t="shared" si="10"/>
        <v>0</v>
      </c>
      <c r="AC13">
        <f t="shared" si="11"/>
        <v>0</v>
      </c>
      <c r="AD13">
        <f t="shared" si="12"/>
        <v>0</v>
      </c>
      <c r="AE13">
        <f t="shared" si="13"/>
        <v>0</v>
      </c>
      <c r="AF13">
        <f t="shared" si="14"/>
        <v>0</v>
      </c>
      <c r="AG13">
        <f t="shared" si="15"/>
        <v>1</v>
      </c>
      <c r="AH13">
        <f t="shared" si="16"/>
        <v>0</v>
      </c>
      <c r="AI13">
        <f t="shared" si="17"/>
        <v>0</v>
      </c>
      <c r="AJ13">
        <f t="shared" si="18"/>
        <v>0</v>
      </c>
      <c r="AK13">
        <f t="shared" si="19"/>
        <v>1</v>
      </c>
      <c r="AL13">
        <f t="shared" si="20"/>
        <v>0</v>
      </c>
      <c r="AM13">
        <f t="shared" si="21"/>
        <v>0</v>
      </c>
      <c r="AN13">
        <f t="shared" si="22"/>
        <v>1</v>
      </c>
      <c r="AO13">
        <f t="shared" si="23"/>
        <v>0</v>
      </c>
      <c r="AP13">
        <f t="shared" si="24"/>
        <v>1</v>
      </c>
      <c r="AQ13">
        <f t="shared" si="25"/>
        <v>0</v>
      </c>
      <c r="AR13">
        <f t="shared" si="26"/>
        <v>0</v>
      </c>
      <c r="AS13">
        <f t="shared" si="27"/>
        <v>0</v>
      </c>
    </row>
    <row r="14" spans="2:45" x14ac:dyDescent="0.3">
      <c r="B14">
        <v>13</v>
      </c>
      <c r="C14" s="1">
        <v>40556</v>
      </c>
      <c r="D14">
        <v>1</v>
      </c>
      <c r="E14">
        <v>0</v>
      </c>
      <c r="F14">
        <v>1</v>
      </c>
      <c r="G14">
        <v>4</v>
      </c>
      <c r="H14">
        <v>1</v>
      </c>
      <c r="I14">
        <v>38</v>
      </c>
      <c r="J14">
        <v>1368</v>
      </c>
      <c r="K14" s="8">
        <v>1406</v>
      </c>
      <c r="L14">
        <v>6.7649999999999997</v>
      </c>
      <c r="M14">
        <v>7.5441500000000001</v>
      </c>
      <c r="N14">
        <v>47.041699999999999</v>
      </c>
      <c r="O14">
        <v>20.167000000000002</v>
      </c>
      <c r="P14">
        <v>0</v>
      </c>
      <c r="Q14">
        <v>1</v>
      </c>
      <c r="R14">
        <f t="shared" si="0"/>
        <v>1</v>
      </c>
      <c r="S14">
        <f t="shared" si="1"/>
        <v>0</v>
      </c>
      <c r="T14">
        <f t="shared" si="2"/>
        <v>0</v>
      </c>
      <c r="U14">
        <f t="shared" si="3"/>
        <v>0</v>
      </c>
      <c r="V14">
        <f t="shared" si="4"/>
        <v>0</v>
      </c>
      <c r="W14">
        <f t="shared" si="5"/>
        <v>0</v>
      </c>
      <c r="X14">
        <f t="shared" si="6"/>
        <v>0</v>
      </c>
      <c r="Y14">
        <f t="shared" si="7"/>
        <v>0</v>
      </c>
      <c r="Z14">
        <f t="shared" si="8"/>
        <v>0</v>
      </c>
      <c r="AA14">
        <f t="shared" si="9"/>
        <v>0</v>
      </c>
      <c r="AB14">
        <f t="shared" si="10"/>
        <v>0</v>
      </c>
      <c r="AC14">
        <f t="shared" si="11"/>
        <v>0</v>
      </c>
      <c r="AD14">
        <f t="shared" si="12"/>
        <v>0</v>
      </c>
      <c r="AE14">
        <f t="shared" si="13"/>
        <v>0</v>
      </c>
      <c r="AF14">
        <f t="shared" si="14"/>
        <v>0</v>
      </c>
      <c r="AG14">
        <f t="shared" si="15"/>
        <v>0</v>
      </c>
      <c r="AH14">
        <f t="shared" si="16"/>
        <v>1</v>
      </c>
      <c r="AI14">
        <f t="shared" si="17"/>
        <v>0</v>
      </c>
      <c r="AJ14">
        <f t="shared" si="18"/>
        <v>0</v>
      </c>
      <c r="AK14">
        <f t="shared" si="19"/>
        <v>1</v>
      </c>
      <c r="AL14">
        <f t="shared" si="20"/>
        <v>0</v>
      </c>
      <c r="AM14">
        <f t="shared" si="21"/>
        <v>0</v>
      </c>
      <c r="AN14">
        <f t="shared" si="22"/>
        <v>1</v>
      </c>
      <c r="AO14">
        <f t="shared" si="23"/>
        <v>0</v>
      </c>
      <c r="AP14">
        <f t="shared" si="24"/>
        <v>1</v>
      </c>
      <c r="AQ14">
        <f t="shared" si="25"/>
        <v>0</v>
      </c>
      <c r="AR14">
        <f t="shared" si="26"/>
        <v>0</v>
      </c>
      <c r="AS14">
        <f t="shared" si="27"/>
        <v>0</v>
      </c>
    </row>
    <row r="15" spans="2:45" x14ac:dyDescent="0.3">
      <c r="B15">
        <v>14</v>
      </c>
      <c r="C15" s="1">
        <v>40557</v>
      </c>
      <c r="D15">
        <v>1</v>
      </c>
      <c r="E15">
        <v>0</v>
      </c>
      <c r="F15">
        <v>1</v>
      </c>
      <c r="G15">
        <v>5</v>
      </c>
      <c r="H15">
        <v>1</v>
      </c>
      <c r="I15">
        <v>54</v>
      </c>
      <c r="J15">
        <v>1367</v>
      </c>
      <c r="K15" s="8">
        <v>1421</v>
      </c>
      <c r="L15">
        <v>6.5956700000000001</v>
      </c>
      <c r="M15">
        <v>9.4206500000000002</v>
      </c>
      <c r="N15">
        <v>53.782600000000002</v>
      </c>
      <c r="O15">
        <v>8.4787160000000004</v>
      </c>
      <c r="P15">
        <v>0</v>
      </c>
      <c r="Q15">
        <v>1</v>
      </c>
      <c r="R15">
        <f t="shared" si="0"/>
        <v>1</v>
      </c>
      <c r="S15">
        <f t="shared" si="1"/>
        <v>0</v>
      </c>
      <c r="T15">
        <f t="shared" si="2"/>
        <v>0</v>
      </c>
      <c r="U15">
        <f t="shared" si="3"/>
        <v>0</v>
      </c>
      <c r="V15">
        <f t="shared" si="4"/>
        <v>0</v>
      </c>
      <c r="W15">
        <f t="shared" si="5"/>
        <v>0</v>
      </c>
      <c r="X15">
        <f t="shared" si="6"/>
        <v>0</v>
      </c>
      <c r="Y15">
        <f t="shared" si="7"/>
        <v>0</v>
      </c>
      <c r="Z15">
        <f t="shared" si="8"/>
        <v>0</v>
      </c>
      <c r="AA15">
        <f t="shared" si="9"/>
        <v>0</v>
      </c>
      <c r="AB15">
        <f t="shared" si="10"/>
        <v>0</v>
      </c>
      <c r="AC15">
        <f t="shared" si="11"/>
        <v>0</v>
      </c>
      <c r="AD15">
        <f t="shared" si="12"/>
        <v>0</v>
      </c>
      <c r="AE15">
        <f t="shared" si="13"/>
        <v>0</v>
      </c>
      <c r="AF15">
        <f t="shared" si="14"/>
        <v>0</v>
      </c>
      <c r="AG15">
        <f t="shared" si="15"/>
        <v>0</v>
      </c>
      <c r="AH15">
        <f t="shared" si="16"/>
        <v>0</v>
      </c>
      <c r="AI15">
        <f t="shared" si="17"/>
        <v>1</v>
      </c>
      <c r="AJ15">
        <f t="shared" si="18"/>
        <v>0</v>
      </c>
      <c r="AK15">
        <f t="shared" si="19"/>
        <v>1</v>
      </c>
      <c r="AL15">
        <f t="shared" si="20"/>
        <v>0</v>
      </c>
      <c r="AM15">
        <f t="shared" si="21"/>
        <v>0</v>
      </c>
      <c r="AN15">
        <f t="shared" si="22"/>
        <v>1</v>
      </c>
      <c r="AO15">
        <f t="shared" si="23"/>
        <v>0</v>
      </c>
      <c r="AP15">
        <f t="shared" si="24"/>
        <v>1</v>
      </c>
      <c r="AQ15">
        <f t="shared" si="25"/>
        <v>0</v>
      </c>
      <c r="AR15">
        <f t="shared" si="26"/>
        <v>0</v>
      </c>
      <c r="AS15">
        <f t="shared" si="27"/>
        <v>0</v>
      </c>
    </row>
    <row r="16" spans="2:45" x14ac:dyDescent="0.3">
      <c r="B16">
        <v>15</v>
      </c>
      <c r="C16" s="1">
        <v>40558</v>
      </c>
      <c r="D16">
        <v>1</v>
      </c>
      <c r="E16">
        <v>0</v>
      </c>
      <c r="F16">
        <v>1</v>
      </c>
      <c r="G16">
        <v>6</v>
      </c>
      <c r="H16">
        <v>2</v>
      </c>
      <c r="I16">
        <v>222</v>
      </c>
      <c r="J16">
        <v>1026</v>
      </c>
      <c r="K16" s="8">
        <v>1248</v>
      </c>
      <c r="L16">
        <v>9.5666530000000005</v>
      </c>
      <c r="M16">
        <v>12.4056</v>
      </c>
      <c r="N16">
        <v>49.875</v>
      </c>
      <c r="O16">
        <v>10.583520999999999</v>
      </c>
      <c r="P16">
        <v>0</v>
      </c>
      <c r="Q16">
        <v>0</v>
      </c>
      <c r="R16">
        <f t="shared" si="0"/>
        <v>1</v>
      </c>
      <c r="S16">
        <f t="shared" si="1"/>
        <v>0</v>
      </c>
      <c r="T16">
        <f t="shared" si="2"/>
        <v>0</v>
      </c>
      <c r="U16">
        <f t="shared" si="3"/>
        <v>0</v>
      </c>
      <c r="V16">
        <f t="shared" si="4"/>
        <v>0</v>
      </c>
      <c r="W16">
        <f t="shared" si="5"/>
        <v>0</v>
      </c>
      <c r="X16">
        <f t="shared" si="6"/>
        <v>0</v>
      </c>
      <c r="Y16">
        <f t="shared" si="7"/>
        <v>0</v>
      </c>
      <c r="Z16">
        <f t="shared" si="8"/>
        <v>0</v>
      </c>
      <c r="AA16">
        <f t="shared" si="9"/>
        <v>0</v>
      </c>
      <c r="AB16">
        <f t="shared" si="10"/>
        <v>0</v>
      </c>
      <c r="AC16">
        <f t="shared" si="11"/>
        <v>0</v>
      </c>
      <c r="AD16">
        <f t="shared" si="12"/>
        <v>0</v>
      </c>
      <c r="AE16">
        <f t="shared" si="13"/>
        <v>0</v>
      </c>
      <c r="AF16">
        <f t="shared" si="14"/>
        <v>0</v>
      </c>
      <c r="AG16">
        <f t="shared" si="15"/>
        <v>0</v>
      </c>
      <c r="AH16">
        <f t="shared" si="16"/>
        <v>0</v>
      </c>
      <c r="AI16">
        <f t="shared" si="17"/>
        <v>0</v>
      </c>
      <c r="AJ16">
        <f t="shared" si="18"/>
        <v>1</v>
      </c>
      <c r="AK16">
        <f t="shared" si="19"/>
        <v>0</v>
      </c>
      <c r="AL16">
        <f t="shared" si="20"/>
        <v>1</v>
      </c>
      <c r="AM16">
        <f t="shared" si="21"/>
        <v>0</v>
      </c>
      <c r="AN16">
        <f t="shared" si="22"/>
        <v>1</v>
      </c>
      <c r="AO16">
        <f t="shared" si="23"/>
        <v>0</v>
      </c>
      <c r="AP16">
        <f t="shared" si="24"/>
        <v>1</v>
      </c>
      <c r="AQ16">
        <f t="shared" si="25"/>
        <v>0</v>
      </c>
      <c r="AR16">
        <f t="shared" si="26"/>
        <v>0</v>
      </c>
      <c r="AS16">
        <f t="shared" si="27"/>
        <v>0</v>
      </c>
    </row>
    <row r="17" spans="2:45" x14ac:dyDescent="0.3">
      <c r="B17">
        <v>16</v>
      </c>
      <c r="C17" s="1">
        <v>40559</v>
      </c>
      <c r="D17">
        <v>1</v>
      </c>
      <c r="E17">
        <v>0</v>
      </c>
      <c r="F17">
        <v>1</v>
      </c>
      <c r="G17">
        <v>0</v>
      </c>
      <c r="H17">
        <v>1</v>
      </c>
      <c r="I17">
        <v>251</v>
      </c>
      <c r="J17">
        <v>953</v>
      </c>
      <c r="K17" s="8">
        <v>1204</v>
      </c>
      <c r="L17">
        <v>9.4983470000000008</v>
      </c>
      <c r="M17">
        <v>11.710850000000001</v>
      </c>
      <c r="N17">
        <v>48.375</v>
      </c>
      <c r="O17">
        <v>12.625011000000001</v>
      </c>
      <c r="P17">
        <v>0</v>
      </c>
      <c r="Q17">
        <v>0</v>
      </c>
      <c r="R17">
        <f t="shared" si="0"/>
        <v>1</v>
      </c>
      <c r="S17">
        <f t="shared" si="1"/>
        <v>0</v>
      </c>
      <c r="T17">
        <f t="shared" si="2"/>
        <v>0</v>
      </c>
      <c r="U17">
        <f t="shared" si="3"/>
        <v>0</v>
      </c>
      <c r="V17">
        <f t="shared" si="4"/>
        <v>0</v>
      </c>
      <c r="W17">
        <f t="shared" si="5"/>
        <v>0</v>
      </c>
      <c r="X17">
        <f t="shared" si="6"/>
        <v>0</v>
      </c>
      <c r="Y17">
        <f t="shared" si="7"/>
        <v>0</v>
      </c>
      <c r="Z17">
        <f t="shared" si="8"/>
        <v>0</v>
      </c>
      <c r="AA17">
        <f t="shared" si="9"/>
        <v>0</v>
      </c>
      <c r="AB17">
        <f t="shared" si="10"/>
        <v>0</v>
      </c>
      <c r="AC17">
        <f t="shared" si="11"/>
        <v>0</v>
      </c>
      <c r="AD17">
        <f t="shared" si="12"/>
        <v>1</v>
      </c>
      <c r="AE17">
        <f t="shared" si="13"/>
        <v>0</v>
      </c>
      <c r="AF17">
        <f t="shared" si="14"/>
        <v>0</v>
      </c>
      <c r="AG17">
        <f t="shared" si="15"/>
        <v>0</v>
      </c>
      <c r="AH17">
        <f t="shared" si="16"/>
        <v>0</v>
      </c>
      <c r="AI17">
        <f t="shared" si="17"/>
        <v>0</v>
      </c>
      <c r="AJ17">
        <f t="shared" si="18"/>
        <v>0</v>
      </c>
      <c r="AK17">
        <f t="shared" si="19"/>
        <v>1</v>
      </c>
      <c r="AL17">
        <f t="shared" si="20"/>
        <v>0</v>
      </c>
      <c r="AM17">
        <f t="shared" si="21"/>
        <v>0</v>
      </c>
      <c r="AN17">
        <f t="shared" si="22"/>
        <v>1</v>
      </c>
      <c r="AO17">
        <f t="shared" si="23"/>
        <v>0</v>
      </c>
      <c r="AP17">
        <f t="shared" si="24"/>
        <v>1</v>
      </c>
      <c r="AQ17">
        <f t="shared" si="25"/>
        <v>0</v>
      </c>
      <c r="AR17">
        <f t="shared" si="26"/>
        <v>0</v>
      </c>
      <c r="AS17">
        <f t="shared" si="27"/>
        <v>0</v>
      </c>
    </row>
    <row r="18" spans="2:45" x14ac:dyDescent="0.3">
      <c r="B18">
        <v>17</v>
      </c>
      <c r="C18" s="1">
        <v>40560</v>
      </c>
      <c r="D18">
        <v>1</v>
      </c>
      <c r="E18">
        <v>0</v>
      </c>
      <c r="F18">
        <v>1</v>
      </c>
      <c r="G18">
        <v>1</v>
      </c>
      <c r="H18">
        <v>2</v>
      </c>
      <c r="I18">
        <v>117</v>
      </c>
      <c r="J18">
        <v>883</v>
      </c>
      <c r="K18" s="8">
        <v>1000</v>
      </c>
      <c r="L18">
        <v>7.2091529999999997</v>
      </c>
      <c r="M18">
        <v>8.8385499999999997</v>
      </c>
      <c r="N18">
        <v>53.75</v>
      </c>
      <c r="O18">
        <v>12.999139</v>
      </c>
      <c r="P18">
        <v>1</v>
      </c>
      <c r="Q18">
        <v>0</v>
      </c>
      <c r="R18">
        <f t="shared" si="0"/>
        <v>1</v>
      </c>
      <c r="S18">
        <f t="shared" si="1"/>
        <v>0</v>
      </c>
      <c r="T18">
        <f t="shared" si="2"/>
        <v>0</v>
      </c>
      <c r="U18">
        <f t="shared" si="3"/>
        <v>0</v>
      </c>
      <c r="V18">
        <f t="shared" si="4"/>
        <v>0</v>
      </c>
      <c r="W18">
        <f t="shared" si="5"/>
        <v>0</v>
      </c>
      <c r="X18">
        <f t="shared" si="6"/>
        <v>0</v>
      </c>
      <c r="Y18">
        <f t="shared" si="7"/>
        <v>0</v>
      </c>
      <c r="Z18">
        <f t="shared" si="8"/>
        <v>0</v>
      </c>
      <c r="AA18">
        <f t="shared" si="9"/>
        <v>0</v>
      </c>
      <c r="AB18">
        <f t="shared" si="10"/>
        <v>0</v>
      </c>
      <c r="AC18">
        <f t="shared" si="11"/>
        <v>0</v>
      </c>
      <c r="AD18">
        <f t="shared" si="12"/>
        <v>0</v>
      </c>
      <c r="AE18">
        <f t="shared" si="13"/>
        <v>1</v>
      </c>
      <c r="AF18">
        <f t="shared" si="14"/>
        <v>0</v>
      </c>
      <c r="AG18">
        <f t="shared" si="15"/>
        <v>0</v>
      </c>
      <c r="AH18">
        <f t="shared" si="16"/>
        <v>0</v>
      </c>
      <c r="AI18">
        <f t="shared" si="17"/>
        <v>0</v>
      </c>
      <c r="AJ18">
        <f t="shared" si="18"/>
        <v>0</v>
      </c>
      <c r="AK18">
        <f t="shared" si="19"/>
        <v>0</v>
      </c>
      <c r="AL18">
        <f t="shared" si="20"/>
        <v>1</v>
      </c>
      <c r="AM18">
        <f t="shared" si="21"/>
        <v>0</v>
      </c>
      <c r="AN18">
        <f t="shared" si="22"/>
        <v>1</v>
      </c>
      <c r="AO18">
        <f t="shared" si="23"/>
        <v>0</v>
      </c>
      <c r="AP18">
        <f t="shared" si="24"/>
        <v>1</v>
      </c>
      <c r="AQ18">
        <f t="shared" si="25"/>
        <v>0</v>
      </c>
      <c r="AR18">
        <f t="shared" si="26"/>
        <v>0</v>
      </c>
      <c r="AS18">
        <f t="shared" si="27"/>
        <v>0</v>
      </c>
    </row>
    <row r="19" spans="2:45" x14ac:dyDescent="0.3">
      <c r="B19">
        <v>18</v>
      </c>
      <c r="C19" s="1">
        <v>40561</v>
      </c>
      <c r="D19">
        <v>1</v>
      </c>
      <c r="E19">
        <v>0</v>
      </c>
      <c r="F19">
        <v>1</v>
      </c>
      <c r="G19">
        <v>2</v>
      </c>
      <c r="H19">
        <v>2</v>
      </c>
      <c r="I19">
        <v>9</v>
      </c>
      <c r="J19">
        <v>674</v>
      </c>
      <c r="K19" s="8">
        <v>683</v>
      </c>
      <c r="L19">
        <v>8.8833470000000005</v>
      </c>
      <c r="M19">
        <v>11.61665</v>
      </c>
      <c r="N19">
        <v>86.166700000000006</v>
      </c>
      <c r="O19">
        <v>9.8339250000000007</v>
      </c>
      <c r="P19">
        <v>0</v>
      </c>
      <c r="Q19">
        <v>1</v>
      </c>
      <c r="R19">
        <f t="shared" si="0"/>
        <v>1</v>
      </c>
      <c r="S19">
        <f t="shared" si="1"/>
        <v>0</v>
      </c>
      <c r="T19">
        <f t="shared" si="2"/>
        <v>0</v>
      </c>
      <c r="U19">
        <f t="shared" si="3"/>
        <v>0</v>
      </c>
      <c r="V19">
        <f t="shared" si="4"/>
        <v>0</v>
      </c>
      <c r="W19">
        <f t="shared" si="5"/>
        <v>0</v>
      </c>
      <c r="X19">
        <f t="shared" si="6"/>
        <v>0</v>
      </c>
      <c r="Y19">
        <f t="shared" si="7"/>
        <v>0</v>
      </c>
      <c r="Z19">
        <f t="shared" si="8"/>
        <v>0</v>
      </c>
      <c r="AA19">
        <f t="shared" si="9"/>
        <v>0</v>
      </c>
      <c r="AB19">
        <f t="shared" si="10"/>
        <v>0</v>
      </c>
      <c r="AC19">
        <f t="shared" si="11"/>
        <v>0</v>
      </c>
      <c r="AD19">
        <f t="shared" si="12"/>
        <v>0</v>
      </c>
      <c r="AE19">
        <f t="shared" si="13"/>
        <v>0</v>
      </c>
      <c r="AF19">
        <f t="shared" si="14"/>
        <v>1</v>
      </c>
      <c r="AG19">
        <f t="shared" si="15"/>
        <v>0</v>
      </c>
      <c r="AH19">
        <f t="shared" si="16"/>
        <v>0</v>
      </c>
      <c r="AI19">
        <f t="shared" si="17"/>
        <v>0</v>
      </c>
      <c r="AJ19">
        <f t="shared" si="18"/>
        <v>0</v>
      </c>
      <c r="AK19">
        <f t="shared" si="19"/>
        <v>0</v>
      </c>
      <c r="AL19">
        <f t="shared" si="20"/>
        <v>1</v>
      </c>
      <c r="AM19">
        <f t="shared" si="21"/>
        <v>0</v>
      </c>
      <c r="AN19">
        <f t="shared" si="22"/>
        <v>1</v>
      </c>
      <c r="AO19">
        <f t="shared" si="23"/>
        <v>0</v>
      </c>
      <c r="AP19">
        <f t="shared" si="24"/>
        <v>1</v>
      </c>
      <c r="AQ19">
        <f t="shared" si="25"/>
        <v>0</v>
      </c>
      <c r="AR19">
        <f t="shared" si="26"/>
        <v>0</v>
      </c>
      <c r="AS19">
        <f t="shared" si="27"/>
        <v>0</v>
      </c>
    </row>
    <row r="20" spans="2:45" x14ac:dyDescent="0.3">
      <c r="B20">
        <v>19</v>
      </c>
      <c r="C20" s="1">
        <v>40562</v>
      </c>
      <c r="D20">
        <v>1</v>
      </c>
      <c r="E20">
        <v>0</v>
      </c>
      <c r="F20">
        <v>1</v>
      </c>
      <c r="G20">
        <v>3</v>
      </c>
      <c r="H20">
        <v>2</v>
      </c>
      <c r="I20">
        <v>78</v>
      </c>
      <c r="J20">
        <v>1572</v>
      </c>
      <c r="K20" s="8">
        <v>1650</v>
      </c>
      <c r="L20">
        <v>11.979134</v>
      </c>
      <c r="M20">
        <v>14.921099999999999</v>
      </c>
      <c r="N20">
        <v>74.173900000000003</v>
      </c>
      <c r="O20">
        <v>13.957239</v>
      </c>
      <c r="P20">
        <v>0</v>
      </c>
      <c r="Q20">
        <v>1</v>
      </c>
      <c r="R20">
        <f t="shared" si="0"/>
        <v>1</v>
      </c>
      <c r="S20">
        <f t="shared" si="1"/>
        <v>0</v>
      </c>
      <c r="T20">
        <f t="shared" si="2"/>
        <v>0</v>
      </c>
      <c r="U20">
        <f t="shared" si="3"/>
        <v>0</v>
      </c>
      <c r="V20">
        <f t="shared" si="4"/>
        <v>0</v>
      </c>
      <c r="W20">
        <f t="shared" si="5"/>
        <v>0</v>
      </c>
      <c r="X20">
        <f t="shared" si="6"/>
        <v>0</v>
      </c>
      <c r="Y20">
        <f t="shared" si="7"/>
        <v>0</v>
      </c>
      <c r="Z20">
        <f t="shared" si="8"/>
        <v>0</v>
      </c>
      <c r="AA20">
        <f t="shared" si="9"/>
        <v>0</v>
      </c>
      <c r="AB20">
        <f t="shared" si="10"/>
        <v>0</v>
      </c>
      <c r="AC20">
        <f t="shared" si="11"/>
        <v>0</v>
      </c>
      <c r="AD20">
        <f t="shared" si="12"/>
        <v>0</v>
      </c>
      <c r="AE20">
        <f t="shared" si="13"/>
        <v>0</v>
      </c>
      <c r="AF20">
        <f t="shared" si="14"/>
        <v>0</v>
      </c>
      <c r="AG20">
        <f t="shared" si="15"/>
        <v>1</v>
      </c>
      <c r="AH20">
        <f t="shared" si="16"/>
        <v>0</v>
      </c>
      <c r="AI20">
        <f t="shared" si="17"/>
        <v>0</v>
      </c>
      <c r="AJ20">
        <f t="shared" si="18"/>
        <v>0</v>
      </c>
      <c r="AK20">
        <f t="shared" si="19"/>
        <v>0</v>
      </c>
      <c r="AL20">
        <f t="shared" si="20"/>
        <v>1</v>
      </c>
      <c r="AM20">
        <f t="shared" si="21"/>
        <v>0</v>
      </c>
      <c r="AN20">
        <f t="shared" si="22"/>
        <v>1</v>
      </c>
      <c r="AO20">
        <f t="shared" si="23"/>
        <v>0</v>
      </c>
      <c r="AP20">
        <f t="shared" si="24"/>
        <v>1</v>
      </c>
      <c r="AQ20">
        <f t="shared" si="25"/>
        <v>0</v>
      </c>
      <c r="AR20">
        <f t="shared" si="26"/>
        <v>0</v>
      </c>
      <c r="AS20">
        <f t="shared" si="27"/>
        <v>0</v>
      </c>
    </row>
    <row r="21" spans="2:45" x14ac:dyDescent="0.3">
      <c r="B21">
        <v>20</v>
      </c>
      <c r="C21" s="1">
        <v>40563</v>
      </c>
      <c r="D21">
        <v>1</v>
      </c>
      <c r="E21">
        <v>0</v>
      </c>
      <c r="F21">
        <v>1</v>
      </c>
      <c r="G21">
        <v>4</v>
      </c>
      <c r="H21">
        <v>2</v>
      </c>
      <c r="I21">
        <v>83</v>
      </c>
      <c r="J21">
        <v>1844</v>
      </c>
      <c r="K21" s="8">
        <v>1927</v>
      </c>
      <c r="L21">
        <v>10.728346999999999</v>
      </c>
      <c r="M21">
        <v>12.7525</v>
      </c>
      <c r="N21">
        <v>53.833300000000001</v>
      </c>
      <c r="O21">
        <v>13.125567999999999</v>
      </c>
      <c r="P21">
        <v>0</v>
      </c>
      <c r="Q21">
        <v>1</v>
      </c>
      <c r="R21">
        <f t="shared" si="0"/>
        <v>1</v>
      </c>
      <c r="S21">
        <f t="shared" si="1"/>
        <v>0</v>
      </c>
      <c r="T21">
        <f t="shared" si="2"/>
        <v>0</v>
      </c>
      <c r="U21">
        <f t="shared" si="3"/>
        <v>0</v>
      </c>
      <c r="V21">
        <f t="shared" si="4"/>
        <v>0</v>
      </c>
      <c r="W21">
        <f t="shared" si="5"/>
        <v>0</v>
      </c>
      <c r="X21">
        <f t="shared" si="6"/>
        <v>0</v>
      </c>
      <c r="Y21">
        <f t="shared" si="7"/>
        <v>0</v>
      </c>
      <c r="Z21">
        <f t="shared" si="8"/>
        <v>0</v>
      </c>
      <c r="AA21">
        <f t="shared" si="9"/>
        <v>0</v>
      </c>
      <c r="AB21">
        <f t="shared" si="10"/>
        <v>0</v>
      </c>
      <c r="AC21">
        <f t="shared" si="11"/>
        <v>0</v>
      </c>
      <c r="AD21">
        <f t="shared" si="12"/>
        <v>0</v>
      </c>
      <c r="AE21">
        <f t="shared" si="13"/>
        <v>0</v>
      </c>
      <c r="AF21">
        <f t="shared" si="14"/>
        <v>0</v>
      </c>
      <c r="AG21">
        <f t="shared" si="15"/>
        <v>0</v>
      </c>
      <c r="AH21">
        <f t="shared" si="16"/>
        <v>1</v>
      </c>
      <c r="AI21">
        <f t="shared" si="17"/>
        <v>0</v>
      </c>
      <c r="AJ21">
        <f t="shared" si="18"/>
        <v>0</v>
      </c>
      <c r="AK21">
        <f t="shared" si="19"/>
        <v>0</v>
      </c>
      <c r="AL21">
        <f t="shared" si="20"/>
        <v>1</v>
      </c>
      <c r="AM21">
        <f t="shared" si="21"/>
        <v>0</v>
      </c>
      <c r="AN21">
        <f t="shared" si="22"/>
        <v>1</v>
      </c>
      <c r="AO21">
        <f t="shared" si="23"/>
        <v>0</v>
      </c>
      <c r="AP21">
        <f t="shared" si="24"/>
        <v>1</v>
      </c>
      <c r="AQ21">
        <f t="shared" si="25"/>
        <v>0</v>
      </c>
      <c r="AR21">
        <f t="shared" si="26"/>
        <v>0</v>
      </c>
      <c r="AS21">
        <f t="shared" si="27"/>
        <v>0</v>
      </c>
    </row>
    <row r="22" spans="2:45" x14ac:dyDescent="0.3">
      <c r="B22">
        <v>21</v>
      </c>
      <c r="C22" s="1">
        <v>40564</v>
      </c>
      <c r="D22">
        <v>1</v>
      </c>
      <c r="E22">
        <v>0</v>
      </c>
      <c r="F22">
        <v>1</v>
      </c>
      <c r="G22">
        <v>5</v>
      </c>
      <c r="H22">
        <v>1</v>
      </c>
      <c r="I22">
        <v>75</v>
      </c>
      <c r="J22">
        <v>1468</v>
      </c>
      <c r="K22" s="8">
        <v>1543</v>
      </c>
      <c r="L22">
        <v>7.2774999999999999</v>
      </c>
      <c r="M22">
        <v>7.8916500000000003</v>
      </c>
      <c r="N22">
        <v>45.708300000000001</v>
      </c>
      <c r="O22">
        <v>23.667214000000001</v>
      </c>
      <c r="P22">
        <v>0</v>
      </c>
      <c r="Q22">
        <v>1</v>
      </c>
      <c r="R22">
        <f t="shared" si="0"/>
        <v>1</v>
      </c>
      <c r="S22">
        <f t="shared" si="1"/>
        <v>0</v>
      </c>
      <c r="T22">
        <f t="shared" si="2"/>
        <v>0</v>
      </c>
      <c r="U22">
        <f t="shared" si="3"/>
        <v>0</v>
      </c>
      <c r="V22">
        <f t="shared" si="4"/>
        <v>0</v>
      </c>
      <c r="W22">
        <f t="shared" si="5"/>
        <v>0</v>
      </c>
      <c r="X22">
        <f t="shared" si="6"/>
        <v>0</v>
      </c>
      <c r="Y22">
        <f t="shared" si="7"/>
        <v>0</v>
      </c>
      <c r="Z22">
        <f t="shared" si="8"/>
        <v>0</v>
      </c>
      <c r="AA22">
        <f t="shared" si="9"/>
        <v>0</v>
      </c>
      <c r="AB22">
        <f t="shared" si="10"/>
        <v>0</v>
      </c>
      <c r="AC22">
        <f t="shared" si="11"/>
        <v>0</v>
      </c>
      <c r="AD22">
        <f t="shared" si="12"/>
        <v>0</v>
      </c>
      <c r="AE22">
        <f t="shared" si="13"/>
        <v>0</v>
      </c>
      <c r="AF22">
        <f t="shared" si="14"/>
        <v>0</v>
      </c>
      <c r="AG22">
        <f t="shared" si="15"/>
        <v>0</v>
      </c>
      <c r="AH22">
        <f t="shared" si="16"/>
        <v>0</v>
      </c>
      <c r="AI22">
        <f t="shared" si="17"/>
        <v>1</v>
      </c>
      <c r="AJ22">
        <f t="shared" si="18"/>
        <v>0</v>
      </c>
      <c r="AK22">
        <f t="shared" si="19"/>
        <v>1</v>
      </c>
      <c r="AL22">
        <f t="shared" si="20"/>
        <v>0</v>
      </c>
      <c r="AM22">
        <f t="shared" si="21"/>
        <v>0</v>
      </c>
      <c r="AN22">
        <f t="shared" si="22"/>
        <v>1</v>
      </c>
      <c r="AO22">
        <f t="shared" si="23"/>
        <v>0</v>
      </c>
      <c r="AP22">
        <f t="shared" si="24"/>
        <v>1</v>
      </c>
      <c r="AQ22">
        <f t="shared" si="25"/>
        <v>0</v>
      </c>
      <c r="AR22">
        <f t="shared" si="26"/>
        <v>0</v>
      </c>
      <c r="AS22">
        <f t="shared" si="27"/>
        <v>0</v>
      </c>
    </row>
    <row r="23" spans="2:45" x14ac:dyDescent="0.3">
      <c r="B23">
        <v>22</v>
      </c>
      <c r="C23" s="1">
        <v>40565</v>
      </c>
      <c r="D23">
        <v>1</v>
      </c>
      <c r="E23">
        <v>0</v>
      </c>
      <c r="F23">
        <v>1</v>
      </c>
      <c r="G23">
        <v>6</v>
      </c>
      <c r="H23">
        <v>1</v>
      </c>
      <c r="I23">
        <v>93</v>
      </c>
      <c r="J23">
        <v>888</v>
      </c>
      <c r="K23" s="8">
        <v>981</v>
      </c>
      <c r="L23">
        <v>2.4243464000000001</v>
      </c>
      <c r="M23">
        <v>3.9534799999999999</v>
      </c>
      <c r="N23">
        <v>40</v>
      </c>
      <c r="O23">
        <v>11.521990000000001</v>
      </c>
      <c r="P23">
        <v>0</v>
      </c>
      <c r="Q23">
        <v>0</v>
      </c>
      <c r="R23">
        <f t="shared" si="0"/>
        <v>1</v>
      </c>
      <c r="S23">
        <f t="shared" si="1"/>
        <v>0</v>
      </c>
      <c r="T23">
        <f t="shared" si="2"/>
        <v>0</v>
      </c>
      <c r="U23">
        <f t="shared" si="3"/>
        <v>0</v>
      </c>
      <c r="V23">
        <f t="shared" si="4"/>
        <v>0</v>
      </c>
      <c r="W23">
        <f t="shared" si="5"/>
        <v>0</v>
      </c>
      <c r="X23">
        <f t="shared" si="6"/>
        <v>0</v>
      </c>
      <c r="Y23">
        <f t="shared" si="7"/>
        <v>0</v>
      </c>
      <c r="Z23">
        <f t="shared" si="8"/>
        <v>0</v>
      </c>
      <c r="AA23">
        <f t="shared" si="9"/>
        <v>0</v>
      </c>
      <c r="AB23">
        <f t="shared" si="10"/>
        <v>0</v>
      </c>
      <c r="AC23">
        <f t="shared" si="11"/>
        <v>0</v>
      </c>
      <c r="AD23">
        <f t="shared" si="12"/>
        <v>0</v>
      </c>
      <c r="AE23">
        <f t="shared" si="13"/>
        <v>0</v>
      </c>
      <c r="AF23">
        <f t="shared" si="14"/>
        <v>0</v>
      </c>
      <c r="AG23">
        <f t="shared" si="15"/>
        <v>0</v>
      </c>
      <c r="AH23">
        <f t="shared" si="16"/>
        <v>0</v>
      </c>
      <c r="AI23">
        <f t="shared" si="17"/>
        <v>0</v>
      </c>
      <c r="AJ23">
        <f t="shared" si="18"/>
        <v>1</v>
      </c>
      <c r="AK23">
        <f t="shared" si="19"/>
        <v>1</v>
      </c>
      <c r="AL23">
        <f t="shared" si="20"/>
        <v>0</v>
      </c>
      <c r="AM23">
        <f t="shared" si="21"/>
        <v>0</v>
      </c>
      <c r="AN23">
        <f t="shared" si="22"/>
        <v>1</v>
      </c>
      <c r="AO23">
        <f t="shared" si="23"/>
        <v>0</v>
      </c>
      <c r="AP23">
        <f t="shared" si="24"/>
        <v>1</v>
      </c>
      <c r="AQ23">
        <f t="shared" si="25"/>
        <v>0</v>
      </c>
      <c r="AR23">
        <f t="shared" si="26"/>
        <v>0</v>
      </c>
      <c r="AS23">
        <f t="shared" si="27"/>
        <v>0</v>
      </c>
    </row>
    <row r="24" spans="2:45" x14ac:dyDescent="0.3">
      <c r="B24">
        <v>23</v>
      </c>
      <c r="C24" s="1">
        <v>40566</v>
      </c>
      <c r="D24">
        <v>1</v>
      </c>
      <c r="E24">
        <v>0</v>
      </c>
      <c r="F24">
        <v>1</v>
      </c>
      <c r="G24">
        <v>0</v>
      </c>
      <c r="H24">
        <v>1</v>
      </c>
      <c r="I24">
        <v>150</v>
      </c>
      <c r="J24">
        <v>836</v>
      </c>
      <c r="K24" s="8">
        <v>986</v>
      </c>
      <c r="L24">
        <v>3.9573896999999998</v>
      </c>
      <c r="M24">
        <v>4.9419550000000001</v>
      </c>
      <c r="N24">
        <v>43.652200000000001</v>
      </c>
      <c r="O24">
        <v>16.522200000000002</v>
      </c>
      <c r="P24">
        <v>0</v>
      </c>
      <c r="Q24">
        <v>0</v>
      </c>
      <c r="R24">
        <f t="shared" si="0"/>
        <v>1</v>
      </c>
      <c r="S24">
        <f t="shared" si="1"/>
        <v>0</v>
      </c>
      <c r="T24">
        <f t="shared" si="2"/>
        <v>0</v>
      </c>
      <c r="U24">
        <f t="shared" si="3"/>
        <v>0</v>
      </c>
      <c r="V24">
        <f t="shared" si="4"/>
        <v>0</v>
      </c>
      <c r="W24">
        <f t="shared" si="5"/>
        <v>0</v>
      </c>
      <c r="X24">
        <f t="shared" si="6"/>
        <v>0</v>
      </c>
      <c r="Y24">
        <f t="shared" si="7"/>
        <v>0</v>
      </c>
      <c r="Z24">
        <f t="shared" si="8"/>
        <v>0</v>
      </c>
      <c r="AA24">
        <f t="shared" si="9"/>
        <v>0</v>
      </c>
      <c r="AB24">
        <f t="shared" si="10"/>
        <v>0</v>
      </c>
      <c r="AC24">
        <f t="shared" si="11"/>
        <v>0</v>
      </c>
      <c r="AD24">
        <f t="shared" si="12"/>
        <v>1</v>
      </c>
      <c r="AE24">
        <f t="shared" si="13"/>
        <v>0</v>
      </c>
      <c r="AF24">
        <f t="shared" si="14"/>
        <v>0</v>
      </c>
      <c r="AG24">
        <f t="shared" si="15"/>
        <v>0</v>
      </c>
      <c r="AH24">
        <f t="shared" si="16"/>
        <v>0</v>
      </c>
      <c r="AI24">
        <f t="shared" si="17"/>
        <v>0</v>
      </c>
      <c r="AJ24">
        <f t="shared" si="18"/>
        <v>0</v>
      </c>
      <c r="AK24">
        <f t="shared" si="19"/>
        <v>1</v>
      </c>
      <c r="AL24">
        <f t="shared" si="20"/>
        <v>0</v>
      </c>
      <c r="AM24">
        <f t="shared" si="21"/>
        <v>0</v>
      </c>
      <c r="AN24">
        <f t="shared" si="22"/>
        <v>1</v>
      </c>
      <c r="AO24">
        <f t="shared" si="23"/>
        <v>0</v>
      </c>
      <c r="AP24">
        <f t="shared" si="24"/>
        <v>1</v>
      </c>
      <c r="AQ24">
        <f t="shared" si="25"/>
        <v>0</v>
      </c>
      <c r="AR24">
        <f t="shared" si="26"/>
        <v>0</v>
      </c>
      <c r="AS24">
        <f t="shared" si="27"/>
        <v>0</v>
      </c>
    </row>
    <row r="25" spans="2:45" x14ac:dyDescent="0.3">
      <c r="B25">
        <v>24</v>
      </c>
      <c r="C25" s="1">
        <v>40567</v>
      </c>
      <c r="D25">
        <v>1</v>
      </c>
      <c r="E25">
        <v>0</v>
      </c>
      <c r="F25">
        <v>1</v>
      </c>
      <c r="G25">
        <v>1</v>
      </c>
      <c r="H25">
        <v>1</v>
      </c>
      <c r="I25">
        <v>86</v>
      </c>
      <c r="J25">
        <v>1330</v>
      </c>
      <c r="K25" s="8">
        <v>1416</v>
      </c>
      <c r="L25">
        <v>3.9930433000000001</v>
      </c>
      <c r="M25">
        <v>5.8964999999999996</v>
      </c>
      <c r="N25">
        <v>49.173900000000003</v>
      </c>
      <c r="O25">
        <v>10.60811</v>
      </c>
      <c r="P25">
        <v>0</v>
      </c>
      <c r="Q25">
        <v>1</v>
      </c>
      <c r="R25">
        <f t="shared" si="0"/>
        <v>1</v>
      </c>
      <c r="S25">
        <f t="shared" si="1"/>
        <v>0</v>
      </c>
      <c r="T25">
        <f t="shared" si="2"/>
        <v>0</v>
      </c>
      <c r="U25">
        <f t="shared" si="3"/>
        <v>0</v>
      </c>
      <c r="V25">
        <f t="shared" si="4"/>
        <v>0</v>
      </c>
      <c r="W25">
        <f t="shared" si="5"/>
        <v>0</v>
      </c>
      <c r="X25">
        <f t="shared" si="6"/>
        <v>0</v>
      </c>
      <c r="Y25">
        <f t="shared" si="7"/>
        <v>0</v>
      </c>
      <c r="Z25">
        <f t="shared" si="8"/>
        <v>0</v>
      </c>
      <c r="AA25">
        <f t="shared" si="9"/>
        <v>0</v>
      </c>
      <c r="AB25">
        <f t="shared" si="10"/>
        <v>0</v>
      </c>
      <c r="AC25">
        <f t="shared" si="11"/>
        <v>0</v>
      </c>
      <c r="AD25">
        <f t="shared" si="12"/>
        <v>0</v>
      </c>
      <c r="AE25">
        <f t="shared" si="13"/>
        <v>1</v>
      </c>
      <c r="AF25">
        <f t="shared" si="14"/>
        <v>0</v>
      </c>
      <c r="AG25">
        <f t="shared" si="15"/>
        <v>0</v>
      </c>
      <c r="AH25">
        <f t="shared" si="16"/>
        <v>0</v>
      </c>
      <c r="AI25">
        <f t="shared" si="17"/>
        <v>0</v>
      </c>
      <c r="AJ25">
        <f t="shared" si="18"/>
        <v>0</v>
      </c>
      <c r="AK25">
        <f t="shared" si="19"/>
        <v>1</v>
      </c>
      <c r="AL25">
        <f t="shared" si="20"/>
        <v>0</v>
      </c>
      <c r="AM25">
        <f t="shared" si="21"/>
        <v>0</v>
      </c>
      <c r="AN25">
        <f t="shared" si="22"/>
        <v>1</v>
      </c>
      <c r="AO25">
        <f t="shared" si="23"/>
        <v>0</v>
      </c>
      <c r="AP25">
        <f t="shared" si="24"/>
        <v>1</v>
      </c>
      <c r="AQ25">
        <f t="shared" si="25"/>
        <v>0</v>
      </c>
      <c r="AR25">
        <f t="shared" si="26"/>
        <v>0</v>
      </c>
      <c r="AS25">
        <f t="shared" si="27"/>
        <v>0</v>
      </c>
    </row>
    <row r="26" spans="2:45" x14ac:dyDescent="0.3">
      <c r="B26">
        <v>25</v>
      </c>
      <c r="C26" s="1">
        <v>40568</v>
      </c>
      <c r="D26">
        <v>1</v>
      </c>
      <c r="E26">
        <v>0</v>
      </c>
      <c r="F26">
        <v>1</v>
      </c>
      <c r="G26">
        <v>2</v>
      </c>
      <c r="H26">
        <v>2</v>
      </c>
      <c r="I26">
        <v>186</v>
      </c>
      <c r="J26">
        <v>1799</v>
      </c>
      <c r="K26" s="8">
        <v>1985</v>
      </c>
      <c r="L26">
        <v>9.1625979999999991</v>
      </c>
      <c r="M26">
        <v>11.7263</v>
      </c>
      <c r="N26">
        <v>61.695700000000002</v>
      </c>
      <c r="O26">
        <v>8.696332</v>
      </c>
      <c r="P26">
        <v>0</v>
      </c>
      <c r="Q26">
        <v>1</v>
      </c>
      <c r="R26">
        <f t="shared" si="0"/>
        <v>1</v>
      </c>
      <c r="S26">
        <f t="shared" si="1"/>
        <v>0</v>
      </c>
      <c r="T26">
        <f t="shared" si="2"/>
        <v>0</v>
      </c>
      <c r="U26">
        <f t="shared" si="3"/>
        <v>0</v>
      </c>
      <c r="V26">
        <f t="shared" si="4"/>
        <v>0</v>
      </c>
      <c r="W26">
        <f t="shared" si="5"/>
        <v>0</v>
      </c>
      <c r="X26">
        <f t="shared" si="6"/>
        <v>0</v>
      </c>
      <c r="Y26">
        <f t="shared" si="7"/>
        <v>0</v>
      </c>
      <c r="Z26">
        <f t="shared" si="8"/>
        <v>0</v>
      </c>
      <c r="AA26">
        <f t="shared" si="9"/>
        <v>0</v>
      </c>
      <c r="AB26">
        <f t="shared" si="10"/>
        <v>0</v>
      </c>
      <c r="AC26">
        <f t="shared" si="11"/>
        <v>0</v>
      </c>
      <c r="AD26">
        <f t="shared" si="12"/>
        <v>0</v>
      </c>
      <c r="AE26">
        <f t="shared" si="13"/>
        <v>0</v>
      </c>
      <c r="AF26">
        <f t="shared" si="14"/>
        <v>1</v>
      </c>
      <c r="AG26">
        <f t="shared" si="15"/>
        <v>0</v>
      </c>
      <c r="AH26">
        <f t="shared" si="16"/>
        <v>0</v>
      </c>
      <c r="AI26">
        <f t="shared" si="17"/>
        <v>0</v>
      </c>
      <c r="AJ26">
        <f t="shared" si="18"/>
        <v>0</v>
      </c>
      <c r="AK26">
        <f t="shared" si="19"/>
        <v>0</v>
      </c>
      <c r="AL26">
        <f t="shared" si="20"/>
        <v>1</v>
      </c>
      <c r="AM26">
        <f t="shared" si="21"/>
        <v>0</v>
      </c>
      <c r="AN26">
        <f t="shared" si="22"/>
        <v>1</v>
      </c>
      <c r="AO26">
        <f t="shared" si="23"/>
        <v>0</v>
      </c>
      <c r="AP26">
        <f t="shared" si="24"/>
        <v>1</v>
      </c>
      <c r="AQ26">
        <f t="shared" si="25"/>
        <v>0</v>
      </c>
      <c r="AR26">
        <f t="shared" si="26"/>
        <v>0</v>
      </c>
      <c r="AS26">
        <f t="shared" si="27"/>
        <v>0</v>
      </c>
    </row>
    <row r="27" spans="2:45" x14ac:dyDescent="0.3">
      <c r="B27">
        <v>26</v>
      </c>
      <c r="C27" s="1">
        <v>40569</v>
      </c>
      <c r="D27">
        <v>1</v>
      </c>
      <c r="E27">
        <v>0</v>
      </c>
      <c r="F27">
        <v>1</v>
      </c>
      <c r="G27">
        <v>3</v>
      </c>
      <c r="H27">
        <v>3</v>
      </c>
      <c r="I27">
        <v>34</v>
      </c>
      <c r="J27">
        <v>472</v>
      </c>
      <c r="K27" s="8">
        <v>506</v>
      </c>
      <c r="L27">
        <v>8.9175000000000004</v>
      </c>
      <c r="M27">
        <v>10.18</v>
      </c>
      <c r="N27">
        <v>86.25</v>
      </c>
      <c r="O27">
        <v>19.687950000000001</v>
      </c>
      <c r="P27">
        <v>0</v>
      </c>
      <c r="Q27">
        <v>1</v>
      </c>
      <c r="R27">
        <f t="shared" si="0"/>
        <v>1</v>
      </c>
      <c r="S27">
        <f t="shared" si="1"/>
        <v>0</v>
      </c>
      <c r="T27">
        <f t="shared" si="2"/>
        <v>0</v>
      </c>
      <c r="U27">
        <f t="shared" si="3"/>
        <v>0</v>
      </c>
      <c r="V27">
        <f t="shared" si="4"/>
        <v>0</v>
      </c>
      <c r="W27">
        <f t="shared" si="5"/>
        <v>0</v>
      </c>
      <c r="X27">
        <f t="shared" si="6"/>
        <v>0</v>
      </c>
      <c r="Y27">
        <f t="shared" si="7"/>
        <v>0</v>
      </c>
      <c r="Z27">
        <f t="shared" si="8"/>
        <v>0</v>
      </c>
      <c r="AA27">
        <f t="shared" si="9"/>
        <v>0</v>
      </c>
      <c r="AB27">
        <f t="shared" si="10"/>
        <v>0</v>
      </c>
      <c r="AC27">
        <f t="shared" si="11"/>
        <v>0</v>
      </c>
      <c r="AD27">
        <f t="shared" si="12"/>
        <v>0</v>
      </c>
      <c r="AE27">
        <f t="shared" si="13"/>
        <v>0</v>
      </c>
      <c r="AF27">
        <f t="shared" si="14"/>
        <v>0</v>
      </c>
      <c r="AG27">
        <f t="shared" si="15"/>
        <v>1</v>
      </c>
      <c r="AH27">
        <f t="shared" si="16"/>
        <v>0</v>
      </c>
      <c r="AI27">
        <f t="shared" si="17"/>
        <v>0</v>
      </c>
      <c r="AJ27">
        <f t="shared" si="18"/>
        <v>0</v>
      </c>
      <c r="AK27">
        <f t="shared" si="19"/>
        <v>0</v>
      </c>
      <c r="AL27">
        <f t="shared" si="20"/>
        <v>0</v>
      </c>
      <c r="AM27">
        <f t="shared" si="21"/>
        <v>1</v>
      </c>
      <c r="AN27">
        <f t="shared" si="22"/>
        <v>1</v>
      </c>
      <c r="AO27">
        <f t="shared" si="23"/>
        <v>0</v>
      </c>
      <c r="AP27">
        <f t="shared" si="24"/>
        <v>1</v>
      </c>
      <c r="AQ27">
        <f t="shared" si="25"/>
        <v>0</v>
      </c>
      <c r="AR27">
        <f t="shared" si="26"/>
        <v>0</v>
      </c>
      <c r="AS27">
        <f t="shared" si="27"/>
        <v>0</v>
      </c>
    </row>
    <row r="28" spans="2:45" x14ac:dyDescent="0.3">
      <c r="B28">
        <v>27</v>
      </c>
      <c r="C28" s="1">
        <v>40570</v>
      </c>
      <c r="D28">
        <v>1</v>
      </c>
      <c r="E28">
        <v>0</v>
      </c>
      <c r="F28">
        <v>1</v>
      </c>
      <c r="G28">
        <v>4</v>
      </c>
      <c r="H28">
        <v>1</v>
      </c>
      <c r="I28">
        <v>15</v>
      </c>
      <c r="J28">
        <v>416</v>
      </c>
      <c r="K28" s="8">
        <v>431</v>
      </c>
      <c r="L28">
        <v>7.9950000000000001</v>
      </c>
      <c r="M28">
        <v>10.984999999999999</v>
      </c>
      <c r="N28">
        <v>68.75</v>
      </c>
      <c r="O28">
        <v>7.6270790000000002</v>
      </c>
      <c r="P28">
        <v>0</v>
      </c>
      <c r="Q28">
        <v>1</v>
      </c>
      <c r="R28">
        <f t="shared" si="0"/>
        <v>1</v>
      </c>
      <c r="S28">
        <f t="shared" si="1"/>
        <v>0</v>
      </c>
      <c r="T28">
        <f t="shared" si="2"/>
        <v>0</v>
      </c>
      <c r="U28">
        <f t="shared" si="3"/>
        <v>0</v>
      </c>
      <c r="V28">
        <f t="shared" si="4"/>
        <v>0</v>
      </c>
      <c r="W28">
        <f t="shared" si="5"/>
        <v>0</v>
      </c>
      <c r="X28">
        <f t="shared" si="6"/>
        <v>0</v>
      </c>
      <c r="Y28">
        <f t="shared" si="7"/>
        <v>0</v>
      </c>
      <c r="Z28">
        <f t="shared" si="8"/>
        <v>0</v>
      </c>
      <c r="AA28">
        <f t="shared" si="9"/>
        <v>0</v>
      </c>
      <c r="AB28">
        <f t="shared" si="10"/>
        <v>0</v>
      </c>
      <c r="AC28">
        <f t="shared" si="11"/>
        <v>0</v>
      </c>
      <c r="AD28">
        <f t="shared" si="12"/>
        <v>0</v>
      </c>
      <c r="AE28">
        <f t="shared" si="13"/>
        <v>0</v>
      </c>
      <c r="AF28">
        <f t="shared" si="14"/>
        <v>0</v>
      </c>
      <c r="AG28">
        <f t="shared" si="15"/>
        <v>0</v>
      </c>
      <c r="AH28">
        <f t="shared" si="16"/>
        <v>1</v>
      </c>
      <c r="AI28">
        <f t="shared" si="17"/>
        <v>0</v>
      </c>
      <c r="AJ28">
        <f t="shared" si="18"/>
        <v>0</v>
      </c>
      <c r="AK28">
        <f t="shared" si="19"/>
        <v>1</v>
      </c>
      <c r="AL28">
        <f t="shared" si="20"/>
        <v>0</v>
      </c>
      <c r="AM28">
        <f t="shared" si="21"/>
        <v>0</v>
      </c>
      <c r="AN28">
        <f t="shared" si="22"/>
        <v>1</v>
      </c>
      <c r="AO28">
        <f t="shared" si="23"/>
        <v>0</v>
      </c>
      <c r="AP28">
        <f t="shared" si="24"/>
        <v>1</v>
      </c>
      <c r="AQ28">
        <f t="shared" si="25"/>
        <v>0</v>
      </c>
      <c r="AR28">
        <f t="shared" si="26"/>
        <v>0</v>
      </c>
      <c r="AS28">
        <f t="shared" si="27"/>
        <v>0</v>
      </c>
    </row>
    <row r="29" spans="2:45" x14ac:dyDescent="0.3">
      <c r="B29">
        <v>28</v>
      </c>
      <c r="C29" s="1">
        <v>40571</v>
      </c>
      <c r="D29">
        <v>1</v>
      </c>
      <c r="E29">
        <v>0</v>
      </c>
      <c r="F29">
        <v>1</v>
      </c>
      <c r="G29">
        <v>5</v>
      </c>
      <c r="H29">
        <v>2</v>
      </c>
      <c r="I29">
        <v>38</v>
      </c>
      <c r="J29">
        <v>1129</v>
      </c>
      <c r="K29" s="8">
        <v>1167</v>
      </c>
      <c r="L29">
        <v>8.3425980000000006</v>
      </c>
      <c r="M29">
        <v>11.165850000000001</v>
      </c>
      <c r="N29">
        <v>79.304299999999998</v>
      </c>
      <c r="O29">
        <v>8.2611000000000008</v>
      </c>
      <c r="P29">
        <v>0</v>
      </c>
      <c r="Q29">
        <v>1</v>
      </c>
      <c r="R29">
        <f t="shared" si="0"/>
        <v>1</v>
      </c>
      <c r="S29">
        <f t="shared" si="1"/>
        <v>0</v>
      </c>
      <c r="T29">
        <f t="shared" si="2"/>
        <v>0</v>
      </c>
      <c r="U29">
        <f t="shared" si="3"/>
        <v>0</v>
      </c>
      <c r="V29">
        <f t="shared" si="4"/>
        <v>0</v>
      </c>
      <c r="W29">
        <f t="shared" si="5"/>
        <v>0</v>
      </c>
      <c r="X29">
        <f t="shared" si="6"/>
        <v>0</v>
      </c>
      <c r="Y29">
        <f t="shared" si="7"/>
        <v>0</v>
      </c>
      <c r="Z29">
        <f t="shared" si="8"/>
        <v>0</v>
      </c>
      <c r="AA29">
        <f t="shared" si="9"/>
        <v>0</v>
      </c>
      <c r="AB29">
        <f t="shared" si="10"/>
        <v>0</v>
      </c>
      <c r="AC29">
        <f t="shared" si="11"/>
        <v>0</v>
      </c>
      <c r="AD29">
        <f t="shared" si="12"/>
        <v>0</v>
      </c>
      <c r="AE29">
        <f t="shared" si="13"/>
        <v>0</v>
      </c>
      <c r="AF29">
        <f t="shared" si="14"/>
        <v>0</v>
      </c>
      <c r="AG29">
        <f t="shared" si="15"/>
        <v>0</v>
      </c>
      <c r="AH29">
        <f t="shared" si="16"/>
        <v>0</v>
      </c>
      <c r="AI29">
        <f t="shared" si="17"/>
        <v>1</v>
      </c>
      <c r="AJ29">
        <f t="shared" si="18"/>
        <v>0</v>
      </c>
      <c r="AK29">
        <f t="shared" si="19"/>
        <v>0</v>
      </c>
      <c r="AL29">
        <f t="shared" si="20"/>
        <v>1</v>
      </c>
      <c r="AM29">
        <f t="shared" si="21"/>
        <v>0</v>
      </c>
      <c r="AN29">
        <f t="shared" si="22"/>
        <v>1</v>
      </c>
      <c r="AO29">
        <f t="shared" si="23"/>
        <v>0</v>
      </c>
      <c r="AP29">
        <f t="shared" si="24"/>
        <v>1</v>
      </c>
      <c r="AQ29">
        <f t="shared" si="25"/>
        <v>0</v>
      </c>
      <c r="AR29">
        <f t="shared" si="26"/>
        <v>0</v>
      </c>
      <c r="AS29">
        <f t="shared" si="27"/>
        <v>0</v>
      </c>
    </row>
    <row r="30" spans="2:45" x14ac:dyDescent="0.3">
      <c r="B30">
        <v>29</v>
      </c>
      <c r="C30" s="1">
        <v>40572</v>
      </c>
      <c r="D30">
        <v>1</v>
      </c>
      <c r="E30">
        <v>0</v>
      </c>
      <c r="F30">
        <v>1</v>
      </c>
      <c r="G30">
        <v>6</v>
      </c>
      <c r="H30">
        <v>1</v>
      </c>
      <c r="I30">
        <v>123</v>
      </c>
      <c r="J30">
        <v>975</v>
      </c>
      <c r="K30" s="8">
        <v>1098</v>
      </c>
      <c r="L30">
        <v>8.0574019999999997</v>
      </c>
      <c r="M30">
        <v>10.606299999999999</v>
      </c>
      <c r="N30">
        <v>65.173900000000003</v>
      </c>
      <c r="O30">
        <v>9.7394549999999995</v>
      </c>
      <c r="P30">
        <v>0</v>
      </c>
      <c r="Q30">
        <v>0</v>
      </c>
      <c r="R30">
        <f t="shared" si="0"/>
        <v>1</v>
      </c>
      <c r="S30">
        <f t="shared" si="1"/>
        <v>0</v>
      </c>
      <c r="T30">
        <f t="shared" si="2"/>
        <v>0</v>
      </c>
      <c r="U30">
        <f t="shared" si="3"/>
        <v>0</v>
      </c>
      <c r="V30">
        <f t="shared" si="4"/>
        <v>0</v>
      </c>
      <c r="W30">
        <f t="shared" si="5"/>
        <v>0</v>
      </c>
      <c r="X30">
        <f t="shared" si="6"/>
        <v>0</v>
      </c>
      <c r="Y30">
        <f t="shared" si="7"/>
        <v>0</v>
      </c>
      <c r="Z30">
        <f t="shared" si="8"/>
        <v>0</v>
      </c>
      <c r="AA30">
        <f t="shared" si="9"/>
        <v>0</v>
      </c>
      <c r="AB30">
        <f t="shared" si="10"/>
        <v>0</v>
      </c>
      <c r="AC30">
        <f t="shared" si="11"/>
        <v>0</v>
      </c>
      <c r="AD30">
        <f t="shared" si="12"/>
        <v>0</v>
      </c>
      <c r="AE30">
        <f t="shared" si="13"/>
        <v>0</v>
      </c>
      <c r="AF30">
        <f t="shared" si="14"/>
        <v>0</v>
      </c>
      <c r="AG30">
        <f t="shared" si="15"/>
        <v>0</v>
      </c>
      <c r="AH30">
        <f t="shared" si="16"/>
        <v>0</v>
      </c>
      <c r="AI30">
        <f t="shared" si="17"/>
        <v>0</v>
      </c>
      <c r="AJ30">
        <f t="shared" si="18"/>
        <v>1</v>
      </c>
      <c r="AK30">
        <f t="shared" si="19"/>
        <v>1</v>
      </c>
      <c r="AL30">
        <f t="shared" si="20"/>
        <v>0</v>
      </c>
      <c r="AM30">
        <f t="shared" si="21"/>
        <v>0</v>
      </c>
      <c r="AN30">
        <f t="shared" si="22"/>
        <v>1</v>
      </c>
      <c r="AO30">
        <f t="shared" si="23"/>
        <v>0</v>
      </c>
      <c r="AP30">
        <f t="shared" si="24"/>
        <v>1</v>
      </c>
      <c r="AQ30">
        <f t="shared" si="25"/>
        <v>0</v>
      </c>
      <c r="AR30">
        <f t="shared" si="26"/>
        <v>0</v>
      </c>
      <c r="AS30">
        <f t="shared" si="27"/>
        <v>0</v>
      </c>
    </row>
    <row r="31" spans="2:45" x14ac:dyDescent="0.3">
      <c r="B31">
        <v>30</v>
      </c>
      <c r="C31" s="1">
        <v>40573</v>
      </c>
      <c r="D31">
        <v>1</v>
      </c>
      <c r="E31">
        <v>0</v>
      </c>
      <c r="F31">
        <v>1</v>
      </c>
      <c r="G31">
        <v>0</v>
      </c>
      <c r="H31">
        <v>1</v>
      </c>
      <c r="I31">
        <v>140</v>
      </c>
      <c r="J31">
        <v>956</v>
      </c>
      <c r="K31" s="8">
        <v>1096</v>
      </c>
      <c r="L31">
        <v>8.877402</v>
      </c>
      <c r="M31">
        <v>12.5161</v>
      </c>
      <c r="N31">
        <v>72.217399999999998</v>
      </c>
      <c r="O31">
        <v>4.9568342000000003</v>
      </c>
      <c r="P31">
        <v>0</v>
      </c>
      <c r="Q31">
        <v>0</v>
      </c>
      <c r="R31">
        <f t="shared" si="0"/>
        <v>1</v>
      </c>
      <c r="S31">
        <f t="shared" si="1"/>
        <v>0</v>
      </c>
      <c r="T31">
        <f t="shared" si="2"/>
        <v>0</v>
      </c>
      <c r="U31">
        <f t="shared" si="3"/>
        <v>0</v>
      </c>
      <c r="V31">
        <f t="shared" si="4"/>
        <v>0</v>
      </c>
      <c r="W31">
        <f t="shared" si="5"/>
        <v>0</v>
      </c>
      <c r="X31">
        <f t="shared" si="6"/>
        <v>0</v>
      </c>
      <c r="Y31">
        <f t="shared" si="7"/>
        <v>0</v>
      </c>
      <c r="Z31">
        <f t="shared" si="8"/>
        <v>0</v>
      </c>
      <c r="AA31">
        <f t="shared" si="9"/>
        <v>0</v>
      </c>
      <c r="AB31">
        <f t="shared" si="10"/>
        <v>0</v>
      </c>
      <c r="AC31">
        <f t="shared" si="11"/>
        <v>0</v>
      </c>
      <c r="AD31">
        <f t="shared" si="12"/>
        <v>1</v>
      </c>
      <c r="AE31">
        <f t="shared" si="13"/>
        <v>0</v>
      </c>
      <c r="AF31">
        <f t="shared" si="14"/>
        <v>0</v>
      </c>
      <c r="AG31">
        <f t="shared" si="15"/>
        <v>0</v>
      </c>
      <c r="AH31">
        <f t="shared" si="16"/>
        <v>0</v>
      </c>
      <c r="AI31">
        <f t="shared" si="17"/>
        <v>0</v>
      </c>
      <c r="AJ31">
        <f t="shared" si="18"/>
        <v>0</v>
      </c>
      <c r="AK31">
        <f t="shared" si="19"/>
        <v>1</v>
      </c>
      <c r="AL31">
        <f t="shared" si="20"/>
        <v>0</v>
      </c>
      <c r="AM31">
        <f t="shared" si="21"/>
        <v>0</v>
      </c>
      <c r="AN31">
        <f t="shared" si="22"/>
        <v>1</v>
      </c>
      <c r="AO31">
        <f t="shared" si="23"/>
        <v>0</v>
      </c>
      <c r="AP31">
        <f t="shared" si="24"/>
        <v>1</v>
      </c>
      <c r="AQ31">
        <f t="shared" si="25"/>
        <v>0</v>
      </c>
      <c r="AR31">
        <f t="shared" si="26"/>
        <v>0</v>
      </c>
      <c r="AS31">
        <f t="shared" si="27"/>
        <v>0</v>
      </c>
    </row>
    <row r="32" spans="2:45" x14ac:dyDescent="0.3">
      <c r="B32">
        <v>31</v>
      </c>
      <c r="C32" s="1">
        <v>40574</v>
      </c>
      <c r="D32">
        <v>1</v>
      </c>
      <c r="E32">
        <v>0</v>
      </c>
      <c r="F32">
        <v>1</v>
      </c>
      <c r="G32">
        <v>1</v>
      </c>
      <c r="H32">
        <v>2</v>
      </c>
      <c r="I32">
        <v>42</v>
      </c>
      <c r="J32">
        <v>1459</v>
      </c>
      <c r="K32" s="8">
        <v>1501</v>
      </c>
      <c r="L32">
        <v>7.4141529999999998</v>
      </c>
      <c r="M32">
        <v>9.3125</v>
      </c>
      <c r="N32">
        <v>60.375</v>
      </c>
      <c r="O32">
        <v>12.541864</v>
      </c>
      <c r="P32">
        <v>0</v>
      </c>
      <c r="Q32">
        <v>1</v>
      </c>
      <c r="R32">
        <f t="shared" si="0"/>
        <v>1</v>
      </c>
      <c r="S32">
        <f t="shared" si="1"/>
        <v>0</v>
      </c>
      <c r="T32">
        <f t="shared" si="2"/>
        <v>0</v>
      </c>
      <c r="U32">
        <f t="shared" si="3"/>
        <v>0</v>
      </c>
      <c r="V32">
        <f t="shared" si="4"/>
        <v>0</v>
      </c>
      <c r="W32">
        <f t="shared" si="5"/>
        <v>0</v>
      </c>
      <c r="X32">
        <f t="shared" si="6"/>
        <v>0</v>
      </c>
      <c r="Y32">
        <f t="shared" si="7"/>
        <v>0</v>
      </c>
      <c r="Z32">
        <f t="shared" si="8"/>
        <v>0</v>
      </c>
      <c r="AA32">
        <f t="shared" si="9"/>
        <v>0</v>
      </c>
      <c r="AB32">
        <f t="shared" si="10"/>
        <v>0</v>
      </c>
      <c r="AC32">
        <f t="shared" si="11"/>
        <v>0</v>
      </c>
      <c r="AD32">
        <f t="shared" si="12"/>
        <v>0</v>
      </c>
      <c r="AE32">
        <f t="shared" si="13"/>
        <v>1</v>
      </c>
      <c r="AF32">
        <f t="shared" si="14"/>
        <v>0</v>
      </c>
      <c r="AG32">
        <f t="shared" si="15"/>
        <v>0</v>
      </c>
      <c r="AH32">
        <f t="shared" si="16"/>
        <v>0</v>
      </c>
      <c r="AI32">
        <f t="shared" si="17"/>
        <v>0</v>
      </c>
      <c r="AJ32">
        <f t="shared" si="18"/>
        <v>0</v>
      </c>
      <c r="AK32">
        <f t="shared" si="19"/>
        <v>0</v>
      </c>
      <c r="AL32">
        <f t="shared" si="20"/>
        <v>1</v>
      </c>
      <c r="AM32">
        <f t="shared" si="21"/>
        <v>0</v>
      </c>
      <c r="AN32">
        <f t="shared" si="22"/>
        <v>1</v>
      </c>
      <c r="AO32">
        <f t="shared" si="23"/>
        <v>0</v>
      </c>
      <c r="AP32">
        <f t="shared" si="24"/>
        <v>1</v>
      </c>
      <c r="AQ32">
        <f t="shared" si="25"/>
        <v>0</v>
      </c>
      <c r="AR32">
        <f t="shared" si="26"/>
        <v>0</v>
      </c>
      <c r="AS32">
        <f t="shared" si="27"/>
        <v>0</v>
      </c>
    </row>
    <row r="33" spans="2:45" x14ac:dyDescent="0.3">
      <c r="B33">
        <v>32</v>
      </c>
      <c r="C33" s="1">
        <v>40575</v>
      </c>
      <c r="D33">
        <v>1</v>
      </c>
      <c r="E33">
        <v>0</v>
      </c>
      <c r="F33">
        <v>2</v>
      </c>
      <c r="G33">
        <v>2</v>
      </c>
      <c r="H33">
        <v>2</v>
      </c>
      <c r="I33">
        <v>47</v>
      </c>
      <c r="J33">
        <v>1313</v>
      </c>
      <c r="K33" s="8">
        <v>1360</v>
      </c>
      <c r="L33">
        <v>7.8791339999999996</v>
      </c>
      <c r="M33">
        <v>11.7265</v>
      </c>
      <c r="N33">
        <v>82.956500000000005</v>
      </c>
      <c r="O33">
        <v>3.5652710000000001</v>
      </c>
      <c r="P33">
        <v>0</v>
      </c>
      <c r="Q33">
        <v>1</v>
      </c>
      <c r="R33">
        <f t="shared" si="0"/>
        <v>0</v>
      </c>
      <c r="S33">
        <f t="shared" si="1"/>
        <v>1</v>
      </c>
      <c r="T33">
        <f t="shared" si="2"/>
        <v>0</v>
      </c>
      <c r="U33">
        <f t="shared" si="3"/>
        <v>0</v>
      </c>
      <c r="V33">
        <f t="shared" si="4"/>
        <v>0</v>
      </c>
      <c r="W33">
        <f t="shared" si="5"/>
        <v>0</v>
      </c>
      <c r="X33">
        <f t="shared" si="6"/>
        <v>0</v>
      </c>
      <c r="Y33">
        <f t="shared" si="7"/>
        <v>0</v>
      </c>
      <c r="Z33">
        <f t="shared" si="8"/>
        <v>0</v>
      </c>
      <c r="AA33">
        <f t="shared" si="9"/>
        <v>0</v>
      </c>
      <c r="AB33">
        <f t="shared" si="10"/>
        <v>0</v>
      </c>
      <c r="AC33">
        <f t="shared" si="11"/>
        <v>0</v>
      </c>
      <c r="AD33">
        <f t="shared" si="12"/>
        <v>0</v>
      </c>
      <c r="AE33">
        <f t="shared" si="13"/>
        <v>0</v>
      </c>
      <c r="AF33">
        <f t="shared" si="14"/>
        <v>1</v>
      </c>
      <c r="AG33">
        <f t="shared" si="15"/>
        <v>0</v>
      </c>
      <c r="AH33">
        <f t="shared" si="16"/>
        <v>0</v>
      </c>
      <c r="AI33">
        <f t="shared" si="17"/>
        <v>0</v>
      </c>
      <c r="AJ33">
        <f t="shared" si="18"/>
        <v>0</v>
      </c>
      <c r="AK33">
        <f t="shared" si="19"/>
        <v>0</v>
      </c>
      <c r="AL33">
        <f t="shared" si="20"/>
        <v>1</v>
      </c>
      <c r="AM33">
        <f t="shared" si="21"/>
        <v>0</v>
      </c>
      <c r="AN33">
        <f t="shared" si="22"/>
        <v>1</v>
      </c>
      <c r="AO33">
        <f t="shared" si="23"/>
        <v>0</v>
      </c>
      <c r="AP33">
        <f t="shared" si="24"/>
        <v>1</v>
      </c>
      <c r="AQ33">
        <f t="shared" si="25"/>
        <v>0</v>
      </c>
      <c r="AR33">
        <f t="shared" si="26"/>
        <v>0</v>
      </c>
      <c r="AS33">
        <f t="shared" si="27"/>
        <v>0</v>
      </c>
    </row>
    <row r="34" spans="2:45" x14ac:dyDescent="0.3">
      <c r="B34">
        <v>33</v>
      </c>
      <c r="C34" s="1">
        <v>40576</v>
      </c>
      <c r="D34">
        <v>1</v>
      </c>
      <c r="E34">
        <v>0</v>
      </c>
      <c r="F34">
        <v>2</v>
      </c>
      <c r="G34">
        <v>3</v>
      </c>
      <c r="H34">
        <v>2</v>
      </c>
      <c r="I34">
        <v>72</v>
      </c>
      <c r="J34">
        <v>1454</v>
      </c>
      <c r="K34" s="8">
        <v>1526</v>
      </c>
      <c r="L34">
        <v>10.66</v>
      </c>
      <c r="M34">
        <v>12.72085</v>
      </c>
      <c r="N34">
        <v>77.541700000000006</v>
      </c>
      <c r="O34">
        <v>17.708635999999998</v>
      </c>
      <c r="P34">
        <v>0</v>
      </c>
      <c r="Q34">
        <v>1</v>
      </c>
      <c r="R34">
        <f t="shared" si="0"/>
        <v>0</v>
      </c>
      <c r="S34">
        <f t="shared" si="1"/>
        <v>1</v>
      </c>
      <c r="T34">
        <f t="shared" si="2"/>
        <v>0</v>
      </c>
      <c r="U34">
        <f t="shared" si="3"/>
        <v>0</v>
      </c>
      <c r="V34">
        <f t="shared" si="4"/>
        <v>0</v>
      </c>
      <c r="W34">
        <f t="shared" si="5"/>
        <v>0</v>
      </c>
      <c r="X34">
        <f t="shared" si="6"/>
        <v>0</v>
      </c>
      <c r="Y34">
        <f t="shared" si="7"/>
        <v>0</v>
      </c>
      <c r="Z34">
        <f t="shared" si="8"/>
        <v>0</v>
      </c>
      <c r="AA34">
        <f t="shared" si="9"/>
        <v>0</v>
      </c>
      <c r="AB34">
        <f t="shared" si="10"/>
        <v>0</v>
      </c>
      <c r="AC34">
        <f t="shared" si="11"/>
        <v>0</v>
      </c>
      <c r="AD34">
        <f t="shared" si="12"/>
        <v>0</v>
      </c>
      <c r="AE34">
        <f t="shared" si="13"/>
        <v>0</v>
      </c>
      <c r="AF34">
        <f t="shared" si="14"/>
        <v>0</v>
      </c>
      <c r="AG34">
        <f t="shared" si="15"/>
        <v>1</v>
      </c>
      <c r="AH34">
        <f t="shared" si="16"/>
        <v>0</v>
      </c>
      <c r="AI34">
        <f t="shared" si="17"/>
        <v>0</v>
      </c>
      <c r="AJ34">
        <f t="shared" si="18"/>
        <v>0</v>
      </c>
      <c r="AK34">
        <f t="shared" si="19"/>
        <v>0</v>
      </c>
      <c r="AL34">
        <f t="shared" si="20"/>
        <v>1</v>
      </c>
      <c r="AM34">
        <f t="shared" si="21"/>
        <v>0</v>
      </c>
      <c r="AN34">
        <f t="shared" si="22"/>
        <v>1</v>
      </c>
      <c r="AO34">
        <f t="shared" si="23"/>
        <v>0</v>
      </c>
      <c r="AP34">
        <f t="shared" si="24"/>
        <v>1</v>
      </c>
      <c r="AQ34">
        <f t="shared" si="25"/>
        <v>0</v>
      </c>
      <c r="AR34">
        <f t="shared" si="26"/>
        <v>0</v>
      </c>
      <c r="AS34">
        <f t="shared" si="27"/>
        <v>0</v>
      </c>
    </row>
    <row r="35" spans="2:45" x14ac:dyDescent="0.3">
      <c r="B35">
        <v>34</v>
      </c>
      <c r="C35" s="1">
        <v>40577</v>
      </c>
      <c r="D35">
        <v>1</v>
      </c>
      <c r="E35">
        <v>0</v>
      </c>
      <c r="F35">
        <v>2</v>
      </c>
      <c r="G35">
        <v>4</v>
      </c>
      <c r="H35">
        <v>1</v>
      </c>
      <c r="I35">
        <v>61</v>
      </c>
      <c r="J35">
        <v>1489</v>
      </c>
      <c r="K35" s="8">
        <v>1550</v>
      </c>
      <c r="L35">
        <v>7.6652370000000003</v>
      </c>
      <c r="M35">
        <v>8.8939000000000004</v>
      </c>
      <c r="N35">
        <v>43.782600000000002</v>
      </c>
      <c r="O35">
        <v>18.609383999999999</v>
      </c>
      <c r="P35">
        <v>0</v>
      </c>
      <c r="Q35">
        <v>1</v>
      </c>
      <c r="R35">
        <f t="shared" si="0"/>
        <v>0</v>
      </c>
      <c r="S35">
        <f t="shared" si="1"/>
        <v>1</v>
      </c>
      <c r="T35">
        <f t="shared" si="2"/>
        <v>0</v>
      </c>
      <c r="U35">
        <f t="shared" si="3"/>
        <v>0</v>
      </c>
      <c r="V35">
        <f t="shared" si="4"/>
        <v>0</v>
      </c>
      <c r="W35">
        <f t="shared" si="5"/>
        <v>0</v>
      </c>
      <c r="X35">
        <f t="shared" si="6"/>
        <v>0</v>
      </c>
      <c r="Y35">
        <f t="shared" si="7"/>
        <v>0</v>
      </c>
      <c r="Z35">
        <f t="shared" si="8"/>
        <v>0</v>
      </c>
      <c r="AA35">
        <f t="shared" si="9"/>
        <v>0</v>
      </c>
      <c r="AB35">
        <f t="shared" si="10"/>
        <v>0</v>
      </c>
      <c r="AC35">
        <f t="shared" si="11"/>
        <v>0</v>
      </c>
      <c r="AD35">
        <f t="shared" si="12"/>
        <v>0</v>
      </c>
      <c r="AE35">
        <f t="shared" si="13"/>
        <v>0</v>
      </c>
      <c r="AF35">
        <f t="shared" si="14"/>
        <v>0</v>
      </c>
      <c r="AG35">
        <f t="shared" si="15"/>
        <v>0</v>
      </c>
      <c r="AH35">
        <f t="shared" si="16"/>
        <v>1</v>
      </c>
      <c r="AI35">
        <f t="shared" si="17"/>
        <v>0</v>
      </c>
      <c r="AJ35">
        <f t="shared" si="18"/>
        <v>0</v>
      </c>
      <c r="AK35">
        <f t="shared" si="19"/>
        <v>1</v>
      </c>
      <c r="AL35">
        <f t="shared" si="20"/>
        <v>0</v>
      </c>
      <c r="AM35">
        <f t="shared" si="21"/>
        <v>0</v>
      </c>
      <c r="AN35">
        <f t="shared" si="22"/>
        <v>1</v>
      </c>
      <c r="AO35">
        <f t="shared" si="23"/>
        <v>0</v>
      </c>
      <c r="AP35">
        <f t="shared" si="24"/>
        <v>1</v>
      </c>
      <c r="AQ35">
        <f t="shared" si="25"/>
        <v>0</v>
      </c>
      <c r="AR35">
        <f t="shared" si="26"/>
        <v>0</v>
      </c>
      <c r="AS35">
        <f t="shared" si="27"/>
        <v>0</v>
      </c>
    </row>
    <row r="36" spans="2:45" x14ac:dyDescent="0.3">
      <c r="B36">
        <v>35</v>
      </c>
      <c r="C36" s="1">
        <v>40578</v>
      </c>
      <c r="D36">
        <v>1</v>
      </c>
      <c r="E36">
        <v>0</v>
      </c>
      <c r="F36">
        <v>2</v>
      </c>
      <c r="G36">
        <v>5</v>
      </c>
      <c r="H36">
        <v>2</v>
      </c>
      <c r="I36">
        <v>88</v>
      </c>
      <c r="J36">
        <v>1620</v>
      </c>
      <c r="K36" s="8">
        <v>1708</v>
      </c>
      <c r="L36">
        <v>8.6634639999999994</v>
      </c>
      <c r="M36">
        <v>11.429349999999999</v>
      </c>
      <c r="N36">
        <v>58.521700000000003</v>
      </c>
      <c r="O36">
        <v>8.565213</v>
      </c>
      <c r="P36">
        <v>0</v>
      </c>
      <c r="Q36">
        <v>1</v>
      </c>
      <c r="R36">
        <f t="shared" si="0"/>
        <v>0</v>
      </c>
      <c r="S36">
        <f t="shared" si="1"/>
        <v>1</v>
      </c>
      <c r="T36">
        <f t="shared" si="2"/>
        <v>0</v>
      </c>
      <c r="U36">
        <f t="shared" si="3"/>
        <v>0</v>
      </c>
      <c r="V36">
        <f t="shared" si="4"/>
        <v>0</v>
      </c>
      <c r="W36">
        <f t="shared" si="5"/>
        <v>0</v>
      </c>
      <c r="X36">
        <f t="shared" si="6"/>
        <v>0</v>
      </c>
      <c r="Y36">
        <f t="shared" si="7"/>
        <v>0</v>
      </c>
      <c r="Z36">
        <f t="shared" si="8"/>
        <v>0</v>
      </c>
      <c r="AA36">
        <f t="shared" si="9"/>
        <v>0</v>
      </c>
      <c r="AB36">
        <f t="shared" si="10"/>
        <v>0</v>
      </c>
      <c r="AC36">
        <f t="shared" si="11"/>
        <v>0</v>
      </c>
      <c r="AD36">
        <f t="shared" si="12"/>
        <v>0</v>
      </c>
      <c r="AE36">
        <f t="shared" si="13"/>
        <v>0</v>
      </c>
      <c r="AF36">
        <f t="shared" si="14"/>
        <v>0</v>
      </c>
      <c r="AG36">
        <f t="shared" si="15"/>
        <v>0</v>
      </c>
      <c r="AH36">
        <f t="shared" si="16"/>
        <v>0</v>
      </c>
      <c r="AI36">
        <f t="shared" si="17"/>
        <v>1</v>
      </c>
      <c r="AJ36">
        <f t="shared" si="18"/>
        <v>0</v>
      </c>
      <c r="AK36">
        <f t="shared" si="19"/>
        <v>0</v>
      </c>
      <c r="AL36">
        <f t="shared" si="20"/>
        <v>1</v>
      </c>
      <c r="AM36">
        <f t="shared" si="21"/>
        <v>0</v>
      </c>
      <c r="AN36">
        <f t="shared" si="22"/>
        <v>1</v>
      </c>
      <c r="AO36">
        <f t="shared" si="23"/>
        <v>0</v>
      </c>
      <c r="AP36">
        <f t="shared" si="24"/>
        <v>1</v>
      </c>
      <c r="AQ36">
        <f t="shared" si="25"/>
        <v>0</v>
      </c>
      <c r="AR36">
        <f t="shared" si="26"/>
        <v>0</v>
      </c>
      <c r="AS36">
        <f t="shared" si="27"/>
        <v>0</v>
      </c>
    </row>
    <row r="37" spans="2:45" x14ac:dyDescent="0.3">
      <c r="B37">
        <v>36</v>
      </c>
      <c r="C37" s="1">
        <v>40579</v>
      </c>
      <c r="D37">
        <v>1</v>
      </c>
      <c r="E37">
        <v>0</v>
      </c>
      <c r="F37">
        <v>2</v>
      </c>
      <c r="G37">
        <v>6</v>
      </c>
      <c r="H37">
        <v>2</v>
      </c>
      <c r="I37">
        <v>100</v>
      </c>
      <c r="J37">
        <v>905</v>
      </c>
      <c r="K37" s="8">
        <v>1005</v>
      </c>
      <c r="L37">
        <v>9.5666530000000005</v>
      </c>
      <c r="M37">
        <v>12.152900000000001</v>
      </c>
      <c r="N37">
        <v>92.916700000000006</v>
      </c>
      <c r="O37">
        <v>10.792293000000001</v>
      </c>
      <c r="P37">
        <v>0</v>
      </c>
      <c r="Q37">
        <v>0</v>
      </c>
      <c r="R37">
        <f t="shared" si="0"/>
        <v>0</v>
      </c>
      <c r="S37">
        <f t="shared" si="1"/>
        <v>1</v>
      </c>
      <c r="T37">
        <f t="shared" si="2"/>
        <v>0</v>
      </c>
      <c r="U37">
        <f t="shared" si="3"/>
        <v>0</v>
      </c>
      <c r="V37">
        <f t="shared" si="4"/>
        <v>0</v>
      </c>
      <c r="W37">
        <f t="shared" si="5"/>
        <v>0</v>
      </c>
      <c r="X37">
        <f t="shared" si="6"/>
        <v>0</v>
      </c>
      <c r="Y37">
        <f t="shared" si="7"/>
        <v>0</v>
      </c>
      <c r="Z37">
        <f t="shared" si="8"/>
        <v>0</v>
      </c>
      <c r="AA37">
        <f t="shared" si="9"/>
        <v>0</v>
      </c>
      <c r="AB37">
        <f t="shared" si="10"/>
        <v>0</v>
      </c>
      <c r="AC37">
        <f t="shared" si="11"/>
        <v>0</v>
      </c>
      <c r="AD37">
        <f t="shared" si="12"/>
        <v>0</v>
      </c>
      <c r="AE37">
        <f t="shared" si="13"/>
        <v>0</v>
      </c>
      <c r="AF37">
        <f t="shared" si="14"/>
        <v>0</v>
      </c>
      <c r="AG37">
        <f t="shared" si="15"/>
        <v>0</v>
      </c>
      <c r="AH37">
        <f t="shared" si="16"/>
        <v>0</v>
      </c>
      <c r="AI37">
        <f t="shared" si="17"/>
        <v>0</v>
      </c>
      <c r="AJ37">
        <f t="shared" si="18"/>
        <v>1</v>
      </c>
      <c r="AK37">
        <f t="shared" si="19"/>
        <v>0</v>
      </c>
      <c r="AL37">
        <f t="shared" si="20"/>
        <v>1</v>
      </c>
      <c r="AM37">
        <f t="shared" si="21"/>
        <v>0</v>
      </c>
      <c r="AN37">
        <f t="shared" si="22"/>
        <v>1</v>
      </c>
      <c r="AO37">
        <f t="shared" si="23"/>
        <v>0</v>
      </c>
      <c r="AP37">
        <f t="shared" si="24"/>
        <v>1</v>
      </c>
      <c r="AQ37">
        <f t="shared" si="25"/>
        <v>0</v>
      </c>
      <c r="AR37">
        <f t="shared" si="26"/>
        <v>0</v>
      </c>
      <c r="AS37">
        <f t="shared" si="27"/>
        <v>0</v>
      </c>
    </row>
    <row r="38" spans="2:45" x14ac:dyDescent="0.3">
      <c r="B38">
        <v>37</v>
      </c>
      <c r="C38" s="1">
        <v>40580</v>
      </c>
      <c r="D38">
        <v>1</v>
      </c>
      <c r="E38">
        <v>0</v>
      </c>
      <c r="F38">
        <v>2</v>
      </c>
      <c r="G38">
        <v>0</v>
      </c>
      <c r="H38">
        <v>1</v>
      </c>
      <c r="I38">
        <v>354</v>
      </c>
      <c r="J38">
        <v>1269</v>
      </c>
      <c r="K38" s="8">
        <v>1623</v>
      </c>
      <c r="L38">
        <v>11.719153</v>
      </c>
      <c r="M38">
        <v>14.583550000000001</v>
      </c>
      <c r="N38">
        <v>56.833300000000001</v>
      </c>
      <c r="O38">
        <v>9.5006000000000004</v>
      </c>
      <c r="P38">
        <v>0</v>
      </c>
      <c r="Q38">
        <v>0</v>
      </c>
      <c r="R38">
        <f t="shared" si="0"/>
        <v>0</v>
      </c>
      <c r="S38">
        <f t="shared" si="1"/>
        <v>1</v>
      </c>
      <c r="T38">
        <f t="shared" si="2"/>
        <v>0</v>
      </c>
      <c r="U38">
        <f t="shared" si="3"/>
        <v>0</v>
      </c>
      <c r="V38">
        <f t="shared" si="4"/>
        <v>0</v>
      </c>
      <c r="W38">
        <f t="shared" si="5"/>
        <v>0</v>
      </c>
      <c r="X38">
        <f t="shared" si="6"/>
        <v>0</v>
      </c>
      <c r="Y38">
        <f t="shared" si="7"/>
        <v>0</v>
      </c>
      <c r="Z38">
        <f t="shared" si="8"/>
        <v>0</v>
      </c>
      <c r="AA38">
        <f t="shared" si="9"/>
        <v>0</v>
      </c>
      <c r="AB38">
        <f t="shared" si="10"/>
        <v>0</v>
      </c>
      <c r="AC38">
        <f t="shared" si="11"/>
        <v>0</v>
      </c>
      <c r="AD38">
        <f t="shared" si="12"/>
        <v>1</v>
      </c>
      <c r="AE38">
        <f t="shared" si="13"/>
        <v>0</v>
      </c>
      <c r="AF38">
        <f t="shared" si="14"/>
        <v>0</v>
      </c>
      <c r="AG38">
        <f t="shared" si="15"/>
        <v>0</v>
      </c>
      <c r="AH38">
        <f t="shared" si="16"/>
        <v>0</v>
      </c>
      <c r="AI38">
        <f t="shared" si="17"/>
        <v>0</v>
      </c>
      <c r="AJ38">
        <f t="shared" si="18"/>
        <v>0</v>
      </c>
      <c r="AK38">
        <f t="shared" si="19"/>
        <v>1</v>
      </c>
      <c r="AL38">
        <f t="shared" si="20"/>
        <v>0</v>
      </c>
      <c r="AM38">
        <f t="shared" si="21"/>
        <v>0</v>
      </c>
      <c r="AN38">
        <f t="shared" si="22"/>
        <v>1</v>
      </c>
      <c r="AO38">
        <f t="shared" si="23"/>
        <v>0</v>
      </c>
      <c r="AP38">
        <f t="shared" si="24"/>
        <v>1</v>
      </c>
      <c r="AQ38">
        <f t="shared" si="25"/>
        <v>0</v>
      </c>
      <c r="AR38">
        <f t="shared" si="26"/>
        <v>0</v>
      </c>
      <c r="AS38">
        <f t="shared" si="27"/>
        <v>0</v>
      </c>
    </row>
    <row r="39" spans="2:45" x14ac:dyDescent="0.3">
      <c r="B39">
        <v>38</v>
      </c>
      <c r="C39" s="1">
        <v>40581</v>
      </c>
      <c r="D39">
        <v>1</v>
      </c>
      <c r="E39">
        <v>0</v>
      </c>
      <c r="F39">
        <v>2</v>
      </c>
      <c r="G39">
        <v>1</v>
      </c>
      <c r="H39">
        <v>1</v>
      </c>
      <c r="I39">
        <v>120</v>
      </c>
      <c r="J39">
        <v>1592</v>
      </c>
      <c r="K39" s="8">
        <v>1712</v>
      </c>
      <c r="L39">
        <v>11.138347</v>
      </c>
      <c r="M39">
        <v>15.1829</v>
      </c>
      <c r="N39">
        <v>73.833299999999994</v>
      </c>
      <c r="O39">
        <v>3.0423561000000001</v>
      </c>
      <c r="P39">
        <v>0</v>
      </c>
      <c r="Q39">
        <v>1</v>
      </c>
      <c r="R39">
        <f t="shared" si="0"/>
        <v>0</v>
      </c>
      <c r="S39">
        <f t="shared" si="1"/>
        <v>1</v>
      </c>
      <c r="T39">
        <f t="shared" si="2"/>
        <v>0</v>
      </c>
      <c r="U39">
        <f t="shared" si="3"/>
        <v>0</v>
      </c>
      <c r="V39">
        <f t="shared" si="4"/>
        <v>0</v>
      </c>
      <c r="W39">
        <f t="shared" si="5"/>
        <v>0</v>
      </c>
      <c r="X39">
        <f t="shared" si="6"/>
        <v>0</v>
      </c>
      <c r="Y39">
        <f t="shared" si="7"/>
        <v>0</v>
      </c>
      <c r="Z39">
        <f t="shared" si="8"/>
        <v>0</v>
      </c>
      <c r="AA39">
        <f t="shared" si="9"/>
        <v>0</v>
      </c>
      <c r="AB39">
        <f t="shared" si="10"/>
        <v>0</v>
      </c>
      <c r="AC39">
        <f t="shared" si="11"/>
        <v>0</v>
      </c>
      <c r="AD39">
        <f t="shared" si="12"/>
        <v>0</v>
      </c>
      <c r="AE39">
        <f t="shared" si="13"/>
        <v>1</v>
      </c>
      <c r="AF39">
        <f t="shared" si="14"/>
        <v>0</v>
      </c>
      <c r="AG39">
        <f t="shared" si="15"/>
        <v>0</v>
      </c>
      <c r="AH39">
        <f t="shared" si="16"/>
        <v>0</v>
      </c>
      <c r="AI39">
        <f t="shared" si="17"/>
        <v>0</v>
      </c>
      <c r="AJ39">
        <f t="shared" si="18"/>
        <v>0</v>
      </c>
      <c r="AK39">
        <f t="shared" si="19"/>
        <v>1</v>
      </c>
      <c r="AL39">
        <f t="shared" si="20"/>
        <v>0</v>
      </c>
      <c r="AM39">
        <f t="shared" si="21"/>
        <v>0</v>
      </c>
      <c r="AN39">
        <f t="shared" si="22"/>
        <v>1</v>
      </c>
      <c r="AO39">
        <f t="shared" si="23"/>
        <v>0</v>
      </c>
      <c r="AP39">
        <f t="shared" si="24"/>
        <v>1</v>
      </c>
      <c r="AQ39">
        <f t="shared" si="25"/>
        <v>0</v>
      </c>
      <c r="AR39">
        <f t="shared" si="26"/>
        <v>0</v>
      </c>
      <c r="AS39">
        <f t="shared" si="27"/>
        <v>0</v>
      </c>
    </row>
    <row r="40" spans="2:45" x14ac:dyDescent="0.3">
      <c r="B40">
        <v>39</v>
      </c>
      <c r="C40" s="1">
        <v>40582</v>
      </c>
      <c r="D40">
        <v>1</v>
      </c>
      <c r="E40">
        <v>0</v>
      </c>
      <c r="F40">
        <v>2</v>
      </c>
      <c r="G40">
        <v>2</v>
      </c>
      <c r="H40">
        <v>1</v>
      </c>
      <c r="I40">
        <v>64</v>
      </c>
      <c r="J40">
        <v>1466</v>
      </c>
      <c r="K40" s="8">
        <v>1530</v>
      </c>
      <c r="L40">
        <v>9.0541529999999995</v>
      </c>
      <c r="M40">
        <v>9.9123000000000001</v>
      </c>
      <c r="N40">
        <v>53.791699999999999</v>
      </c>
      <c r="O40">
        <v>24.25065</v>
      </c>
      <c r="P40">
        <v>0</v>
      </c>
      <c r="Q40">
        <v>1</v>
      </c>
      <c r="R40">
        <f t="shared" si="0"/>
        <v>0</v>
      </c>
      <c r="S40">
        <f t="shared" si="1"/>
        <v>1</v>
      </c>
      <c r="T40">
        <f t="shared" si="2"/>
        <v>0</v>
      </c>
      <c r="U40">
        <f t="shared" si="3"/>
        <v>0</v>
      </c>
      <c r="V40">
        <f t="shared" si="4"/>
        <v>0</v>
      </c>
      <c r="W40">
        <f t="shared" si="5"/>
        <v>0</v>
      </c>
      <c r="X40">
        <f t="shared" si="6"/>
        <v>0</v>
      </c>
      <c r="Y40">
        <f t="shared" si="7"/>
        <v>0</v>
      </c>
      <c r="Z40">
        <f t="shared" si="8"/>
        <v>0</v>
      </c>
      <c r="AA40">
        <f t="shared" si="9"/>
        <v>0</v>
      </c>
      <c r="AB40">
        <f t="shared" si="10"/>
        <v>0</v>
      </c>
      <c r="AC40">
        <f t="shared" si="11"/>
        <v>0</v>
      </c>
      <c r="AD40">
        <f t="shared" si="12"/>
        <v>0</v>
      </c>
      <c r="AE40">
        <f t="shared" si="13"/>
        <v>0</v>
      </c>
      <c r="AF40">
        <f t="shared" si="14"/>
        <v>1</v>
      </c>
      <c r="AG40">
        <f t="shared" si="15"/>
        <v>0</v>
      </c>
      <c r="AH40">
        <f t="shared" si="16"/>
        <v>0</v>
      </c>
      <c r="AI40">
        <f t="shared" si="17"/>
        <v>0</v>
      </c>
      <c r="AJ40">
        <f t="shared" si="18"/>
        <v>0</v>
      </c>
      <c r="AK40">
        <f t="shared" si="19"/>
        <v>1</v>
      </c>
      <c r="AL40">
        <f t="shared" si="20"/>
        <v>0</v>
      </c>
      <c r="AM40">
        <f t="shared" si="21"/>
        <v>0</v>
      </c>
      <c r="AN40">
        <f t="shared" si="22"/>
        <v>1</v>
      </c>
      <c r="AO40">
        <f t="shared" si="23"/>
        <v>0</v>
      </c>
      <c r="AP40">
        <f t="shared" si="24"/>
        <v>1</v>
      </c>
      <c r="AQ40">
        <f t="shared" si="25"/>
        <v>0</v>
      </c>
      <c r="AR40">
        <f t="shared" si="26"/>
        <v>0</v>
      </c>
      <c r="AS40">
        <f t="shared" si="27"/>
        <v>0</v>
      </c>
    </row>
    <row r="41" spans="2:45" x14ac:dyDescent="0.3">
      <c r="B41">
        <v>40</v>
      </c>
      <c r="C41" s="1">
        <v>40583</v>
      </c>
      <c r="D41">
        <v>1</v>
      </c>
      <c r="E41">
        <v>0</v>
      </c>
      <c r="F41">
        <v>2</v>
      </c>
      <c r="G41">
        <v>3</v>
      </c>
      <c r="H41">
        <v>2</v>
      </c>
      <c r="I41">
        <v>53</v>
      </c>
      <c r="J41">
        <v>1552</v>
      </c>
      <c r="K41" s="8">
        <v>1605</v>
      </c>
      <c r="L41">
        <v>5.526103</v>
      </c>
      <c r="M41">
        <v>7.2141500000000001</v>
      </c>
      <c r="N41">
        <v>49.478299999999997</v>
      </c>
      <c r="O41">
        <v>12.652213</v>
      </c>
      <c r="P41">
        <v>0</v>
      </c>
      <c r="Q41">
        <v>1</v>
      </c>
      <c r="R41">
        <f t="shared" si="0"/>
        <v>0</v>
      </c>
      <c r="S41">
        <f t="shared" si="1"/>
        <v>1</v>
      </c>
      <c r="T41">
        <f t="shared" si="2"/>
        <v>0</v>
      </c>
      <c r="U41">
        <f t="shared" si="3"/>
        <v>0</v>
      </c>
      <c r="V41">
        <f t="shared" si="4"/>
        <v>0</v>
      </c>
      <c r="W41">
        <f t="shared" si="5"/>
        <v>0</v>
      </c>
      <c r="X41">
        <f t="shared" si="6"/>
        <v>0</v>
      </c>
      <c r="Y41">
        <f t="shared" si="7"/>
        <v>0</v>
      </c>
      <c r="Z41">
        <f t="shared" si="8"/>
        <v>0</v>
      </c>
      <c r="AA41">
        <f t="shared" si="9"/>
        <v>0</v>
      </c>
      <c r="AB41">
        <f t="shared" si="10"/>
        <v>0</v>
      </c>
      <c r="AC41">
        <f t="shared" si="11"/>
        <v>0</v>
      </c>
      <c r="AD41">
        <f t="shared" si="12"/>
        <v>0</v>
      </c>
      <c r="AE41">
        <f t="shared" si="13"/>
        <v>0</v>
      </c>
      <c r="AF41">
        <f t="shared" si="14"/>
        <v>0</v>
      </c>
      <c r="AG41">
        <f t="shared" si="15"/>
        <v>1</v>
      </c>
      <c r="AH41">
        <f t="shared" si="16"/>
        <v>0</v>
      </c>
      <c r="AI41">
        <f t="shared" si="17"/>
        <v>0</v>
      </c>
      <c r="AJ41">
        <f t="shared" si="18"/>
        <v>0</v>
      </c>
      <c r="AK41">
        <f t="shared" si="19"/>
        <v>0</v>
      </c>
      <c r="AL41">
        <f t="shared" si="20"/>
        <v>1</v>
      </c>
      <c r="AM41">
        <f t="shared" si="21"/>
        <v>0</v>
      </c>
      <c r="AN41">
        <f t="shared" si="22"/>
        <v>1</v>
      </c>
      <c r="AO41">
        <f t="shared" si="23"/>
        <v>0</v>
      </c>
      <c r="AP41">
        <f t="shared" si="24"/>
        <v>1</v>
      </c>
      <c r="AQ41">
        <f t="shared" si="25"/>
        <v>0</v>
      </c>
      <c r="AR41">
        <f t="shared" si="26"/>
        <v>0</v>
      </c>
      <c r="AS41">
        <f t="shared" si="27"/>
        <v>0</v>
      </c>
    </row>
    <row r="42" spans="2:45" x14ac:dyDescent="0.3">
      <c r="B42">
        <v>41</v>
      </c>
      <c r="C42" s="1">
        <v>40584</v>
      </c>
      <c r="D42">
        <v>1</v>
      </c>
      <c r="E42">
        <v>0</v>
      </c>
      <c r="F42">
        <v>2</v>
      </c>
      <c r="G42">
        <v>4</v>
      </c>
      <c r="H42">
        <v>1</v>
      </c>
      <c r="I42">
        <v>47</v>
      </c>
      <c r="J42">
        <v>1491</v>
      </c>
      <c r="K42" s="8">
        <v>1538</v>
      </c>
      <c r="L42">
        <v>5.9182680000000003</v>
      </c>
      <c r="M42">
        <v>7.4774000000000003</v>
      </c>
      <c r="N42">
        <v>43.739100000000001</v>
      </c>
      <c r="O42">
        <v>14.869645</v>
      </c>
      <c r="P42">
        <v>0</v>
      </c>
      <c r="Q42">
        <v>1</v>
      </c>
      <c r="R42">
        <f t="shared" si="0"/>
        <v>0</v>
      </c>
      <c r="S42">
        <f t="shared" si="1"/>
        <v>1</v>
      </c>
      <c r="T42">
        <f t="shared" si="2"/>
        <v>0</v>
      </c>
      <c r="U42">
        <f t="shared" si="3"/>
        <v>0</v>
      </c>
      <c r="V42">
        <f t="shared" si="4"/>
        <v>0</v>
      </c>
      <c r="W42">
        <f t="shared" si="5"/>
        <v>0</v>
      </c>
      <c r="X42">
        <f t="shared" si="6"/>
        <v>0</v>
      </c>
      <c r="Y42">
        <f t="shared" si="7"/>
        <v>0</v>
      </c>
      <c r="Z42">
        <f t="shared" si="8"/>
        <v>0</v>
      </c>
      <c r="AA42">
        <f t="shared" si="9"/>
        <v>0</v>
      </c>
      <c r="AB42">
        <f t="shared" si="10"/>
        <v>0</v>
      </c>
      <c r="AC42">
        <f t="shared" si="11"/>
        <v>0</v>
      </c>
      <c r="AD42">
        <f t="shared" si="12"/>
        <v>0</v>
      </c>
      <c r="AE42">
        <f t="shared" si="13"/>
        <v>0</v>
      </c>
      <c r="AF42">
        <f t="shared" si="14"/>
        <v>0</v>
      </c>
      <c r="AG42">
        <f t="shared" si="15"/>
        <v>0</v>
      </c>
      <c r="AH42">
        <f t="shared" si="16"/>
        <v>1</v>
      </c>
      <c r="AI42">
        <f t="shared" si="17"/>
        <v>0</v>
      </c>
      <c r="AJ42">
        <f t="shared" si="18"/>
        <v>0</v>
      </c>
      <c r="AK42">
        <f t="shared" si="19"/>
        <v>1</v>
      </c>
      <c r="AL42">
        <f t="shared" si="20"/>
        <v>0</v>
      </c>
      <c r="AM42">
        <f t="shared" si="21"/>
        <v>0</v>
      </c>
      <c r="AN42">
        <f t="shared" si="22"/>
        <v>1</v>
      </c>
      <c r="AO42">
        <f t="shared" si="23"/>
        <v>0</v>
      </c>
      <c r="AP42">
        <f t="shared" si="24"/>
        <v>1</v>
      </c>
      <c r="AQ42">
        <f t="shared" si="25"/>
        <v>0</v>
      </c>
      <c r="AR42">
        <f t="shared" si="26"/>
        <v>0</v>
      </c>
      <c r="AS42">
        <f t="shared" si="27"/>
        <v>0</v>
      </c>
    </row>
    <row r="43" spans="2:45" x14ac:dyDescent="0.3">
      <c r="B43">
        <v>42</v>
      </c>
      <c r="C43" s="1">
        <v>40585</v>
      </c>
      <c r="D43">
        <v>1</v>
      </c>
      <c r="E43">
        <v>0</v>
      </c>
      <c r="F43">
        <v>2</v>
      </c>
      <c r="G43">
        <v>5</v>
      </c>
      <c r="H43">
        <v>1</v>
      </c>
      <c r="I43">
        <v>149</v>
      </c>
      <c r="J43">
        <v>1597</v>
      </c>
      <c r="K43" s="8">
        <v>1746</v>
      </c>
      <c r="L43">
        <v>7.7527309999999998</v>
      </c>
      <c r="M43">
        <v>10.67545</v>
      </c>
      <c r="N43">
        <v>50.636400000000002</v>
      </c>
      <c r="O43">
        <v>7.27285</v>
      </c>
      <c r="P43">
        <v>0</v>
      </c>
      <c r="Q43">
        <v>1</v>
      </c>
      <c r="R43">
        <f t="shared" si="0"/>
        <v>0</v>
      </c>
      <c r="S43">
        <f t="shared" si="1"/>
        <v>1</v>
      </c>
      <c r="T43">
        <f t="shared" si="2"/>
        <v>0</v>
      </c>
      <c r="U43">
        <f t="shared" si="3"/>
        <v>0</v>
      </c>
      <c r="V43">
        <f t="shared" si="4"/>
        <v>0</v>
      </c>
      <c r="W43">
        <f t="shared" si="5"/>
        <v>0</v>
      </c>
      <c r="X43">
        <f t="shared" si="6"/>
        <v>0</v>
      </c>
      <c r="Y43">
        <f t="shared" si="7"/>
        <v>0</v>
      </c>
      <c r="Z43">
        <f t="shared" si="8"/>
        <v>0</v>
      </c>
      <c r="AA43">
        <f t="shared" si="9"/>
        <v>0</v>
      </c>
      <c r="AB43">
        <f t="shared" si="10"/>
        <v>0</v>
      </c>
      <c r="AC43">
        <f t="shared" si="11"/>
        <v>0</v>
      </c>
      <c r="AD43">
        <f t="shared" si="12"/>
        <v>0</v>
      </c>
      <c r="AE43">
        <f t="shared" si="13"/>
        <v>0</v>
      </c>
      <c r="AF43">
        <f t="shared" si="14"/>
        <v>0</v>
      </c>
      <c r="AG43">
        <f t="shared" si="15"/>
        <v>0</v>
      </c>
      <c r="AH43">
        <f t="shared" si="16"/>
        <v>0</v>
      </c>
      <c r="AI43">
        <f t="shared" si="17"/>
        <v>1</v>
      </c>
      <c r="AJ43">
        <f t="shared" si="18"/>
        <v>0</v>
      </c>
      <c r="AK43">
        <f t="shared" si="19"/>
        <v>1</v>
      </c>
      <c r="AL43">
        <f t="shared" si="20"/>
        <v>0</v>
      </c>
      <c r="AM43">
        <f t="shared" si="21"/>
        <v>0</v>
      </c>
      <c r="AN43">
        <f t="shared" si="22"/>
        <v>1</v>
      </c>
      <c r="AO43">
        <f t="shared" si="23"/>
        <v>0</v>
      </c>
      <c r="AP43">
        <f t="shared" si="24"/>
        <v>1</v>
      </c>
      <c r="AQ43">
        <f t="shared" si="25"/>
        <v>0</v>
      </c>
      <c r="AR43">
        <f t="shared" si="26"/>
        <v>0</v>
      </c>
      <c r="AS43">
        <f t="shared" si="27"/>
        <v>0</v>
      </c>
    </row>
    <row r="44" spans="2:45" x14ac:dyDescent="0.3">
      <c r="B44">
        <v>43</v>
      </c>
      <c r="C44" s="1">
        <v>40586</v>
      </c>
      <c r="D44">
        <v>1</v>
      </c>
      <c r="E44">
        <v>0</v>
      </c>
      <c r="F44">
        <v>2</v>
      </c>
      <c r="G44">
        <v>6</v>
      </c>
      <c r="H44">
        <v>1</v>
      </c>
      <c r="I44">
        <v>288</v>
      </c>
      <c r="J44">
        <v>1184</v>
      </c>
      <c r="K44" s="8">
        <v>1472</v>
      </c>
      <c r="L44">
        <v>9.1225000000000005</v>
      </c>
      <c r="M44">
        <v>11.6477</v>
      </c>
      <c r="N44">
        <v>54.416699999999999</v>
      </c>
      <c r="O44">
        <v>13.625589</v>
      </c>
      <c r="P44">
        <v>0</v>
      </c>
      <c r="Q44">
        <v>0</v>
      </c>
      <c r="R44">
        <f t="shared" si="0"/>
        <v>0</v>
      </c>
      <c r="S44">
        <f t="shared" si="1"/>
        <v>1</v>
      </c>
      <c r="T44">
        <f t="shared" si="2"/>
        <v>0</v>
      </c>
      <c r="U44">
        <f t="shared" si="3"/>
        <v>0</v>
      </c>
      <c r="V44">
        <f t="shared" si="4"/>
        <v>0</v>
      </c>
      <c r="W44">
        <f t="shared" si="5"/>
        <v>0</v>
      </c>
      <c r="X44">
        <f t="shared" si="6"/>
        <v>0</v>
      </c>
      <c r="Y44">
        <f t="shared" si="7"/>
        <v>0</v>
      </c>
      <c r="Z44">
        <f t="shared" si="8"/>
        <v>0</v>
      </c>
      <c r="AA44">
        <f t="shared" si="9"/>
        <v>0</v>
      </c>
      <c r="AB44">
        <f t="shared" si="10"/>
        <v>0</v>
      </c>
      <c r="AC44">
        <f t="shared" si="11"/>
        <v>0</v>
      </c>
      <c r="AD44">
        <f t="shared" si="12"/>
        <v>0</v>
      </c>
      <c r="AE44">
        <f t="shared" si="13"/>
        <v>0</v>
      </c>
      <c r="AF44">
        <f t="shared" si="14"/>
        <v>0</v>
      </c>
      <c r="AG44">
        <f t="shared" si="15"/>
        <v>0</v>
      </c>
      <c r="AH44">
        <f t="shared" si="16"/>
        <v>0</v>
      </c>
      <c r="AI44">
        <f t="shared" si="17"/>
        <v>0</v>
      </c>
      <c r="AJ44">
        <f t="shared" si="18"/>
        <v>1</v>
      </c>
      <c r="AK44">
        <f t="shared" si="19"/>
        <v>1</v>
      </c>
      <c r="AL44">
        <f t="shared" si="20"/>
        <v>0</v>
      </c>
      <c r="AM44">
        <f t="shared" si="21"/>
        <v>0</v>
      </c>
      <c r="AN44">
        <f t="shared" si="22"/>
        <v>1</v>
      </c>
      <c r="AO44">
        <f t="shared" si="23"/>
        <v>0</v>
      </c>
      <c r="AP44">
        <f t="shared" si="24"/>
        <v>1</v>
      </c>
      <c r="AQ44">
        <f t="shared" si="25"/>
        <v>0</v>
      </c>
      <c r="AR44">
        <f t="shared" si="26"/>
        <v>0</v>
      </c>
      <c r="AS44">
        <f t="shared" si="27"/>
        <v>0</v>
      </c>
    </row>
    <row r="45" spans="2:45" x14ac:dyDescent="0.3">
      <c r="B45">
        <v>44</v>
      </c>
      <c r="C45" s="1">
        <v>40587</v>
      </c>
      <c r="D45">
        <v>1</v>
      </c>
      <c r="E45">
        <v>0</v>
      </c>
      <c r="F45">
        <v>2</v>
      </c>
      <c r="G45">
        <v>0</v>
      </c>
      <c r="H45">
        <v>1</v>
      </c>
      <c r="I45">
        <v>397</v>
      </c>
      <c r="J45">
        <v>1192</v>
      </c>
      <c r="K45" s="8">
        <v>1589</v>
      </c>
      <c r="L45">
        <v>12.977402</v>
      </c>
      <c r="M45">
        <v>16.205649999999999</v>
      </c>
      <c r="N45">
        <v>45.739100000000001</v>
      </c>
      <c r="O45">
        <v>17.479161000000001</v>
      </c>
      <c r="P45">
        <v>0</v>
      </c>
      <c r="Q45">
        <v>0</v>
      </c>
      <c r="R45">
        <f t="shared" si="0"/>
        <v>0</v>
      </c>
      <c r="S45">
        <f t="shared" si="1"/>
        <v>1</v>
      </c>
      <c r="T45">
        <f t="shared" si="2"/>
        <v>0</v>
      </c>
      <c r="U45">
        <f t="shared" si="3"/>
        <v>0</v>
      </c>
      <c r="V45">
        <f t="shared" si="4"/>
        <v>0</v>
      </c>
      <c r="W45">
        <f t="shared" si="5"/>
        <v>0</v>
      </c>
      <c r="X45">
        <f t="shared" si="6"/>
        <v>0</v>
      </c>
      <c r="Y45">
        <f t="shared" si="7"/>
        <v>0</v>
      </c>
      <c r="Z45">
        <f t="shared" si="8"/>
        <v>0</v>
      </c>
      <c r="AA45">
        <f t="shared" si="9"/>
        <v>0</v>
      </c>
      <c r="AB45">
        <f t="shared" si="10"/>
        <v>0</v>
      </c>
      <c r="AC45">
        <f t="shared" si="11"/>
        <v>0</v>
      </c>
      <c r="AD45">
        <f t="shared" si="12"/>
        <v>1</v>
      </c>
      <c r="AE45">
        <f t="shared" si="13"/>
        <v>0</v>
      </c>
      <c r="AF45">
        <f t="shared" si="14"/>
        <v>0</v>
      </c>
      <c r="AG45">
        <f t="shared" si="15"/>
        <v>0</v>
      </c>
      <c r="AH45">
        <f t="shared" si="16"/>
        <v>0</v>
      </c>
      <c r="AI45">
        <f t="shared" si="17"/>
        <v>0</v>
      </c>
      <c r="AJ45">
        <f t="shared" si="18"/>
        <v>0</v>
      </c>
      <c r="AK45">
        <f t="shared" si="19"/>
        <v>1</v>
      </c>
      <c r="AL45">
        <f t="shared" si="20"/>
        <v>0</v>
      </c>
      <c r="AM45">
        <f t="shared" si="21"/>
        <v>0</v>
      </c>
      <c r="AN45">
        <f t="shared" si="22"/>
        <v>1</v>
      </c>
      <c r="AO45">
        <f t="shared" si="23"/>
        <v>0</v>
      </c>
      <c r="AP45">
        <f t="shared" si="24"/>
        <v>1</v>
      </c>
      <c r="AQ45">
        <f t="shared" si="25"/>
        <v>0</v>
      </c>
      <c r="AR45">
        <f t="shared" si="26"/>
        <v>0</v>
      </c>
      <c r="AS45">
        <f t="shared" si="27"/>
        <v>0</v>
      </c>
    </row>
    <row r="46" spans="2:45" x14ac:dyDescent="0.3">
      <c r="B46">
        <v>45</v>
      </c>
      <c r="C46" s="1">
        <v>40588</v>
      </c>
      <c r="D46">
        <v>1</v>
      </c>
      <c r="E46">
        <v>0</v>
      </c>
      <c r="F46">
        <v>2</v>
      </c>
      <c r="G46">
        <v>1</v>
      </c>
      <c r="H46">
        <v>1</v>
      </c>
      <c r="I46">
        <v>208</v>
      </c>
      <c r="J46">
        <v>1705</v>
      </c>
      <c r="K46" s="8">
        <v>1913</v>
      </c>
      <c r="L46">
        <v>17.015000000000001</v>
      </c>
      <c r="M46">
        <v>19.9175</v>
      </c>
      <c r="N46">
        <v>37.583300000000001</v>
      </c>
      <c r="O46">
        <v>27.999835999999998</v>
      </c>
      <c r="P46">
        <v>0</v>
      </c>
      <c r="Q46">
        <v>1</v>
      </c>
      <c r="R46">
        <f t="shared" si="0"/>
        <v>0</v>
      </c>
      <c r="S46">
        <f t="shared" si="1"/>
        <v>1</v>
      </c>
      <c r="T46">
        <f t="shared" si="2"/>
        <v>0</v>
      </c>
      <c r="U46">
        <f t="shared" si="3"/>
        <v>0</v>
      </c>
      <c r="V46">
        <f t="shared" si="4"/>
        <v>0</v>
      </c>
      <c r="W46">
        <f t="shared" si="5"/>
        <v>0</v>
      </c>
      <c r="X46">
        <f t="shared" si="6"/>
        <v>0</v>
      </c>
      <c r="Y46">
        <f t="shared" si="7"/>
        <v>0</v>
      </c>
      <c r="Z46">
        <f t="shared" si="8"/>
        <v>0</v>
      </c>
      <c r="AA46">
        <f t="shared" si="9"/>
        <v>0</v>
      </c>
      <c r="AB46">
        <f t="shared" si="10"/>
        <v>0</v>
      </c>
      <c r="AC46">
        <f t="shared" si="11"/>
        <v>0</v>
      </c>
      <c r="AD46">
        <f t="shared" si="12"/>
        <v>0</v>
      </c>
      <c r="AE46">
        <f t="shared" si="13"/>
        <v>1</v>
      </c>
      <c r="AF46">
        <f t="shared" si="14"/>
        <v>0</v>
      </c>
      <c r="AG46">
        <f t="shared" si="15"/>
        <v>0</v>
      </c>
      <c r="AH46">
        <f t="shared" si="16"/>
        <v>0</v>
      </c>
      <c r="AI46">
        <f t="shared" si="17"/>
        <v>0</v>
      </c>
      <c r="AJ46">
        <f t="shared" si="18"/>
        <v>0</v>
      </c>
      <c r="AK46">
        <f t="shared" si="19"/>
        <v>1</v>
      </c>
      <c r="AL46">
        <f t="shared" si="20"/>
        <v>0</v>
      </c>
      <c r="AM46">
        <f t="shared" si="21"/>
        <v>0</v>
      </c>
      <c r="AN46">
        <f t="shared" si="22"/>
        <v>1</v>
      </c>
      <c r="AO46">
        <f t="shared" si="23"/>
        <v>0</v>
      </c>
      <c r="AP46">
        <f t="shared" si="24"/>
        <v>1</v>
      </c>
      <c r="AQ46">
        <f t="shared" si="25"/>
        <v>0</v>
      </c>
      <c r="AR46">
        <f t="shared" si="26"/>
        <v>0</v>
      </c>
      <c r="AS46">
        <f t="shared" si="27"/>
        <v>0</v>
      </c>
    </row>
    <row r="47" spans="2:45" x14ac:dyDescent="0.3">
      <c r="B47">
        <v>46</v>
      </c>
      <c r="C47" s="1">
        <v>40589</v>
      </c>
      <c r="D47">
        <v>1</v>
      </c>
      <c r="E47">
        <v>0</v>
      </c>
      <c r="F47">
        <v>2</v>
      </c>
      <c r="G47">
        <v>2</v>
      </c>
      <c r="H47">
        <v>1</v>
      </c>
      <c r="I47">
        <v>140</v>
      </c>
      <c r="J47">
        <v>1675</v>
      </c>
      <c r="K47" s="8">
        <v>1815</v>
      </c>
      <c r="L47">
        <v>10.909566999999999</v>
      </c>
      <c r="M47">
        <v>12.713699999999999</v>
      </c>
      <c r="N47">
        <v>31.434799999999999</v>
      </c>
      <c r="O47">
        <v>19.522058000000001</v>
      </c>
      <c r="P47">
        <v>0</v>
      </c>
      <c r="Q47">
        <v>1</v>
      </c>
      <c r="R47">
        <f t="shared" si="0"/>
        <v>0</v>
      </c>
      <c r="S47">
        <f t="shared" si="1"/>
        <v>1</v>
      </c>
      <c r="T47">
        <f t="shared" si="2"/>
        <v>0</v>
      </c>
      <c r="U47">
        <f t="shared" si="3"/>
        <v>0</v>
      </c>
      <c r="V47">
        <f t="shared" si="4"/>
        <v>0</v>
      </c>
      <c r="W47">
        <f t="shared" si="5"/>
        <v>0</v>
      </c>
      <c r="X47">
        <f t="shared" si="6"/>
        <v>0</v>
      </c>
      <c r="Y47">
        <f t="shared" si="7"/>
        <v>0</v>
      </c>
      <c r="Z47">
        <f t="shared" si="8"/>
        <v>0</v>
      </c>
      <c r="AA47">
        <f t="shared" si="9"/>
        <v>0</v>
      </c>
      <c r="AB47">
        <f t="shared" si="10"/>
        <v>0</v>
      </c>
      <c r="AC47">
        <f t="shared" si="11"/>
        <v>0</v>
      </c>
      <c r="AD47">
        <f t="shared" si="12"/>
        <v>0</v>
      </c>
      <c r="AE47">
        <f t="shared" si="13"/>
        <v>0</v>
      </c>
      <c r="AF47">
        <f t="shared" si="14"/>
        <v>1</v>
      </c>
      <c r="AG47">
        <f t="shared" si="15"/>
        <v>0</v>
      </c>
      <c r="AH47">
        <f t="shared" si="16"/>
        <v>0</v>
      </c>
      <c r="AI47">
        <f t="shared" si="17"/>
        <v>0</v>
      </c>
      <c r="AJ47">
        <f t="shared" si="18"/>
        <v>0</v>
      </c>
      <c r="AK47">
        <f t="shared" si="19"/>
        <v>1</v>
      </c>
      <c r="AL47">
        <f t="shared" si="20"/>
        <v>0</v>
      </c>
      <c r="AM47">
        <f t="shared" si="21"/>
        <v>0</v>
      </c>
      <c r="AN47">
        <f t="shared" si="22"/>
        <v>1</v>
      </c>
      <c r="AO47">
        <f t="shared" si="23"/>
        <v>0</v>
      </c>
      <c r="AP47">
        <f t="shared" si="24"/>
        <v>1</v>
      </c>
      <c r="AQ47">
        <f t="shared" si="25"/>
        <v>0</v>
      </c>
      <c r="AR47">
        <f t="shared" si="26"/>
        <v>0</v>
      </c>
      <c r="AS47">
        <f t="shared" si="27"/>
        <v>0</v>
      </c>
    </row>
    <row r="48" spans="2:45" x14ac:dyDescent="0.3">
      <c r="B48">
        <v>47</v>
      </c>
      <c r="C48" s="1">
        <v>40590</v>
      </c>
      <c r="D48">
        <v>1</v>
      </c>
      <c r="E48">
        <v>0</v>
      </c>
      <c r="F48">
        <v>2</v>
      </c>
      <c r="G48">
        <v>3</v>
      </c>
      <c r="H48">
        <v>1</v>
      </c>
      <c r="I48">
        <v>218</v>
      </c>
      <c r="J48">
        <v>1897</v>
      </c>
      <c r="K48" s="8">
        <v>2115</v>
      </c>
      <c r="L48">
        <v>13.048700999999999</v>
      </c>
      <c r="M48">
        <v>15.81</v>
      </c>
      <c r="N48">
        <v>42.347799999999999</v>
      </c>
      <c r="O48">
        <v>16.869997000000001</v>
      </c>
      <c r="P48">
        <v>0</v>
      </c>
      <c r="Q48">
        <v>1</v>
      </c>
      <c r="R48">
        <f t="shared" si="0"/>
        <v>0</v>
      </c>
      <c r="S48">
        <f t="shared" si="1"/>
        <v>1</v>
      </c>
      <c r="T48">
        <f t="shared" si="2"/>
        <v>0</v>
      </c>
      <c r="U48">
        <f t="shared" si="3"/>
        <v>0</v>
      </c>
      <c r="V48">
        <f t="shared" si="4"/>
        <v>0</v>
      </c>
      <c r="W48">
        <f t="shared" si="5"/>
        <v>0</v>
      </c>
      <c r="X48">
        <f t="shared" si="6"/>
        <v>0</v>
      </c>
      <c r="Y48">
        <f t="shared" si="7"/>
        <v>0</v>
      </c>
      <c r="Z48">
        <f t="shared" si="8"/>
        <v>0</v>
      </c>
      <c r="AA48">
        <f t="shared" si="9"/>
        <v>0</v>
      </c>
      <c r="AB48">
        <f t="shared" si="10"/>
        <v>0</v>
      </c>
      <c r="AC48">
        <f t="shared" si="11"/>
        <v>0</v>
      </c>
      <c r="AD48">
        <f t="shared" si="12"/>
        <v>0</v>
      </c>
      <c r="AE48">
        <f t="shared" si="13"/>
        <v>0</v>
      </c>
      <c r="AF48">
        <f t="shared" si="14"/>
        <v>0</v>
      </c>
      <c r="AG48">
        <f t="shared" si="15"/>
        <v>1</v>
      </c>
      <c r="AH48">
        <f t="shared" si="16"/>
        <v>0</v>
      </c>
      <c r="AI48">
        <f t="shared" si="17"/>
        <v>0</v>
      </c>
      <c r="AJ48">
        <f t="shared" si="18"/>
        <v>0</v>
      </c>
      <c r="AK48">
        <f t="shared" si="19"/>
        <v>1</v>
      </c>
      <c r="AL48">
        <f t="shared" si="20"/>
        <v>0</v>
      </c>
      <c r="AM48">
        <f t="shared" si="21"/>
        <v>0</v>
      </c>
      <c r="AN48">
        <f t="shared" si="22"/>
        <v>1</v>
      </c>
      <c r="AO48">
        <f t="shared" si="23"/>
        <v>0</v>
      </c>
      <c r="AP48">
        <f t="shared" si="24"/>
        <v>1</v>
      </c>
      <c r="AQ48">
        <f t="shared" si="25"/>
        <v>0</v>
      </c>
      <c r="AR48">
        <f t="shared" si="26"/>
        <v>0</v>
      </c>
      <c r="AS48">
        <f t="shared" si="27"/>
        <v>0</v>
      </c>
    </row>
    <row r="49" spans="2:45" x14ac:dyDescent="0.3">
      <c r="B49">
        <v>48</v>
      </c>
      <c r="C49" s="1">
        <v>40591</v>
      </c>
      <c r="D49">
        <v>1</v>
      </c>
      <c r="E49">
        <v>0</v>
      </c>
      <c r="F49">
        <v>2</v>
      </c>
      <c r="G49">
        <v>4</v>
      </c>
      <c r="H49">
        <v>1</v>
      </c>
      <c r="I49">
        <v>259</v>
      </c>
      <c r="J49">
        <v>2216</v>
      </c>
      <c r="K49" s="8">
        <v>2475</v>
      </c>
      <c r="L49">
        <v>17.869153000000001</v>
      </c>
      <c r="M49">
        <v>21.4329</v>
      </c>
      <c r="N49">
        <v>50.5</v>
      </c>
      <c r="O49">
        <v>15.416968000000001</v>
      </c>
      <c r="P49">
        <v>0</v>
      </c>
      <c r="Q49">
        <v>1</v>
      </c>
      <c r="R49">
        <f t="shared" si="0"/>
        <v>0</v>
      </c>
      <c r="S49">
        <f t="shared" si="1"/>
        <v>1</v>
      </c>
      <c r="T49">
        <f t="shared" si="2"/>
        <v>0</v>
      </c>
      <c r="U49">
        <f t="shared" si="3"/>
        <v>0</v>
      </c>
      <c r="V49">
        <f t="shared" si="4"/>
        <v>0</v>
      </c>
      <c r="W49">
        <f t="shared" si="5"/>
        <v>0</v>
      </c>
      <c r="X49">
        <f t="shared" si="6"/>
        <v>0</v>
      </c>
      <c r="Y49">
        <f t="shared" si="7"/>
        <v>0</v>
      </c>
      <c r="Z49">
        <f t="shared" si="8"/>
        <v>0</v>
      </c>
      <c r="AA49">
        <f t="shared" si="9"/>
        <v>0</v>
      </c>
      <c r="AB49">
        <f t="shared" si="10"/>
        <v>0</v>
      </c>
      <c r="AC49">
        <f t="shared" si="11"/>
        <v>0</v>
      </c>
      <c r="AD49">
        <f t="shared" si="12"/>
        <v>0</v>
      </c>
      <c r="AE49">
        <f t="shared" si="13"/>
        <v>0</v>
      </c>
      <c r="AF49">
        <f t="shared" si="14"/>
        <v>0</v>
      </c>
      <c r="AG49">
        <f t="shared" si="15"/>
        <v>0</v>
      </c>
      <c r="AH49">
        <f t="shared" si="16"/>
        <v>1</v>
      </c>
      <c r="AI49">
        <f t="shared" si="17"/>
        <v>0</v>
      </c>
      <c r="AJ49">
        <f t="shared" si="18"/>
        <v>0</v>
      </c>
      <c r="AK49">
        <f t="shared" si="19"/>
        <v>1</v>
      </c>
      <c r="AL49">
        <f t="shared" si="20"/>
        <v>0</v>
      </c>
      <c r="AM49">
        <f t="shared" si="21"/>
        <v>0</v>
      </c>
      <c r="AN49">
        <f t="shared" si="22"/>
        <v>1</v>
      </c>
      <c r="AO49">
        <f t="shared" si="23"/>
        <v>0</v>
      </c>
      <c r="AP49">
        <f t="shared" si="24"/>
        <v>1</v>
      </c>
      <c r="AQ49">
        <f t="shared" si="25"/>
        <v>0</v>
      </c>
      <c r="AR49">
        <f t="shared" si="26"/>
        <v>0</v>
      </c>
      <c r="AS49">
        <f t="shared" si="27"/>
        <v>0</v>
      </c>
    </row>
    <row r="50" spans="2:45" x14ac:dyDescent="0.3">
      <c r="B50">
        <v>49</v>
      </c>
      <c r="C50" s="1">
        <v>40592</v>
      </c>
      <c r="D50">
        <v>1</v>
      </c>
      <c r="E50">
        <v>0</v>
      </c>
      <c r="F50">
        <v>2</v>
      </c>
      <c r="G50">
        <v>5</v>
      </c>
      <c r="H50">
        <v>1</v>
      </c>
      <c r="I50">
        <v>579</v>
      </c>
      <c r="J50">
        <v>2348</v>
      </c>
      <c r="K50" s="8">
        <v>2927</v>
      </c>
      <c r="L50">
        <v>21.388347</v>
      </c>
      <c r="M50">
        <v>25.599150000000002</v>
      </c>
      <c r="N50">
        <v>51.666699999999999</v>
      </c>
      <c r="O50">
        <v>17.749974999999999</v>
      </c>
      <c r="P50">
        <v>0</v>
      </c>
      <c r="Q50">
        <v>1</v>
      </c>
      <c r="R50">
        <f t="shared" si="0"/>
        <v>0</v>
      </c>
      <c r="S50">
        <f t="shared" si="1"/>
        <v>1</v>
      </c>
      <c r="T50">
        <f t="shared" si="2"/>
        <v>0</v>
      </c>
      <c r="U50">
        <f t="shared" si="3"/>
        <v>0</v>
      </c>
      <c r="V50">
        <f t="shared" si="4"/>
        <v>0</v>
      </c>
      <c r="W50">
        <f t="shared" si="5"/>
        <v>0</v>
      </c>
      <c r="X50">
        <f t="shared" si="6"/>
        <v>0</v>
      </c>
      <c r="Y50">
        <f t="shared" si="7"/>
        <v>0</v>
      </c>
      <c r="Z50">
        <f t="shared" si="8"/>
        <v>0</v>
      </c>
      <c r="AA50">
        <f t="shared" si="9"/>
        <v>0</v>
      </c>
      <c r="AB50">
        <f t="shared" si="10"/>
        <v>0</v>
      </c>
      <c r="AC50">
        <f t="shared" si="11"/>
        <v>0</v>
      </c>
      <c r="AD50">
        <f t="shared" si="12"/>
        <v>0</v>
      </c>
      <c r="AE50">
        <f t="shared" si="13"/>
        <v>0</v>
      </c>
      <c r="AF50">
        <f t="shared" si="14"/>
        <v>0</v>
      </c>
      <c r="AG50">
        <f t="shared" si="15"/>
        <v>0</v>
      </c>
      <c r="AH50">
        <f t="shared" si="16"/>
        <v>0</v>
      </c>
      <c r="AI50">
        <f t="shared" si="17"/>
        <v>1</v>
      </c>
      <c r="AJ50">
        <f t="shared" si="18"/>
        <v>0</v>
      </c>
      <c r="AK50">
        <f t="shared" si="19"/>
        <v>1</v>
      </c>
      <c r="AL50">
        <f t="shared" si="20"/>
        <v>0</v>
      </c>
      <c r="AM50">
        <f t="shared" si="21"/>
        <v>0</v>
      </c>
      <c r="AN50">
        <f t="shared" si="22"/>
        <v>1</v>
      </c>
      <c r="AO50">
        <f t="shared" si="23"/>
        <v>0</v>
      </c>
      <c r="AP50">
        <f t="shared" si="24"/>
        <v>1</v>
      </c>
      <c r="AQ50">
        <f t="shared" si="25"/>
        <v>0</v>
      </c>
      <c r="AR50">
        <f t="shared" si="26"/>
        <v>0</v>
      </c>
      <c r="AS50">
        <f t="shared" si="27"/>
        <v>0</v>
      </c>
    </row>
    <row r="51" spans="2:45" x14ac:dyDescent="0.3">
      <c r="B51">
        <v>50</v>
      </c>
      <c r="C51" s="1">
        <v>40593</v>
      </c>
      <c r="D51">
        <v>1</v>
      </c>
      <c r="E51">
        <v>0</v>
      </c>
      <c r="F51">
        <v>2</v>
      </c>
      <c r="G51">
        <v>6</v>
      </c>
      <c r="H51">
        <v>1</v>
      </c>
      <c r="I51">
        <v>532</v>
      </c>
      <c r="J51">
        <v>1103</v>
      </c>
      <c r="K51" s="8">
        <v>1635</v>
      </c>
      <c r="L51">
        <v>16.365846999999999</v>
      </c>
      <c r="M51">
        <v>19.5702</v>
      </c>
      <c r="N51">
        <v>18.791699999999999</v>
      </c>
      <c r="O51">
        <v>34.000020999999997</v>
      </c>
      <c r="P51">
        <v>0</v>
      </c>
      <c r="Q51">
        <v>0</v>
      </c>
      <c r="R51">
        <f t="shared" si="0"/>
        <v>0</v>
      </c>
      <c r="S51">
        <f t="shared" si="1"/>
        <v>1</v>
      </c>
      <c r="T51">
        <f t="shared" si="2"/>
        <v>0</v>
      </c>
      <c r="U51">
        <f t="shared" si="3"/>
        <v>0</v>
      </c>
      <c r="V51">
        <f t="shared" si="4"/>
        <v>0</v>
      </c>
      <c r="W51">
        <f t="shared" si="5"/>
        <v>0</v>
      </c>
      <c r="X51">
        <f t="shared" si="6"/>
        <v>0</v>
      </c>
      <c r="Y51">
        <f t="shared" si="7"/>
        <v>0</v>
      </c>
      <c r="Z51">
        <f t="shared" si="8"/>
        <v>0</v>
      </c>
      <c r="AA51">
        <f t="shared" si="9"/>
        <v>0</v>
      </c>
      <c r="AB51">
        <f t="shared" si="10"/>
        <v>0</v>
      </c>
      <c r="AC51">
        <f t="shared" si="11"/>
        <v>0</v>
      </c>
      <c r="AD51">
        <f t="shared" si="12"/>
        <v>0</v>
      </c>
      <c r="AE51">
        <f t="shared" si="13"/>
        <v>0</v>
      </c>
      <c r="AF51">
        <f t="shared" si="14"/>
        <v>0</v>
      </c>
      <c r="AG51">
        <f t="shared" si="15"/>
        <v>0</v>
      </c>
      <c r="AH51">
        <f t="shared" si="16"/>
        <v>0</v>
      </c>
      <c r="AI51">
        <f t="shared" si="17"/>
        <v>0</v>
      </c>
      <c r="AJ51">
        <f t="shared" si="18"/>
        <v>1</v>
      </c>
      <c r="AK51">
        <f t="shared" si="19"/>
        <v>1</v>
      </c>
      <c r="AL51">
        <f t="shared" si="20"/>
        <v>0</v>
      </c>
      <c r="AM51">
        <f t="shared" si="21"/>
        <v>0</v>
      </c>
      <c r="AN51">
        <f t="shared" si="22"/>
        <v>1</v>
      </c>
      <c r="AO51">
        <f t="shared" si="23"/>
        <v>0</v>
      </c>
      <c r="AP51">
        <f t="shared" si="24"/>
        <v>1</v>
      </c>
      <c r="AQ51">
        <f t="shared" si="25"/>
        <v>0</v>
      </c>
      <c r="AR51">
        <f t="shared" si="26"/>
        <v>0</v>
      </c>
      <c r="AS51">
        <f t="shared" si="27"/>
        <v>0</v>
      </c>
    </row>
    <row r="52" spans="2:45" x14ac:dyDescent="0.3">
      <c r="B52">
        <v>51</v>
      </c>
      <c r="C52" s="1">
        <v>40594</v>
      </c>
      <c r="D52">
        <v>1</v>
      </c>
      <c r="E52">
        <v>0</v>
      </c>
      <c r="F52">
        <v>2</v>
      </c>
      <c r="G52">
        <v>0</v>
      </c>
      <c r="H52">
        <v>1</v>
      </c>
      <c r="I52">
        <v>639</v>
      </c>
      <c r="J52">
        <v>1173</v>
      </c>
      <c r="K52" s="8">
        <v>1812</v>
      </c>
      <c r="L52">
        <v>11.693897</v>
      </c>
      <c r="M52">
        <v>13.8665</v>
      </c>
      <c r="N52">
        <v>40.782600000000002</v>
      </c>
      <c r="O52">
        <v>14.956745</v>
      </c>
      <c r="P52">
        <v>0</v>
      </c>
      <c r="Q52">
        <v>0</v>
      </c>
      <c r="R52">
        <f t="shared" si="0"/>
        <v>0</v>
      </c>
      <c r="S52">
        <f t="shared" si="1"/>
        <v>1</v>
      </c>
      <c r="T52">
        <f t="shared" si="2"/>
        <v>0</v>
      </c>
      <c r="U52">
        <f t="shared" si="3"/>
        <v>0</v>
      </c>
      <c r="V52">
        <f t="shared" si="4"/>
        <v>0</v>
      </c>
      <c r="W52">
        <f t="shared" si="5"/>
        <v>0</v>
      </c>
      <c r="X52">
        <f t="shared" si="6"/>
        <v>0</v>
      </c>
      <c r="Y52">
        <f t="shared" si="7"/>
        <v>0</v>
      </c>
      <c r="Z52">
        <f t="shared" si="8"/>
        <v>0</v>
      </c>
      <c r="AA52">
        <f t="shared" si="9"/>
        <v>0</v>
      </c>
      <c r="AB52">
        <f t="shared" si="10"/>
        <v>0</v>
      </c>
      <c r="AC52">
        <f t="shared" si="11"/>
        <v>0</v>
      </c>
      <c r="AD52">
        <f t="shared" si="12"/>
        <v>1</v>
      </c>
      <c r="AE52">
        <f t="shared" si="13"/>
        <v>0</v>
      </c>
      <c r="AF52">
        <f t="shared" si="14"/>
        <v>0</v>
      </c>
      <c r="AG52">
        <f t="shared" si="15"/>
        <v>0</v>
      </c>
      <c r="AH52">
        <f t="shared" si="16"/>
        <v>0</v>
      </c>
      <c r="AI52">
        <f t="shared" si="17"/>
        <v>0</v>
      </c>
      <c r="AJ52">
        <f t="shared" si="18"/>
        <v>0</v>
      </c>
      <c r="AK52">
        <f t="shared" si="19"/>
        <v>1</v>
      </c>
      <c r="AL52">
        <f t="shared" si="20"/>
        <v>0</v>
      </c>
      <c r="AM52">
        <f t="shared" si="21"/>
        <v>0</v>
      </c>
      <c r="AN52">
        <f t="shared" si="22"/>
        <v>1</v>
      </c>
      <c r="AO52">
        <f t="shared" si="23"/>
        <v>0</v>
      </c>
      <c r="AP52">
        <f t="shared" si="24"/>
        <v>1</v>
      </c>
      <c r="AQ52">
        <f t="shared" si="25"/>
        <v>0</v>
      </c>
      <c r="AR52">
        <f t="shared" si="26"/>
        <v>0</v>
      </c>
      <c r="AS52">
        <f t="shared" si="27"/>
        <v>0</v>
      </c>
    </row>
    <row r="53" spans="2:45" x14ac:dyDescent="0.3">
      <c r="B53">
        <v>52</v>
      </c>
      <c r="C53" s="1">
        <v>40595</v>
      </c>
      <c r="D53">
        <v>1</v>
      </c>
      <c r="E53">
        <v>0</v>
      </c>
      <c r="F53">
        <v>2</v>
      </c>
      <c r="G53">
        <v>1</v>
      </c>
      <c r="H53">
        <v>2</v>
      </c>
      <c r="I53">
        <v>195</v>
      </c>
      <c r="J53">
        <v>912</v>
      </c>
      <c r="K53" s="8">
        <v>1107</v>
      </c>
      <c r="L53">
        <v>12.436653</v>
      </c>
      <c r="M53">
        <v>14.203749999999999</v>
      </c>
      <c r="N53">
        <v>60.5</v>
      </c>
      <c r="O53">
        <v>20.625682000000001</v>
      </c>
      <c r="P53">
        <v>1</v>
      </c>
      <c r="Q53">
        <v>0</v>
      </c>
      <c r="R53">
        <f t="shared" si="0"/>
        <v>0</v>
      </c>
      <c r="S53">
        <f t="shared" si="1"/>
        <v>1</v>
      </c>
      <c r="T53">
        <f t="shared" si="2"/>
        <v>0</v>
      </c>
      <c r="U53">
        <f t="shared" si="3"/>
        <v>0</v>
      </c>
      <c r="V53">
        <f t="shared" si="4"/>
        <v>0</v>
      </c>
      <c r="W53">
        <f t="shared" si="5"/>
        <v>0</v>
      </c>
      <c r="X53">
        <f t="shared" si="6"/>
        <v>0</v>
      </c>
      <c r="Y53">
        <f t="shared" si="7"/>
        <v>0</v>
      </c>
      <c r="Z53">
        <f t="shared" si="8"/>
        <v>0</v>
      </c>
      <c r="AA53">
        <f t="shared" si="9"/>
        <v>0</v>
      </c>
      <c r="AB53">
        <f t="shared" si="10"/>
        <v>0</v>
      </c>
      <c r="AC53">
        <f t="shared" si="11"/>
        <v>0</v>
      </c>
      <c r="AD53">
        <f t="shared" si="12"/>
        <v>0</v>
      </c>
      <c r="AE53">
        <f t="shared" si="13"/>
        <v>1</v>
      </c>
      <c r="AF53">
        <f t="shared" si="14"/>
        <v>0</v>
      </c>
      <c r="AG53">
        <f t="shared" si="15"/>
        <v>0</v>
      </c>
      <c r="AH53">
        <f t="shared" si="16"/>
        <v>0</v>
      </c>
      <c r="AI53">
        <f t="shared" si="17"/>
        <v>0</v>
      </c>
      <c r="AJ53">
        <f t="shared" si="18"/>
        <v>0</v>
      </c>
      <c r="AK53">
        <f t="shared" si="19"/>
        <v>0</v>
      </c>
      <c r="AL53">
        <f t="shared" si="20"/>
        <v>1</v>
      </c>
      <c r="AM53">
        <f t="shared" si="21"/>
        <v>0</v>
      </c>
      <c r="AN53">
        <f t="shared" si="22"/>
        <v>1</v>
      </c>
      <c r="AO53">
        <f t="shared" si="23"/>
        <v>0</v>
      </c>
      <c r="AP53">
        <f t="shared" si="24"/>
        <v>1</v>
      </c>
      <c r="AQ53">
        <f t="shared" si="25"/>
        <v>0</v>
      </c>
      <c r="AR53">
        <f t="shared" si="26"/>
        <v>0</v>
      </c>
      <c r="AS53">
        <f t="shared" si="27"/>
        <v>0</v>
      </c>
    </row>
    <row r="54" spans="2:45" x14ac:dyDescent="0.3">
      <c r="B54">
        <v>53</v>
      </c>
      <c r="C54" s="1">
        <v>40596</v>
      </c>
      <c r="D54">
        <v>1</v>
      </c>
      <c r="E54">
        <v>0</v>
      </c>
      <c r="F54">
        <v>2</v>
      </c>
      <c r="G54">
        <v>2</v>
      </c>
      <c r="H54">
        <v>1</v>
      </c>
      <c r="I54">
        <v>74</v>
      </c>
      <c r="J54">
        <v>1376</v>
      </c>
      <c r="K54" s="8">
        <v>1450</v>
      </c>
      <c r="L54">
        <v>7.4711020000000001</v>
      </c>
      <c r="M54">
        <v>9.3016500000000004</v>
      </c>
      <c r="N54">
        <v>57.777799999999999</v>
      </c>
      <c r="O54">
        <v>13.110761</v>
      </c>
      <c r="P54">
        <v>0</v>
      </c>
      <c r="Q54">
        <v>1</v>
      </c>
      <c r="R54">
        <f t="shared" si="0"/>
        <v>0</v>
      </c>
      <c r="S54">
        <f t="shared" si="1"/>
        <v>1</v>
      </c>
      <c r="T54">
        <f t="shared" si="2"/>
        <v>0</v>
      </c>
      <c r="U54">
        <f t="shared" si="3"/>
        <v>0</v>
      </c>
      <c r="V54">
        <f t="shared" si="4"/>
        <v>0</v>
      </c>
      <c r="W54">
        <f t="shared" si="5"/>
        <v>0</v>
      </c>
      <c r="X54">
        <f t="shared" si="6"/>
        <v>0</v>
      </c>
      <c r="Y54">
        <f t="shared" si="7"/>
        <v>0</v>
      </c>
      <c r="Z54">
        <f t="shared" si="8"/>
        <v>0</v>
      </c>
      <c r="AA54">
        <f t="shared" si="9"/>
        <v>0</v>
      </c>
      <c r="AB54">
        <f t="shared" si="10"/>
        <v>0</v>
      </c>
      <c r="AC54">
        <f t="shared" si="11"/>
        <v>0</v>
      </c>
      <c r="AD54">
        <f t="shared" si="12"/>
        <v>0</v>
      </c>
      <c r="AE54">
        <f t="shared" si="13"/>
        <v>0</v>
      </c>
      <c r="AF54">
        <f t="shared" si="14"/>
        <v>1</v>
      </c>
      <c r="AG54">
        <f t="shared" si="15"/>
        <v>0</v>
      </c>
      <c r="AH54">
        <f t="shared" si="16"/>
        <v>0</v>
      </c>
      <c r="AI54">
        <f t="shared" si="17"/>
        <v>0</v>
      </c>
      <c r="AJ54">
        <f t="shared" si="18"/>
        <v>0</v>
      </c>
      <c r="AK54">
        <f t="shared" si="19"/>
        <v>1</v>
      </c>
      <c r="AL54">
        <f t="shared" si="20"/>
        <v>0</v>
      </c>
      <c r="AM54">
        <f t="shared" si="21"/>
        <v>0</v>
      </c>
      <c r="AN54">
        <f t="shared" si="22"/>
        <v>1</v>
      </c>
      <c r="AO54">
        <f t="shared" si="23"/>
        <v>0</v>
      </c>
      <c r="AP54">
        <f t="shared" si="24"/>
        <v>1</v>
      </c>
      <c r="AQ54">
        <f t="shared" si="25"/>
        <v>0</v>
      </c>
      <c r="AR54">
        <f t="shared" si="26"/>
        <v>0</v>
      </c>
      <c r="AS54">
        <f t="shared" si="27"/>
        <v>0</v>
      </c>
    </row>
    <row r="55" spans="2:45" x14ac:dyDescent="0.3">
      <c r="B55">
        <v>54</v>
      </c>
      <c r="C55" s="1">
        <v>40597</v>
      </c>
      <c r="D55">
        <v>1</v>
      </c>
      <c r="E55">
        <v>0</v>
      </c>
      <c r="F55">
        <v>2</v>
      </c>
      <c r="G55">
        <v>3</v>
      </c>
      <c r="H55">
        <v>1</v>
      </c>
      <c r="I55">
        <v>139</v>
      </c>
      <c r="J55">
        <v>1778</v>
      </c>
      <c r="K55" s="8">
        <v>1917</v>
      </c>
      <c r="L55">
        <v>9.0912989999999994</v>
      </c>
      <c r="M55">
        <v>12.28585</v>
      </c>
      <c r="N55">
        <v>42.304299999999998</v>
      </c>
      <c r="O55">
        <v>6.3055709999999996</v>
      </c>
      <c r="P55">
        <v>0</v>
      </c>
      <c r="Q55">
        <v>1</v>
      </c>
      <c r="R55">
        <f t="shared" si="0"/>
        <v>0</v>
      </c>
      <c r="S55">
        <f t="shared" si="1"/>
        <v>1</v>
      </c>
      <c r="T55">
        <f t="shared" si="2"/>
        <v>0</v>
      </c>
      <c r="U55">
        <f t="shared" si="3"/>
        <v>0</v>
      </c>
      <c r="V55">
        <f t="shared" si="4"/>
        <v>0</v>
      </c>
      <c r="W55">
        <f t="shared" si="5"/>
        <v>0</v>
      </c>
      <c r="X55">
        <f t="shared" si="6"/>
        <v>0</v>
      </c>
      <c r="Y55">
        <f t="shared" si="7"/>
        <v>0</v>
      </c>
      <c r="Z55">
        <f t="shared" si="8"/>
        <v>0</v>
      </c>
      <c r="AA55">
        <f t="shared" si="9"/>
        <v>0</v>
      </c>
      <c r="AB55">
        <f t="shared" si="10"/>
        <v>0</v>
      </c>
      <c r="AC55">
        <f t="shared" si="11"/>
        <v>0</v>
      </c>
      <c r="AD55">
        <f t="shared" si="12"/>
        <v>0</v>
      </c>
      <c r="AE55">
        <f t="shared" si="13"/>
        <v>0</v>
      </c>
      <c r="AF55">
        <f t="shared" si="14"/>
        <v>0</v>
      </c>
      <c r="AG55">
        <f t="shared" si="15"/>
        <v>1</v>
      </c>
      <c r="AH55">
        <f t="shared" si="16"/>
        <v>0</v>
      </c>
      <c r="AI55">
        <f t="shared" si="17"/>
        <v>0</v>
      </c>
      <c r="AJ55">
        <f t="shared" si="18"/>
        <v>0</v>
      </c>
      <c r="AK55">
        <f t="shared" si="19"/>
        <v>1</v>
      </c>
      <c r="AL55">
        <f t="shared" si="20"/>
        <v>0</v>
      </c>
      <c r="AM55">
        <f t="shared" si="21"/>
        <v>0</v>
      </c>
      <c r="AN55">
        <f t="shared" si="22"/>
        <v>1</v>
      </c>
      <c r="AO55">
        <f t="shared" si="23"/>
        <v>0</v>
      </c>
      <c r="AP55">
        <f t="shared" si="24"/>
        <v>1</v>
      </c>
      <c r="AQ55">
        <f t="shared" si="25"/>
        <v>0</v>
      </c>
      <c r="AR55">
        <f t="shared" si="26"/>
        <v>0</v>
      </c>
      <c r="AS55">
        <f t="shared" si="27"/>
        <v>0</v>
      </c>
    </row>
    <row r="56" spans="2:45" x14ac:dyDescent="0.3">
      <c r="B56">
        <v>55</v>
      </c>
      <c r="C56" s="1">
        <v>40598</v>
      </c>
      <c r="D56">
        <v>1</v>
      </c>
      <c r="E56">
        <v>0</v>
      </c>
      <c r="F56">
        <v>2</v>
      </c>
      <c r="G56">
        <v>4</v>
      </c>
      <c r="H56">
        <v>2</v>
      </c>
      <c r="I56">
        <v>100</v>
      </c>
      <c r="J56">
        <v>1707</v>
      </c>
      <c r="K56" s="8">
        <v>1807</v>
      </c>
      <c r="L56">
        <v>12.121732</v>
      </c>
      <c r="M56">
        <v>14.45955</v>
      </c>
      <c r="N56">
        <v>69.739099999999993</v>
      </c>
      <c r="O56">
        <v>16.783232000000002</v>
      </c>
      <c r="P56">
        <v>0</v>
      </c>
      <c r="Q56">
        <v>1</v>
      </c>
      <c r="R56">
        <f t="shared" si="0"/>
        <v>0</v>
      </c>
      <c r="S56">
        <f t="shared" si="1"/>
        <v>1</v>
      </c>
      <c r="T56">
        <f t="shared" si="2"/>
        <v>0</v>
      </c>
      <c r="U56">
        <f t="shared" si="3"/>
        <v>0</v>
      </c>
      <c r="V56">
        <f t="shared" si="4"/>
        <v>0</v>
      </c>
      <c r="W56">
        <f t="shared" si="5"/>
        <v>0</v>
      </c>
      <c r="X56">
        <f t="shared" si="6"/>
        <v>0</v>
      </c>
      <c r="Y56">
        <f t="shared" si="7"/>
        <v>0</v>
      </c>
      <c r="Z56">
        <f t="shared" si="8"/>
        <v>0</v>
      </c>
      <c r="AA56">
        <f t="shared" si="9"/>
        <v>0</v>
      </c>
      <c r="AB56">
        <f t="shared" si="10"/>
        <v>0</v>
      </c>
      <c r="AC56">
        <f t="shared" si="11"/>
        <v>0</v>
      </c>
      <c r="AD56">
        <f t="shared" si="12"/>
        <v>0</v>
      </c>
      <c r="AE56">
        <f t="shared" si="13"/>
        <v>0</v>
      </c>
      <c r="AF56">
        <f t="shared" si="14"/>
        <v>0</v>
      </c>
      <c r="AG56">
        <f t="shared" si="15"/>
        <v>0</v>
      </c>
      <c r="AH56">
        <f t="shared" si="16"/>
        <v>1</v>
      </c>
      <c r="AI56">
        <f t="shared" si="17"/>
        <v>0</v>
      </c>
      <c r="AJ56">
        <f t="shared" si="18"/>
        <v>0</v>
      </c>
      <c r="AK56">
        <f t="shared" si="19"/>
        <v>0</v>
      </c>
      <c r="AL56">
        <f t="shared" si="20"/>
        <v>1</v>
      </c>
      <c r="AM56">
        <f t="shared" si="21"/>
        <v>0</v>
      </c>
      <c r="AN56">
        <f t="shared" si="22"/>
        <v>1</v>
      </c>
      <c r="AO56">
        <f t="shared" si="23"/>
        <v>0</v>
      </c>
      <c r="AP56">
        <f t="shared" si="24"/>
        <v>1</v>
      </c>
      <c r="AQ56">
        <f t="shared" si="25"/>
        <v>0</v>
      </c>
      <c r="AR56">
        <f t="shared" si="26"/>
        <v>0</v>
      </c>
      <c r="AS56">
        <f t="shared" si="27"/>
        <v>0</v>
      </c>
    </row>
    <row r="57" spans="2:45" x14ac:dyDescent="0.3">
      <c r="B57">
        <v>56</v>
      </c>
      <c r="C57" s="1">
        <v>40599</v>
      </c>
      <c r="D57">
        <v>1</v>
      </c>
      <c r="E57">
        <v>0</v>
      </c>
      <c r="F57">
        <v>2</v>
      </c>
      <c r="G57">
        <v>5</v>
      </c>
      <c r="H57">
        <v>2</v>
      </c>
      <c r="I57">
        <v>120</v>
      </c>
      <c r="J57">
        <v>1341</v>
      </c>
      <c r="K57" s="8">
        <v>1461</v>
      </c>
      <c r="L57">
        <v>14.938268000000001</v>
      </c>
      <c r="M57">
        <v>17.523050000000001</v>
      </c>
      <c r="N57">
        <v>71.217399999999998</v>
      </c>
      <c r="O57">
        <v>23.218112999999999</v>
      </c>
      <c r="P57">
        <v>0</v>
      </c>
      <c r="Q57">
        <v>1</v>
      </c>
      <c r="R57">
        <f t="shared" si="0"/>
        <v>0</v>
      </c>
      <c r="S57">
        <f t="shared" si="1"/>
        <v>1</v>
      </c>
      <c r="T57">
        <f t="shared" si="2"/>
        <v>0</v>
      </c>
      <c r="U57">
        <f t="shared" si="3"/>
        <v>0</v>
      </c>
      <c r="V57">
        <f t="shared" si="4"/>
        <v>0</v>
      </c>
      <c r="W57">
        <f t="shared" si="5"/>
        <v>0</v>
      </c>
      <c r="X57">
        <f t="shared" si="6"/>
        <v>0</v>
      </c>
      <c r="Y57">
        <f t="shared" si="7"/>
        <v>0</v>
      </c>
      <c r="Z57">
        <f t="shared" si="8"/>
        <v>0</v>
      </c>
      <c r="AA57">
        <f t="shared" si="9"/>
        <v>0</v>
      </c>
      <c r="AB57">
        <f t="shared" si="10"/>
        <v>0</v>
      </c>
      <c r="AC57">
        <f t="shared" si="11"/>
        <v>0</v>
      </c>
      <c r="AD57">
        <f t="shared" si="12"/>
        <v>0</v>
      </c>
      <c r="AE57">
        <f t="shared" si="13"/>
        <v>0</v>
      </c>
      <c r="AF57">
        <f t="shared" si="14"/>
        <v>0</v>
      </c>
      <c r="AG57">
        <f t="shared" si="15"/>
        <v>0</v>
      </c>
      <c r="AH57">
        <f t="shared" si="16"/>
        <v>0</v>
      </c>
      <c r="AI57">
        <f t="shared" si="17"/>
        <v>1</v>
      </c>
      <c r="AJ57">
        <f t="shared" si="18"/>
        <v>0</v>
      </c>
      <c r="AK57">
        <f t="shared" si="19"/>
        <v>0</v>
      </c>
      <c r="AL57">
        <f t="shared" si="20"/>
        <v>1</v>
      </c>
      <c r="AM57">
        <f t="shared" si="21"/>
        <v>0</v>
      </c>
      <c r="AN57">
        <f t="shared" si="22"/>
        <v>1</v>
      </c>
      <c r="AO57">
        <f t="shared" si="23"/>
        <v>0</v>
      </c>
      <c r="AP57">
        <f t="shared" si="24"/>
        <v>1</v>
      </c>
      <c r="AQ57">
        <f t="shared" si="25"/>
        <v>0</v>
      </c>
      <c r="AR57">
        <f t="shared" si="26"/>
        <v>0</v>
      </c>
      <c r="AS57">
        <f t="shared" si="27"/>
        <v>0</v>
      </c>
    </row>
    <row r="58" spans="2:45" x14ac:dyDescent="0.3">
      <c r="B58">
        <v>57</v>
      </c>
      <c r="C58" s="1">
        <v>40600</v>
      </c>
      <c r="D58">
        <v>1</v>
      </c>
      <c r="E58">
        <v>0</v>
      </c>
      <c r="F58">
        <v>2</v>
      </c>
      <c r="G58">
        <v>6</v>
      </c>
      <c r="H58">
        <v>1</v>
      </c>
      <c r="I58">
        <v>424</v>
      </c>
      <c r="J58">
        <v>1545</v>
      </c>
      <c r="K58" s="8">
        <v>1969</v>
      </c>
      <c r="L58">
        <v>11.5825</v>
      </c>
      <c r="M58">
        <v>14.1096</v>
      </c>
      <c r="N58">
        <v>53.791699999999999</v>
      </c>
      <c r="O58">
        <v>12.500257</v>
      </c>
      <c r="P58">
        <v>0</v>
      </c>
      <c r="Q58">
        <v>0</v>
      </c>
      <c r="R58">
        <f t="shared" si="0"/>
        <v>0</v>
      </c>
      <c r="S58">
        <f t="shared" si="1"/>
        <v>1</v>
      </c>
      <c r="T58">
        <f t="shared" si="2"/>
        <v>0</v>
      </c>
      <c r="U58">
        <f t="shared" si="3"/>
        <v>0</v>
      </c>
      <c r="V58">
        <f t="shared" si="4"/>
        <v>0</v>
      </c>
      <c r="W58">
        <f t="shared" si="5"/>
        <v>0</v>
      </c>
      <c r="X58">
        <f t="shared" si="6"/>
        <v>0</v>
      </c>
      <c r="Y58">
        <f t="shared" si="7"/>
        <v>0</v>
      </c>
      <c r="Z58">
        <f t="shared" si="8"/>
        <v>0</v>
      </c>
      <c r="AA58">
        <f t="shared" si="9"/>
        <v>0</v>
      </c>
      <c r="AB58">
        <f t="shared" si="10"/>
        <v>0</v>
      </c>
      <c r="AC58">
        <f t="shared" si="11"/>
        <v>0</v>
      </c>
      <c r="AD58">
        <f t="shared" si="12"/>
        <v>0</v>
      </c>
      <c r="AE58">
        <f t="shared" si="13"/>
        <v>0</v>
      </c>
      <c r="AF58">
        <f t="shared" si="14"/>
        <v>0</v>
      </c>
      <c r="AG58">
        <f t="shared" si="15"/>
        <v>0</v>
      </c>
      <c r="AH58">
        <f t="shared" si="16"/>
        <v>0</v>
      </c>
      <c r="AI58">
        <f t="shared" si="17"/>
        <v>0</v>
      </c>
      <c r="AJ58">
        <f t="shared" si="18"/>
        <v>1</v>
      </c>
      <c r="AK58">
        <f t="shared" si="19"/>
        <v>1</v>
      </c>
      <c r="AL58">
        <f t="shared" si="20"/>
        <v>0</v>
      </c>
      <c r="AM58">
        <f t="shared" si="21"/>
        <v>0</v>
      </c>
      <c r="AN58">
        <f t="shared" si="22"/>
        <v>1</v>
      </c>
      <c r="AO58">
        <f t="shared" si="23"/>
        <v>0</v>
      </c>
      <c r="AP58">
        <f t="shared" si="24"/>
        <v>1</v>
      </c>
      <c r="AQ58">
        <f t="shared" si="25"/>
        <v>0</v>
      </c>
      <c r="AR58">
        <f t="shared" si="26"/>
        <v>0</v>
      </c>
      <c r="AS58">
        <f t="shared" si="27"/>
        <v>0</v>
      </c>
    </row>
    <row r="59" spans="2:45" x14ac:dyDescent="0.3">
      <c r="B59">
        <v>58</v>
      </c>
      <c r="C59" s="1">
        <v>40601</v>
      </c>
      <c r="D59">
        <v>1</v>
      </c>
      <c r="E59">
        <v>0</v>
      </c>
      <c r="F59">
        <v>2</v>
      </c>
      <c r="G59">
        <v>0</v>
      </c>
      <c r="H59">
        <v>1</v>
      </c>
      <c r="I59">
        <v>694</v>
      </c>
      <c r="J59">
        <v>1708</v>
      </c>
      <c r="K59" s="8">
        <v>2402</v>
      </c>
      <c r="L59">
        <v>14.082598000000001</v>
      </c>
      <c r="M59">
        <v>17.55545</v>
      </c>
      <c r="N59">
        <v>68</v>
      </c>
      <c r="O59">
        <v>8.3916160000000009</v>
      </c>
      <c r="P59">
        <v>0</v>
      </c>
      <c r="Q59">
        <v>0</v>
      </c>
      <c r="R59">
        <f t="shared" si="0"/>
        <v>0</v>
      </c>
      <c r="S59">
        <f t="shared" si="1"/>
        <v>1</v>
      </c>
      <c r="T59">
        <f t="shared" si="2"/>
        <v>0</v>
      </c>
      <c r="U59">
        <f t="shared" si="3"/>
        <v>0</v>
      </c>
      <c r="V59">
        <f t="shared" si="4"/>
        <v>0</v>
      </c>
      <c r="W59">
        <f t="shared" si="5"/>
        <v>0</v>
      </c>
      <c r="X59">
        <f t="shared" si="6"/>
        <v>0</v>
      </c>
      <c r="Y59">
        <f t="shared" si="7"/>
        <v>0</v>
      </c>
      <c r="Z59">
        <f t="shared" si="8"/>
        <v>0</v>
      </c>
      <c r="AA59">
        <f t="shared" si="9"/>
        <v>0</v>
      </c>
      <c r="AB59">
        <f t="shared" si="10"/>
        <v>0</v>
      </c>
      <c r="AC59">
        <f t="shared" si="11"/>
        <v>0</v>
      </c>
      <c r="AD59">
        <f t="shared" si="12"/>
        <v>1</v>
      </c>
      <c r="AE59">
        <f t="shared" si="13"/>
        <v>0</v>
      </c>
      <c r="AF59">
        <f t="shared" si="14"/>
        <v>0</v>
      </c>
      <c r="AG59">
        <f t="shared" si="15"/>
        <v>0</v>
      </c>
      <c r="AH59">
        <f t="shared" si="16"/>
        <v>0</v>
      </c>
      <c r="AI59">
        <f t="shared" si="17"/>
        <v>0</v>
      </c>
      <c r="AJ59">
        <f t="shared" si="18"/>
        <v>0</v>
      </c>
      <c r="AK59">
        <f t="shared" si="19"/>
        <v>1</v>
      </c>
      <c r="AL59">
        <f t="shared" si="20"/>
        <v>0</v>
      </c>
      <c r="AM59">
        <f t="shared" si="21"/>
        <v>0</v>
      </c>
      <c r="AN59">
        <f t="shared" si="22"/>
        <v>1</v>
      </c>
      <c r="AO59">
        <f t="shared" si="23"/>
        <v>0</v>
      </c>
      <c r="AP59">
        <f t="shared" si="24"/>
        <v>1</v>
      </c>
      <c r="AQ59">
        <f t="shared" si="25"/>
        <v>0</v>
      </c>
      <c r="AR59">
        <f t="shared" si="26"/>
        <v>0</v>
      </c>
      <c r="AS59">
        <f t="shared" si="27"/>
        <v>0</v>
      </c>
    </row>
    <row r="60" spans="2:45" x14ac:dyDescent="0.3">
      <c r="B60">
        <v>59</v>
      </c>
      <c r="C60" s="1">
        <v>40602</v>
      </c>
      <c r="D60">
        <v>1</v>
      </c>
      <c r="E60">
        <v>0</v>
      </c>
      <c r="F60">
        <v>2</v>
      </c>
      <c r="G60">
        <v>1</v>
      </c>
      <c r="H60">
        <v>2</v>
      </c>
      <c r="I60">
        <v>81</v>
      </c>
      <c r="J60">
        <v>1365</v>
      </c>
      <c r="K60" s="8">
        <v>1446</v>
      </c>
      <c r="L60">
        <v>16.698193</v>
      </c>
      <c r="M60">
        <v>20.0059</v>
      </c>
      <c r="N60">
        <v>87.636399999999995</v>
      </c>
      <c r="O60">
        <v>19.408961999999999</v>
      </c>
      <c r="P60">
        <v>0</v>
      </c>
      <c r="Q60">
        <v>1</v>
      </c>
      <c r="R60">
        <f t="shared" si="0"/>
        <v>0</v>
      </c>
      <c r="S60">
        <f t="shared" si="1"/>
        <v>1</v>
      </c>
      <c r="T60">
        <f t="shared" si="2"/>
        <v>0</v>
      </c>
      <c r="U60">
        <f t="shared" si="3"/>
        <v>0</v>
      </c>
      <c r="V60">
        <f t="shared" si="4"/>
        <v>0</v>
      </c>
      <c r="W60">
        <f t="shared" si="5"/>
        <v>0</v>
      </c>
      <c r="X60">
        <f t="shared" si="6"/>
        <v>0</v>
      </c>
      <c r="Y60">
        <f t="shared" si="7"/>
        <v>0</v>
      </c>
      <c r="Z60">
        <f t="shared" si="8"/>
        <v>0</v>
      </c>
      <c r="AA60">
        <f t="shared" si="9"/>
        <v>0</v>
      </c>
      <c r="AB60">
        <f t="shared" si="10"/>
        <v>0</v>
      </c>
      <c r="AC60">
        <f t="shared" si="11"/>
        <v>0</v>
      </c>
      <c r="AD60">
        <f t="shared" si="12"/>
        <v>0</v>
      </c>
      <c r="AE60">
        <f t="shared" si="13"/>
        <v>1</v>
      </c>
      <c r="AF60">
        <f t="shared" si="14"/>
        <v>0</v>
      </c>
      <c r="AG60">
        <f t="shared" si="15"/>
        <v>0</v>
      </c>
      <c r="AH60">
        <f t="shared" si="16"/>
        <v>0</v>
      </c>
      <c r="AI60">
        <f t="shared" si="17"/>
        <v>0</v>
      </c>
      <c r="AJ60">
        <f t="shared" si="18"/>
        <v>0</v>
      </c>
      <c r="AK60">
        <f t="shared" si="19"/>
        <v>0</v>
      </c>
      <c r="AL60">
        <f t="shared" si="20"/>
        <v>1</v>
      </c>
      <c r="AM60">
        <f t="shared" si="21"/>
        <v>0</v>
      </c>
      <c r="AN60">
        <f t="shared" si="22"/>
        <v>1</v>
      </c>
      <c r="AO60">
        <f t="shared" si="23"/>
        <v>0</v>
      </c>
      <c r="AP60">
        <f t="shared" si="24"/>
        <v>1</v>
      </c>
      <c r="AQ60">
        <f t="shared" si="25"/>
        <v>0</v>
      </c>
      <c r="AR60">
        <f t="shared" si="26"/>
        <v>0</v>
      </c>
      <c r="AS60">
        <f t="shared" si="27"/>
        <v>0</v>
      </c>
    </row>
    <row r="61" spans="2:45" x14ac:dyDescent="0.3">
      <c r="B61">
        <v>60</v>
      </c>
      <c r="C61" s="1">
        <v>40603</v>
      </c>
      <c r="D61">
        <v>1</v>
      </c>
      <c r="E61">
        <v>0</v>
      </c>
      <c r="F61">
        <v>3</v>
      </c>
      <c r="G61">
        <v>2</v>
      </c>
      <c r="H61">
        <v>1</v>
      </c>
      <c r="I61">
        <v>137</v>
      </c>
      <c r="J61">
        <v>1714</v>
      </c>
      <c r="K61" s="8">
        <v>1851</v>
      </c>
      <c r="L61">
        <v>10.933346999999999</v>
      </c>
      <c r="M61">
        <v>13.193949999999999</v>
      </c>
      <c r="N61">
        <v>53.5</v>
      </c>
      <c r="O61">
        <v>14.500475</v>
      </c>
      <c r="P61">
        <v>0</v>
      </c>
      <c r="Q61">
        <v>1</v>
      </c>
      <c r="R61">
        <f t="shared" si="0"/>
        <v>0</v>
      </c>
      <c r="S61">
        <f t="shared" si="1"/>
        <v>0</v>
      </c>
      <c r="T61">
        <f t="shared" si="2"/>
        <v>1</v>
      </c>
      <c r="U61">
        <f t="shared" si="3"/>
        <v>0</v>
      </c>
      <c r="V61">
        <f t="shared" si="4"/>
        <v>0</v>
      </c>
      <c r="W61">
        <f t="shared" si="5"/>
        <v>0</v>
      </c>
      <c r="X61">
        <f t="shared" si="6"/>
        <v>0</v>
      </c>
      <c r="Y61">
        <f t="shared" si="7"/>
        <v>0</v>
      </c>
      <c r="Z61">
        <f t="shared" si="8"/>
        <v>0</v>
      </c>
      <c r="AA61">
        <f t="shared" si="9"/>
        <v>0</v>
      </c>
      <c r="AB61">
        <f t="shared" si="10"/>
        <v>0</v>
      </c>
      <c r="AC61">
        <f t="shared" si="11"/>
        <v>0</v>
      </c>
      <c r="AD61">
        <f t="shared" si="12"/>
        <v>0</v>
      </c>
      <c r="AE61">
        <f t="shared" si="13"/>
        <v>0</v>
      </c>
      <c r="AF61">
        <f t="shared" si="14"/>
        <v>1</v>
      </c>
      <c r="AG61">
        <f t="shared" si="15"/>
        <v>0</v>
      </c>
      <c r="AH61">
        <f t="shared" si="16"/>
        <v>0</v>
      </c>
      <c r="AI61">
        <f t="shared" si="17"/>
        <v>0</v>
      </c>
      <c r="AJ61">
        <f t="shared" si="18"/>
        <v>0</v>
      </c>
      <c r="AK61">
        <f t="shared" si="19"/>
        <v>1</v>
      </c>
      <c r="AL61">
        <f t="shared" si="20"/>
        <v>0</v>
      </c>
      <c r="AM61">
        <f t="shared" si="21"/>
        <v>0</v>
      </c>
      <c r="AN61">
        <f t="shared" si="22"/>
        <v>1</v>
      </c>
      <c r="AO61">
        <f t="shared" si="23"/>
        <v>0</v>
      </c>
      <c r="AP61">
        <f t="shared" si="24"/>
        <v>1</v>
      </c>
      <c r="AQ61">
        <f t="shared" si="25"/>
        <v>0</v>
      </c>
      <c r="AR61">
        <f t="shared" si="26"/>
        <v>0</v>
      </c>
      <c r="AS61">
        <f t="shared" si="27"/>
        <v>0</v>
      </c>
    </row>
    <row r="62" spans="2:45" x14ac:dyDescent="0.3">
      <c r="B62">
        <v>61</v>
      </c>
      <c r="C62" s="1">
        <v>40604</v>
      </c>
      <c r="D62">
        <v>1</v>
      </c>
      <c r="E62">
        <v>0</v>
      </c>
      <c r="F62">
        <v>3</v>
      </c>
      <c r="G62">
        <v>3</v>
      </c>
      <c r="H62">
        <v>1</v>
      </c>
      <c r="I62">
        <v>231</v>
      </c>
      <c r="J62">
        <v>1903</v>
      </c>
      <c r="K62" s="8">
        <v>2134</v>
      </c>
      <c r="L62">
        <v>13.734999999999999</v>
      </c>
      <c r="M62">
        <v>16.003550000000001</v>
      </c>
      <c r="N62">
        <v>44.958300000000001</v>
      </c>
      <c r="O62">
        <v>20.624811000000001</v>
      </c>
      <c r="P62">
        <v>0</v>
      </c>
      <c r="Q62">
        <v>1</v>
      </c>
      <c r="R62">
        <f t="shared" si="0"/>
        <v>0</v>
      </c>
      <c r="S62">
        <f t="shared" si="1"/>
        <v>0</v>
      </c>
      <c r="T62">
        <f t="shared" si="2"/>
        <v>1</v>
      </c>
      <c r="U62">
        <f t="shared" si="3"/>
        <v>0</v>
      </c>
      <c r="V62">
        <f t="shared" si="4"/>
        <v>0</v>
      </c>
      <c r="W62">
        <f t="shared" si="5"/>
        <v>0</v>
      </c>
      <c r="X62">
        <f t="shared" si="6"/>
        <v>0</v>
      </c>
      <c r="Y62">
        <f t="shared" si="7"/>
        <v>0</v>
      </c>
      <c r="Z62">
        <f t="shared" si="8"/>
        <v>0</v>
      </c>
      <c r="AA62">
        <f t="shared" si="9"/>
        <v>0</v>
      </c>
      <c r="AB62">
        <f t="shared" si="10"/>
        <v>0</v>
      </c>
      <c r="AC62">
        <f t="shared" si="11"/>
        <v>0</v>
      </c>
      <c r="AD62">
        <f t="shared" si="12"/>
        <v>0</v>
      </c>
      <c r="AE62">
        <f t="shared" si="13"/>
        <v>0</v>
      </c>
      <c r="AF62">
        <f t="shared" si="14"/>
        <v>0</v>
      </c>
      <c r="AG62">
        <f t="shared" si="15"/>
        <v>1</v>
      </c>
      <c r="AH62">
        <f t="shared" si="16"/>
        <v>0</v>
      </c>
      <c r="AI62">
        <f t="shared" si="17"/>
        <v>0</v>
      </c>
      <c r="AJ62">
        <f t="shared" si="18"/>
        <v>0</v>
      </c>
      <c r="AK62">
        <f t="shared" si="19"/>
        <v>1</v>
      </c>
      <c r="AL62">
        <f t="shared" si="20"/>
        <v>0</v>
      </c>
      <c r="AM62">
        <f t="shared" si="21"/>
        <v>0</v>
      </c>
      <c r="AN62">
        <f t="shared" si="22"/>
        <v>1</v>
      </c>
      <c r="AO62">
        <f t="shared" si="23"/>
        <v>0</v>
      </c>
      <c r="AP62">
        <f t="shared" si="24"/>
        <v>1</v>
      </c>
      <c r="AQ62">
        <f t="shared" si="25"/>
        <v>0</v>
      </c>
      <c r="AR62">
        <f t="shared" si="26"/>
        <v>0</v>
      </c>
      <c r="AS62">
        <f t="shared" si="27"/>
        <v>0</v>
      </c>
    </row>
    <row r="63" spans="2:45" x14ac:dyDescent="0.3">
      <c r="B63">
        <v>62</v>
      </c>
      <c r="C63" s="1">
        <v>40605</v>
      </c>
      <c r="D63">
        <v>1</v>
      </c>
      <c r="E63">
        <v>0</v>
      </c>
      <c r="F63">
        <v>3</v>
      </c>
      <c r="G63">
        <v>4</v>
      </c>
      <c r="H63">
        <v>1</v>
      </c>
      <c r="I63">
        <v>123</v>
      </c>
      <c r="J63">
        <v>1562</v>
      </c>
      <c r="K63" s="8">
        <v>1685</v>
      </c>
      <c r="L63">
        <v>8.131653</v>
      </c>
      <c r="M63">
        <v>10.00665</v>
      </c>
      <c r="N63">
        <v>31.833300000000001</v>
      </c>
      <c r="O63">
        <v>15.125518</v>
      </c>
      <c r="P63">
        <v>0</v>
      </c>
      <c r="Q63">
        <v>1</v>
      </c>
      <c r="R63">
        <f t="shared" si="0"/>
        <v>0</v>
      </c>
      <c r="S63">
        <f t="shared" si="1"/>
        <v>0</v>
      </c>
      <c r="T63">
        <f t="shared" si="2"/>
        <v>1</v>
      </c>
      <c r="U63">
        <f t="shared" si="3"/>
        <v>0</v>
      </c>
      <c r="V63">
        <f t="shared" si="4"/>
        <v>0</v>
      </c>
      <c r="W63">
        <f t="shared" si="5"/>
        <v>0</v>
      </c>
      <c r="X63">
        <f t="shared" si="6"/>
        <v>0</v>
      </c>
      <c r="Y63">
        <f t="shared" si="7"/>
        <v>0</v>
      </c>
      <c r="Z63">
        <f t="shared" si="8"/>
        <v>0</v>
      </c>
      <c r="AA63">
        <f t="shared" si="9"/>
        <v>0</v>
      </c>
      <c r="AB63">
        <f t="shared" si="10"/>
        <v>0</v>
      </c>
      <c r="AC63">
        <f t="shared" si="11"/>
        <v>0</v>
      </c>
      <c r="AD63">
        <f t="shared" si="12"/>
        <v>0</v>
      </c>
      <c r="AE63">
        <f t="shared" si="13"/>
        <v>0</v>
      </c>
      <c r="AF63">
        <f t="shared" si="14"/>
        <v>0</v>
      </c>
      <c r="AG63">
        <f t="shared" si="15"/>
        <v>0</v>
      </c>
      <c r="AH63">
        <f t="shared" si="16"/>
        <v>1</v>
      </c>
      <c r="AI63">
        <f t="shared" si="17"/>
        <v>0</v>
      </c>
      <c r="AJ63">
        <f t="shared" si="18"/>
        <v>0</v>
      </c>
      <c r="AK63">
        <f t="shared" si="19"/>
        <v>1</v>
      </c>
      <c r="AL63">
        <f t="shared" si="20"/>
        <v>0</v>
      </c>
      <c r="AM63">
        <f t="shared" si="21"/>
        <v>0</v>
      </c>
      <c r="AN63">
        <f t="shared" si="22"/>
        <v>1</v>
      </c>
      <c r="AO63">
        <f t="shared" si="23"/>
        <v>0</v>
      </c>
      <c r="AP63">
        <f t="shared" si="24"/>
        <v>1</v>
      </c>
      <c r="AQ63">
        <f t="shared" si="25"/>
        <v>0</v>
      </c>
      <c r="AR63">
        <f t="shared" si="26"/>
        <v>0</v>
      </c>
      <c r="AS63">
        <f t="shared" si="27"/>
        <v>0</v>
      </c>
    </row>
    <row r="64" spans="2:45" x14ac:dyDescent="0.3">
      <c r="B64">
        <v>63</v>
      </c>
      <c r="C64" s="1">
        <v>40606</v>
      </c>
      <c r="D64">
        <v>1</v>
      </c>
      <c r="E64">
        <v>0</v>
      </c>
      <c r="F64">
        <v>3</v>
      </c>
      <c r="G64">
        <v>5</v>
      </c>
      <c r="H64">
        <v>2</v>
      </c>
      <c r="I64">
        <v>214</v>
      </c>
      <c r="J64">
        <v>1730</v>
      </c>
      <c r="K64" s="8">
        <v>1944</v>
      </c>
      <c r="L64">
        <v>10.728346999999999</v>
      </c>
      <c r="M64">
        <v>12.783950000000001</v>
      </c>
      <c r="N64">
        <v>61.041699999999999</v>
      </c>
      <c r="O64">
        <v>13.624181999999999</v>
      </c>
      <c r="P64">
        <v>0</v>
      </c>
      <c r="Q64">
        <v>1</v>
      </c>
      <c r="R64">
        <f t="shared" si="0"/>
        <v>0</v>
      </c>
      <c r="S64">
        <f t="shared" si="1"/>
        <v>0</v>
      </c>
      <c r="T64">
        <f t="shared" si="2"/>
        <v>1</v>
      </c>
      <c r="U64">
        <f t="shared" si="3"/>
        <v>0</v>
      </c>
      <c r="V64">
        <f t="shared" si="4"/>
        <v>0</v>
      </c>
      <c r="W64">
        <f t="shared" si="5"/>
        <v>0</v>
      </c>
      <c r="X64">
        <f t="shared" si="6"/>
        <v>0</v>
      </c>
      <c r="Y64">
        <f t="shared" si="7"/>
        <v>0</v>
      </c>
      <c r="Z64">
        <f t="shared" si="8"/>
        <v>0</v>
      </c>
      <c r="AA64">
        <f t="shared" si="9"/>
        <v>0</v>
      </c>
      <c r="AB64">
        <f t="shared" si="10"/>
        <v>0</v>
      </c>
      <c r="AC64">
        <f t="shared" si="11"/>
        <v>0</v>
      </c>
      <c r="AD64">
        <f t="shared" si="12"/>
        <v>0</v>
      </c>
      <c r="AE64">
        <f t="shared" si="13"/>
        <v>0</v>
      </c>
      <c r="AF64">
        <f t="shared" si="14"/>
        <v>0</v>
      </c>
      <c r="AG64">
        <f t="shared" si="15"/>
        <v>0</v>
      </c>
      <c r="AH64">
        <f t="shared" si="16"/>
        <v>0</v>
      </c>
      <c r="AI64">
        <f t="shared" si="17"/>
        <v>1</v>
      </c>
      <c r="AJ64">
        <f t="shared" si="18"/>
        <v>0</v>
      </c>
      <c r="AK64">
        <f t="shared" si="19"/>
        <v>0</v>
      </c>
      <c r="AL64">
        <f t="shared" si="20"/>
        <v>1</v>
      </c>
      <c r="AM64">
        <f t="shared" si="21"/>
        <v>0</v>
      </c>
      <c r="AN64">
        <f t="shared" si="22"/>
        <v>1</v>
      </c>
      <c r="AO64">
        <f t="shared" si="23"/>
        <v>0</v>
      </c>
      <c r="AP64">
        <f t="shared" si="24"/>
        <v>1</v>
      </c>
      <c r="AQ64">
        <f t="shared" si="25"/>
        <v>0</v>
      </c>
      <c r="AR64">
        <f t="shared" si="26"/>
        <v>0</v>
      </c>
      <c r="AS64">
        <f t="shared" si="27"/>
        <v>0</v>
      </c>
    </row>
    <row r="65" spans="2:45" x14ac:dyDescent="0.3">
      <c r="B65">
        <v>64</v>
      </c>
      <c r="C65" s="1">
        <v>40607</v>
      </c>
      <c r="D65">
        <v>1</v>
      </c>
      <c r="E65">
        <v>0</v>
      </c>
      <c r="F65">
        <v>3</v>
      </c>
      <c r="G65">
        <v>6</v>
      </c>
      <c r="H65">
        <v>2</v>
      </c>
      <c r="I65">
        <v>640</v>
      </c>
      <c r="J65">
        <v>1437</v>
      </c>
      <c r="K65" s="8">
        <v>2077</v>
      </c>
      <c r="L65">
        <v>15.750847</v>
      </c>
      <c r="M65">
        <v>18.938949999999998</v>
      </c>
      <c r="N65">
        <v>78.916700000000006</v>
      </c>
      <c r="O65">
        <v>16.875357000000001</v>
      </c>
      <c r="P65">
        <v>0</v>
      </c>
      <c r="Q65">
        <v>0</v>
      </c>
      <c r="R65">
        <f t="shared" si="0"/>
        <v>0</v>
      </c>
      <c r="S65">
        <f t="shared" si="1"/>
        <v>0</v>
      </c>
      <c r="T65">
        <f t="shared" si="2"/>
        <v>1</v>
      </c>
      <c r="U65">
        <f t="shared" si="3"/>
        <v>0</v>
      </c>
      <c r="V65">
        <f t="shared" si="4"/>
        <v>0</v>
      </c>
      <c r="W65">
        <f t="shared" si="5"/>
        <v>0</v>
      </c>
      <c r="X65">
        <f t="shared" si="6"/>
        <v>0</v>
      </c>
      <c r="Y65">
        <f t="shared" si="7"/>
        <v>0</v>
      </c>
      <c r="Z65">
        <f t="shared" si="8"/>
        <v>0</v>
      </c>
      <c r="AA65">
        <f t="shared" si="9"/>
        <v>0</v>
      </c>
      <c r="AB65">
        <f t="shared" si="10"/>
        <v>0</v>
      </c>
      <c r="AC65">
        <f t="shared" si="11"/>
        <v>0</v>
      </c>
      <c r="AD65">
        <f t="shared" si="12"/>
        <v>0</v>
      </c>
      <c r="AE65">
        <f t="shared" si="13"/>
        <v>0</v>
      </c>
      <c r="AF65">
        <f t="shared" si="14"/>
        <v>0</v>
      </c>
      <c r="AG65">
        <f t="shared" si="15"/>
        <v>0</v>
      </c>
      <c r="AH65">
        <f t="shared" si="16"/>
        <v>0</v>
      </c>
      <c r="AI65">
        <f t="shared" si="17"/>
        <v>0</v>
      </c>
      <c r="AJ65">
        <f t="shared" si="18"/>
        <v>1</v>
      </c>
      <c r="AK65">
        <f t="shared" si="19"/>
        <v>0</v>
      </c>
      <c r="AL65">
        <f t="shared" si="20"/>
        <v>1</v>
      </c>
      <c r="AM65">
        <f t="shared" si="21"/>
        <v>0</v>
      </c>
      <c r="AN65">
        <f t="shared" si="22"/>
        <v>1</v>
      </c>
      <c r="AO65">
        <f t="shared" si="23"/>
        <v>0</v>
      </c>
      <c r="AP65">
        <f t="shared" si="24"/>
        <v>1</v>
      </c>
      <c r="AQ65">
        <f t="shared" si="25"/>
        <v>0</v>
      </c>
      <c r="AR65">
        <f t="shared" si="26"/>
        <v>0</v>
      </c>
      <c r="AS65">
        <f t="shared" si="27"/>
        <v>0</v>
      </c>
    </row>
    <row r="66" spans="2:45" x14ac:dyDescent="0.3">
      <c r="B66">
        <v>65</v>
      </c>
      <c r="C66" s="1">
        <v>40608</v>
      </c>
      <c r="D66">
        <v>1</v>
      </c>
      <c r="E66">
        <v>0</v>
      </c>
      <c r="F66">
        <v>3</v>
      </c>
      <c r="G66">
        <v>0</v>
      </c>
      <c r="H66">
        <v>2</v>
      </c>
      <c r="I66">
        <v>114</v>
      </c>
      <c r="J66">
        <v>491</v>
      </c>
      <c r="K66" s="8">
        <v>605</v>
      </c>
      <c r="L66">
        <v>15.437402000000001</v>
      </c>
      <c r="M66">
        <v>18.3126</v>
      </c>
      <c r="N66">
        <v>94.826099999999997</v>
      </c>
      <c r="O66">
        <v>23.000229000000001</v>
      </c>
      <c r="P66">
        <v>0</v>
      </c>
      <c r="Q66">
        <v>0</v>
      </c>
      <c r="R66">
        <f t="shared" si="0"/>
        <v>0</v>
      </c>
      <c r="S66">
        <f t="shared" si="1"/>
        <v>0</v>
      </c>
      <c r="T66">
        <f t="shared" si="2"/>
        <v>1</v>
      </c>
      <c r="U66">
        <f t="shared" si="3"/>
        <v>0</v>
      </c>
      <c r="V66">
        <f t="shared" si="4"/>
        <v>0</v>
      </c>
      <c r="W66">
        <f t="shared" si="5"/>
        <v>0</v>
      </c>
      <c r="X66">
        <f t="shared" si="6"/>
        <v>0</v>
      </c>
      <c r="Y66">
        <f t="shared" si="7"/>
        <v>0</v>
      </c>
      <c r="Z66">
        <f t="shared" si="8"/>
        <v>0</v>
      </c>
      <c r="AA66">
        <f t="shared" si="9"/>
        <v>0</v>
      </c>
      <c r="AB66">
        <f t="shared" si="10"/>
        <v>0</v>
      </c>
      <c r="AC66">
        <f t="shared" si="11"/>
        <v>0</v>
      </c>
      <c r="AD66">
        <f t="shared" si="12"/>
        <v>1</v>
      </c>
      <c r="AE66">
        <f t="shared" si="13"/>
        <v>0</v>
      </c>
      <c r="AF66">
        <f t="shared" si="14"/>
        <v>0</v>
      </c>
      <c r="AG66">
        <f t="shared" si="15"/>
        <v>0</v>
      </c>
      <c r="AH66">
        <f t="shared" si="16"/>
        <v>0</v>
      </c>
      <c r="AI66">
        <f t="shared" si="17"/>
        <v>0</v>
      </c>
      <c r="AJ66">
        <f t="shared" si="18"/>
        <v>0</v>
      </c>
      <c r="AK66">
        <f t="shared" si="19"/>
        <v>0</v>
      </c>
      <c r="AL66">
        <f t="shared" si="20"/>
        <v>1</v>
      </c>
      <c r="AM66">
        <f t="shared" si="21"/>
        <v>0</v>
      </c>
      <c r="AN66">
        <f t="shared" si="22"/>
        <v>1</v>
      </c>
      <c r="AO66">
        <f t="shared" si="23"/>
        <v>0</v>
      </c>
      <c r="AP66">
        <f t="shared" si="24"/>
        <v>1</v>
      </c>
      <c r="AQ66">
        <f t="shared" si="25"/>
        <v>0</v>
      </c>
      <c r="AR66">
        <f t="shared" si="26"/>
        <v>0</v>
      </c>
      <c r="AS66">
        <f t="shared" si="27"/>
        <v>0</v>
      </c>
    </row>
    <row r="67" spans="2:45" x14ac:dyDescent="0.3">
      <c r="B67">
        <v>66</v>
      </c>
      <c r="C67" s="1">
        <v>40609</v>
      </c>
      <c r="D67">
        <v>1</v>
      </c>
      <c r="E67">
        <v>0</v>
      </c>
      <c r="F67">
        <v>3</v>
      </c>
      <c r="G67">
        <v>1</v>
      </c>
      <c r="H67">
        <v>1</v>
      </c>
      <c r="I67">
        <v>244</v>
      </c>
      <c r="J67">
        <v>1628</v>
      </c>
      <c r="K67" s="8">
        <v>1872</v>
      </c>
      <c r="L67">
        <v>10.731299</v>
      </c>
      <c r="M67">
        <v>11.92305</v>
      </c>
      <c r="N67">
        <v>55.130400000000002</v>
      </c>
      <c r="O67">
        <v>22.870584000000001</v>
      </c>
      <c r="P67">
        <v>0</v>
      </c>
      <c r="Q67">
        <v>1</v>
      </c>
      <c r="R67">
        <f t="shared" ref="R67:R130" si="28">IF($F67=1,1,0)</f>
        <v>0</v>
      </c>
      <c r="S67">
        <f t="shared" ref="S67:S130" si="29">IF($F67=2,1,0)</f>
        <v>0</v>
      </c>
      <c r="T67">
        <f t="shared" ref="T67:T130" si="30">IF($F67=3,1,0)</f>
        <v>1</v>
      </c>
      <c r="U67">
        <f t="shared" ref="U67:U130" si="31">IF($F67=4,1,0)</f>
        <v>0</v>
      </c>
      <c r="V67">
        <f t="shared" ref="V67:V130" si="32">IF($F67=5,1,0)</f>
        <v>0</v>
      </c>
      <c r="W67">
        <f t="shared" ref="W67:W130" si="33">IF($F67=6,1,0)</f>
        <v>0</v>
      </c>
      <c r="X67">
        <f t="shared" ref="X67:X130" si="34">IF($F67=7,1,0)</f>
        <v>0</v>
      </c>
      <c r="Y67">
        <f t="shared" ref="Y67:Y130" si="35">IF($F67=8,1,0)</f>
        <v>0</v>
      </c>
      <c r="Z67">
        <f t="shared" ref="Z67:Z130" si="36">IF($F67=9,1,0)</f>
        <v>0</v>
      </c>
      <c r="AA67">
        <f t="shared" ref="AA67:AA130" si="37">IF($F67=10,1,0)</f>
        <v>0</v>
      </c>
      <c r="AB67">
        <f t="shared" ref="AB67:AB130" si="38">IF($F67=11,1,0)</f>
        <v>0</v>
      </c>
      <c r="AC67">
        <f t="shared" ref="AC67:AC130" si="39">IF($F67=12,1,0)</f>
        <v>0</v>
      </c>
      <c r="AD67">
        <f t="shared" ref="AD67:AD130" si="40">IF($G67=0,1,0)</f>
        <v>0</v>
      </c>
      <c r="AE67">
        <f t="shared" ref="AE67:AE130" si="41">IF($G67=1,1,0)</f>
        <v>1</v>
      </c>
      <c r="AF67">
        <f t="shared" ref="AF67:AF130" si="42">IF($G67=2,1,0)</f>
        <v>0</v>
      </c>
      <c r="AG67">
        <f t="shared" ref="AG67:AG130" si="43">IF($G67=3,1,0)</f>
        <v>0</v>
      </c>
      <c r="AH67">
        <f t="shared" ref="AH67:AH130" si="44">IF($G67=4,1,0)</f>
        <v>0</v>
      </c>
      <c r="AI67">
        <f t="shared" ref="AI67:AI130" si="45">IF($G67=5,1,0)</f>
        <v>0</v>
      </c>
      <c r="AJ67">
        <f t="shared" ref="AJ67:AJ130" si="46">IF($G67=6,1,0)</f>
        <v>0</v>
      </c>
      <c r="AK67">
        <f t="shared" ref="AK67:AK130" si="47">IF($H67=1,1,0)</f>
        <v>1</v>
      </c>
      <c r="AL67">
        <f t="shared" ref="AL67:AL130" si="48">IF($H67=2,1,0)</f>
        <v>0</v>
      </c>
      <c r="AM67">
        <f t="shared" ref="AM67:AM130" si="49">IF($H67=3,1,0)</f>
        <v>0</v>
      </c>
      <c r="AN67">
        <f t="shared" ref="AN67:AN130" si="50">IF($E67=0,1,0)</f>
        <v>1</v>
      </c>
      <c r="AO67">
        <f t="shared" ref="AO67:AO130" si="51">IF($E67=1,1,0)</f>
        <v>0</v>
      </c>
      <c r="AP67">
        <f t="shared" ref="AP67:AP130" si="52">IF($D67=1,1,0)</f>
        <v>1</v>
      </c>
      <c r="AQ67">
        <f t="shared" ref="AQ67:AQ130" si="53">IF($D67=2,1,0)</f>
        <v>0</v>
      </c>
      <c r="AR67">
        <f t="shared" ref="AR67:AR130" si="54">IF($D67=3,1,0)</f>
        <v>0</v>
      </c>
      <c r="AS67">
        <f t="shared" ref="AS67:AS130" si="55">IF($D67=4,1,0)</f>
        <v>0</v>
      </c>
    </row>
    <row r="68" spans="2:45" x14ac:dyDescent="0.3">
      <c r="B68">
        <v>67</v>
      </c>
      <c r="C68" s="1">
        <v>40610</v>
      </c>
      <c r="D68">
        <v>1</v>
      </c>
      <c r="E68">
        <v>0</v>
      </c>
      <c r="F68">
        <v>3</v>
      </c>
      <c r="G68">
        <v>2</v>
      </c>
      <c r="H68">
        <v>1</v>
      </c>
      <c r="I68">
        <v>316</v>
      </c>
      <c r="J68">
        <v>1817</v>
      </c>
      <c r="K68" s="8">
        <v>2133</v>
      </c>
      <c r="L68">
        <v>11.9925</v>
      </c>
      <c r="M68">
        <v>15.12</v>
      </c>
      <c r="N68">
        <v>42.083300000000001</v>
      </c>
      <c r="O68">
        <v>8.0835500000000007</v>
      </c>
      <c r="P68">
        <v>0</v>
      </c>
      <c r="Q68">
        <v>1</v>
      </c>
      <c r="R68">
        <f t="shared" si="28"/>
        <v>0</v>
      </c>
      <c r="S68">
        <f t="shared" si="29"/>
        <v>0</v>
      </c>
      <c r="T68">
        <f t="shared" si="30"/>
        <v>1</v>
      </c>
      <c r="U68">
        <f t="shared" si="31"/>
        <v>0</v>
      </c>
      <c r="V68">
        <f t="shared" si="32"/>
        <v>0</v>
      </c>
      <c r="W68">
        <f t="shared" si="33"/>
        <v>0</v>
      </c>
      <c r="X68">
        <f t="shared" si="34"/>
        <v>0</v>
      </c>
      <c r="Y68">
        <f t="shared" si="35"/>
        <v>0</v>
      </c>
      <c r="Z68">
        <f t="shared" si="36"/>
        <v>0</v>
      </c>
      <c r="AA68">
        <f t="shared" si="37"/>
        <v>0</v>
      </c>
      <c r="AB68">
        <f t="shared" si="38"/>
        <v>0</v>
      </c>
      <c r="AC68">
        <f t="shared" si="39"/>
        <v>0</v>
      </c>
      <c r="AD68">
        <f t="shared" si="40"/>
        <v>0</v>
      </c>
      <c r="AE68">
        <f t="shared" si="41"/>
        <v>0</v>
      </c>
      <c r="AF68">
        <f t="shared" si="42"/>
        <v>1</v>
      </c>
      <c r="AG68">
        <f t="shared" si="43"/>
        <v>0</v>
      </c>
      <c r="AH68">
        <f t="shared" si="44"/>
        <v>0</v>
      </c>
      <c r="AI68">
        <f t="shared" si="45"/>
        <v>0</v>
      </c>
      <c r="AJ68">
        <f t="shared" si="46"/>
        <v>0</v>
      </c>
      <c r="AK68">
        <f t="shared" si="47"/>
        <v>1</v>
      </c>
      <c r="AL68">
        <f t="shared" si="48"/>
        <v>0</v>
      </c>
      <c r="AM68">
        <f t="shared" si="49"/>
        <v>0</v>
      </c>
      <c r="AN68">
        <f t="shared" si="50"/>
        <v>1</v>
      </c>
      <c r="AO68">
        <f t="shared" si="51"/>
        <v>0</v>
      </c>
      <c r="AP68">
        <f t="shared" si="52"/>
        <v>1</v>
      </c>
      <c r="AQ68">
        <f t="shared" si="53"/>
        <v>0</v>
      </c>
      <c r="AR68">
        <f t="shared" si="54"/>
        <v>0</v>
      </c>
      <c r="AS68">
        <f t="shared" si="55"/>
        <v>0</v>
      </c>
    </row>
    <row r="69" spans="2:45" x14ac:dyDescent="0.3">
      <c r="B69">
        <v>68</v>
      </c>
      <c r="C69" s="1">
        <v>40611</v>
      </c>
      <c r="D69">
        <v>1</v>
      </c>
      <c r="E69">
        <v>0</v>
      </c>
      <c r="F69">
        <v>3</v>
      </c>
      <c r="G69">
        <v>3</v>
      </c>
      <c r="H69">
        <v>2</v>
      </c>
      <c r="I69">
        <v>191</v>
      </c>
      <c r="J69">
        <v>1700</v>
      </c>
      <c r="K69" s="8">
        <v>1891</v>
      </c>
      <c r="L69">
        <v>12.129153000000001</v>
      </c>
      <c r="M69">
        <v>14.330399999999999</v>
      </c>
      <c r="N69">
        <v>77.541700000000006</v>
      </c>
      <c r="O69">
        <v>14.75005</v>
      </c>
      <c r="P69">
        <v>0</v>
      </c>
      <c r="Q69">
        <v>1</v>
      </c>
      <c r="R69">
        <f t="shared" si="28"/>
        <v>0</v>
      </c>
      <c r="S69">
        <f t="shared" si="29"/>
        <v>0</v>
      </c>
      <c r="T69">
        <f t="shared" si="30"/>
        <v>1</v>
      </c>
      <c r="U69">
        <f t="shared" si="31"/>
        <v>0</v>
      </c>
      <c r="V69">
        <f t="shared" si="32"/>
        <v>0</v>
      </c>
      <c r="W69">
        <f t="shared" si="33"/>
        <v>0</v>
      </c>
      <c r="X69">
        <f t="shared" si="34"/>
        <v>0</v>
      </c>
      <c r="Y69">
        <f t="shared" si="35"/>
        <v>0</v>
      </c>
      <c r="Z69">
        <f t="shared" si="36"/>
        <v>0</v>
      </c>
      <c r="AA69">
        <f t="shared" si="37"/>
        <v>0</v>
      </c>
      <c r="AB69">
        <f t="shared" si="38"/>
        <v>0</v>
      </c>
      <c r="AC69">
        <f t="shared" si="39"/>
        <v>0</v>
      </c>
      <c r="AD69">
        <f t="shared" si="40"/>
        <v>0</v>
      </c>
      <c r="AE69">
        <f t="shared" si="41"/>
        <v>0</v>
      </c>
      <c r="AF69">
        <f t="shared" si="42"/>
        <v>0</v>
      </c>
      <c r="AG69">
        <f t="shared" si="43"/>
        <v>1</v>
      </c>
      <c r="AH69">
        <f t="shared" si="44"/>
        <v>0</v>
      </c>
      <c r="AI69">
        <f t="shared" si="45"/>
        <v>0</v>
      </c>
      <c r="AJ69">
        <f t="shared" si="46"/>
        <v>0</v>
      </c>
      <c r="AK69">
        <f t="shared" si="47"/>
        <v>0</v>
      </c>
      <c r="AL69">
        <f t="shared" si="48"/>
        <v>1</v>
      </c>
      <c r="AM69">
        <f t="shared" si="49"/>
        <v>0</v>
      </c>
      <c r="AN69">
        <f t="shared" si="50"/>
        <v>1</v>
      </c>
      <c r="AO69">
        <f t="shared" si="51"/>
        <v>0</v>
      </c>
      <c r="AP69">
        <f t="shared" si="52"/>
        <v>1</v>
      </c>
      <c r="AQ69">
        <f t="shared" si="53"/>
        <v>0</v>
      </c>
      <c r="AR69">
        <f t="shared" si="54"/>
        <v>0</v>
      </c>
      <c r="AS69">
        <f t="shared" si="55"/>
        <v>0</v>
      </c>
    </row>
    <row r="70" spans="2:45" x14ac:dyDescent="0.3">
      <c r="B70">
        <v>69</v>
      </c>
      <c r="C70" s="1">
        <v>40612</v>
      </c>
      <c r="D70">
        <v>1</v>
      </c>
      <c r="E70">
        <v>0</v>
      </c>
      <c r="F70">
        <v>3</v>
      </c>
      <c r="G70">
        <v>4</v>
      </c>
      <c r="H70">
        <v>3</v>
      </c>
      <c r="I70">
        <v>46</v>
      </c>
      <c r="J70">
        <v>577</v>
      </c>
      <c r="K70" s="8">
        <v>623</v>
      </c>
      <c r="L70">
        <v>15.952731</v>
      </c>
      <c r="M70">
        <v>19.2834</v>
      </c>
      <c r="N70">
        <v>0</v>
      </c>
      <c r="O70">
        <v>17.545759</v>
      </c>
      <c r="P70">
        <v>0</v>
      </c>
      <c r="Q70">
        <v>1</v>
      </c>
      <c r="R70">
        <f t="shared" si="28"/>
        <v>0</v>
      </c>
      <c r="S70">
        <f t="shared" si="29"/>
        <v>0</v>
      </c>
      <c r="T70">
        <f t="shared" si="30"/>
        <v>1</v>
      </c>
      <c r="U70">
        <f t="shared" si="31"/>
        <v>0</v>
      </c>
      <c r="V70">
        <f t="shared" si="32"/>
        <v>0</v>
      </c>
      <c r="W70">
        <f t="shared" si="33"/>
        <v>0</v>
      </c>
      <c r="X70">
        <f t="shared" si="34"/>
        <v>0</v>
      </c>
      <c r="Y70">
        <f t="shared" si="35"/>
        <v>0</v>
      </c>
      <c r="Z70">
        <f t="shared" si="36"/>
        <v>0</v>
      </c>
      <c r="AA70">
        <f t="shared" si="37"/>
        <v>0</v>
      </c>
      <c r="AB70">
        <f t="shared" si="38"/>
        <v>0</v>
      </c>
      <c r="AC70">
        <f t="shared" si="39"/>
        <v>0</v>
      </c>
      <c r="AD70">
        <f t="shared" si="40"/>
        <v>0</v>
      </c>
      <c r="AE70">
        <f t="shared" si="41"/>
        <v>0</v>
      </c>
      <c r="AF70">
        <f t="shared" si="42"/>
        <v>0</v>
      </c>
      <c r="AG70">
        <f t="shared" si="43"/>
        <v>0</v>
      </c>
      <c r="AH70">
        <f t="shared" si="44"/>
        <v>1</v>
      </c>
      <c r="AI70">
        <f t="shared" si="45"/>
        <v>0</v>
      </c>
      <c r="AJ70">
        <f t="shared" si="46"/>
        <v>0</v>
      </c>
      <c r="AK70">
        <f t="shared" si="47"/>
        <v>0</v>
      </c>
      <c r="AL70">
        <f t="shared" si="48"/>
        <v>0</v>
      </c>
      <c r="AM70">
        <f t="shared" si="49"/>
        <v>1</v>
      </c>
      <c r="AN70">
        <f t="shared" si="50"/>
        <v>1</v>
      </c>
      <c r="AO70">
        <f t="shared" si="51"/>
        <v>0</v>
      </c>
      <c r="AP70">
        <f t="shared" si="52"/>
        <v>1</v>
      </c>
      <c r="AQ70">
        <f t="shared" si="53"/>
        <v>0</v>
      </c>
      <c r="AR70">
        <f t="shared" si="54"/>
        <v>0</v>
      </c>
      <c r="AS70">
        <f t="shared" si="55"/>
        <v>0</v>
      </c>
    </row>
    <row r="71" spans="2:45" x14ac:dyDescent="0.3">
      <c r="B71">
        <v>70</v>
      </c>
      <c r="C71" s="1">
        <v>40613</v>
      </c>
      <c r="D71">
        <v>1</v>
      </c>
      <c r="E71">
        <v>0</v>
      </c>
      <c r="F71">
        <v>3</v>
      </c>
      <c r="G71">
        <v>5</v>
      </c>
      <c r="H71">
        <v>2</v>
      </c>
      <c r="I71">
        <v>247</v>
      </c>
      <c r="J71">
        <v>1730</v>
      </c>
      <c r="K71" s="8">
        <v>1977</v>
      </c>
      <c r="L71">
        <v>12.977402</v>
      </c>
      <c r="M71">
        <v>15.25</v>
      </c>
      <c r="N71">
        <v>64.956500000000005</v>
      </c>
      <c r="O71">
        <v>15.60899</v>
      </c>
      <c r="P71">
        <v>0</v>
      </c>
      <c r="Q71">
        <v>1</v>
      </c>
      <c r="R71">
        <f t="shared" si="28"/>
        <v>0</v>
      </c>
      <c r="S71">
        <f t="shared" si="29"/>
        <v>0</v>
      </c>
      <c r="T71">
        <f t="shared" si="30"/>
        <v>1</v>
      </c>
      <c r="U71">
        <f t="shared" si="31"/>
        <v>0</v>
      </c>
      <c r="V71">
        <f t="shared" si="32"/>
        <v>0</v>
      </c>
      <c r="W71">
        <f t="shared" si="33"/>
        <v>0</v>
      </c>
      <c r="X71">
        <f t="shared" si="34"/>
        <v>0</v>
      </c>
      <c r="Y71">
        <f t="shared" si="35"/>
        <v>0</v>
      </c>
      <c r="Z71">
        <f t="shared" si="36"/>
        <v>0</v>
      </c>
      <c r="AA71">
        <f t="shared" si="37"/>
        <v>0</v>
      </c>
      <c r="AB71">
        <f t="shared" si="38"/>
        <v>0</v>
      </c>
      <c r="AC71">
        <f t="shared" si="39"/>
        <v>0</v>
      </c>
      <c r="AD71">
        <f t="shared" si="40"/>
        <v>0</v>
      </c>
      <c r="AE71">
        <f t="shared" si="41"/>
        <v>0</v>
      </c>
      <c r="AF71">
        <f t="shared" si="42"/>
        <v>0</v>
      </c>
      <c r="AG71">
        <f t="shared" si="43"/>
        <v>0</v>
      </c>
      <c r="AH71">
        <f t="shared" si="44"/>
        <v>0</v>
      </c>
      <c r="AI71">
        <f t="shared" si="45"/>
        <v>1</v>
      </c>
      <c r="AJ71">
        <f t="shared" si="46"/>
        <v>0</v>
      </c>
      <c r="AK71">
        <f t="shared" si="47"/>
        <v>0</v>
      </c>
      <c r="AL71">
        <f t="shared" si="48"/>
        <v>1</v>
      </c>
      <c r="AM71">
        <f t="shared" si="49"/>
        <v>0</v>
      </c>
      <c r="AN71">
        <f t="shared" si="50"/>
        <v>1</v>
      </c>
      <c r="AO71">
        <f t="shared" si="51"/>
        <v>0</v>
      </c>
      <c r="AP71">
        <f t="shared" si="52"/>
        <v>1</v>
      </c>
      <c r="AQ71">
        <f t="shared" si="53"/>
        <v>0</v>
      </c>
      <c r="AR71">
        <f t="shared" si="54"/>
        <v>0</v>
      </c>
      <c r="AS71">
        <f t="shared" si="55"/>
        <v>0</v>
      </c>
    </row>
    <row r="72" spans="2:45" x14ac:dyDescent="0.3">
      <c r="B72">
        <v>71</v>
      </c>
      <c r="C72" s="1">
        <v>40614</v>
      </c>
      <c r="D72">
        <v>1</v>
      </c>
      <c r="E72">
        <v>0</v>
      </c>
      <c r="F72">
        <v>3</v>
      </c>
      <c r="G72">
        <v>6</v>
      </c>
      <c r="H72">
        <v>1</v>
      </c>
      <c r="I72">
        <v>724</v>
      </c>
      <c r="J72">
        <v>1408</v>
      </c>
      <c r="K72" s="8">
        <v>2132</v>
      </c>
      <c r="L72">
        <v>13.495846999999999</v>
      </c>
      <c r="M72">
        <v>16.287500000000001</v>
      </c>
      <c r="N72">
        <v>59.458300000000001</v>
      </c>
      <c r="O72">
        <v>14.791925000000001</v>
      </c>
      <c r="P72">
        <v>0</v>
      </c>
      <c r="Q72">
        <v>0</v>
      </c>
      <c r="R72">
        <f t="shared" si="28"/>
        <v>0</v>
      </c>
      <c r="S72">
        <f t="shared" si="29"/>
        <v>0</v>
      </c>
      <c r="T72">
        <f t="shared" si="30"/>
        <v>1</v>
      </c>
      <c r="U72">
        <f t="shared" si="31"/>
        <v>0</v>
      </c>
      <c r="V72">
        <f t="shared" si="32"/>
        <v>0</v>
      </c>
      <c r="W72">
        <f t="shared" si="33"/>
        <v>0</v>
      </c>
      <c r="X72">
        <f t="shared" si="34"/>
        <v>0</v>
      </c>
      <c r="Y72">
        <f t="shared" si="35"/>
        <v>0</v>
      </c>
      <c r="Z72">
        <f t="shared" si="36"/>
        <v>0</v>
      </c>
      <c r="AA72">
        <f t="shared" si="37"/>
        <v>0</v>
      </c>
      <c r="AB72">
        <f t="shared" si="38"/>
        <v>0</v>
      </c>
      <c r="AC72">
        <f t="shared" si="39"/>
        <v>0</v>
      </c>
      <c r="AD72">
        <f t="shared" si="40"/>
        <v>0</v>
      </c>
      <c r="AE72">
        <f t="shared" si="41"/>
        <v>0</v>
      </c>
      <c r="AF72">
        <f t="shared" si="42"/>
        <v>0</v>
      </c>
      <c r="AG72">
        <f t="shared" si="43"/>
        <v>0</v>
      </c>
      <c r="AH72">
        <f t="shared" si="44"/>
        <v>0</v>
      </c>
      <c r="AI72">
        <f t="shared" si="45"/>
        <v>0</v>
      </c>
      <c r="AJ72">
        <f t="shared" si="46"/>
        <v>1</v>
      </c>
      <c r="AK72">
        <f t="shared" si="47"/>
        <v>1</v>
      </c>
      <c r="AL72">
        <f t="shared" si="48"/>
        <v>0</v>
      </c>
      <c r="AM72">
        <f t="shared" si="49"/>
        <v>0</v>
      </c>
      <c r="AN72">
        <f t="shared" si="50"/>
        <v>1</v>
      </c>
      <c r="AO72">
        <f t="shared" si="51"/>
        <v>0</v>
      </c>
      <c r="AP72">
        <f t="shared" si="52"/>
        <v>1</v>
      </c>
      <c r="AQ72">
        <f t="shared" si="53"/>
        <v>0</v>
      </c>
      <c r="AR72">
        <f t="shared" si="54"/>
        <v>0</v>
      </c>
      <c r="AS72">
        <f t="shared" si="55"/>
        <v>0</v>
      </c>
    </row>
    <row r="73" spans="2:45" x14ac:dyDescent="0.3">
      <c r="B73">
        <v>72</v>
      </c>
      <c r="C73" s="1">
        <v>40615</v>
      </c>
      <c r="D73">
        <v>1</v>
      </c>
      <c r="E73">
        <v>0</v>
      </c>
      <c r="F73">
        <v>3</v>
      </c>
      <c r="G73">
        <v>0</v>
      </c>
      <c r="H73">
        <v>1</v>
      </c>
      <c r="I73">
        <v>982</v>
      </c>
      <c r="J73">
        <v>1435</v>
      </c>
      <c r="K73" s="8">
        <v>2417</v>
      </c>
      <c r="L73">
        <v>15.758267999999999</v>
      </c>
      <c r="M73">
        <v>19.004549999999998</v>
      </c>
      <c r="N73">
        <v>52.739100000000001</v>
      </c>
      <c r="O73">
        <v>18.130468</v>
      </c>
      <c r="P73">
        <v>0</v>
      </c>
      <c r="Q73">
        <v>0</v>
      </c>
      <c r="R73">
        <f t="shared" si="28"/>
        <v>0</v>
      </c>
      <c r="S73">
        <f t="shared" si="29"/>
        <v>0</v>
      </c>
      <c r="T73">
        <f t="shared" si="30"/>
        <v>1</v>
      </c>
      <c r="U73">
        <f t="shared" si="31"/>
        <v>0</v>
      </c>
      <c r="V73">
        <f t="shared" si="32"/>
        <v>0</v>
      </c>
      <c r="W73">
        <f t="shared" si="33"/>
        <v>0</v>
      </c>
      <c r="X73">
        <f t="shared" si="34"/>
        <v>0</v>
      </c>
      <c r="Y73">
        <f t="shared" si="35"/>
        <v>0</v>
      </c>
      <c r="Z73">
        <f t="shared" si="36"/>
        <v>0</v>
      </c>
      <c r="AA73">
        <f t="shared" si="37"/>
        <v>0</v>
      </c>
      <c r="AB73">
        <f t="shared" si="38"/>
        <v>0</v>
      </c>
      <c r="AC73">
        <f t="shared" si="39"/>
        <v>0</v>
      </c>
      <c r="AD73">
        <f t="shared" si="40"/>
        <v>1</v>
      </c>
      <c r="AE73">
        <f t="shared" si="41"/>
        <v>0</v>
      </c>
      <c r="AF73">
        <f t="shared" si="42"/>
        <v>0</v>
      </c>
      <c r="AG73">
        <f t="shared" si="43"/>
        <v>0</v>
      </c>
      <c r="AH73">
        <f t="shared" si="44"/>
        <v>0</v>
      </c>
      <c r="AI73">
        <f t="shared" si="45"/>
        <v>0</v>
      </c>
      <c r="AJ73">
        <f t="shared" si="46"/>
        <v>0</v>
      </c>
      <c r="AK73">
        <f t="shared" si="47"/>
        <v>1</v>
      </c>
      <c r="AL73">
        <f t="shared" si="48"/>
        <v>0</v>
      </c>
      <c r="AM73">
        <f t="shared" si="49"/>
        <v>0</v>
      </c>
      <c r="AN73">
        <f t="shared" si="50"/>
        <v>1</v>
      </c>
      <c r="AO73">
        <f t="shared" si="51"/>
        <v>0</v>
      </c>
      <c r="AP73">
        <f t="shared" si="52"/>
        <v>1</v>
      </c>
      <c r="AQ73">
        <f t="shared" si="53"/>
        <v>0</v>
      </c>
      <c r="AR73">
        <f t="shared" si="54"/>
        <v>0</v>
      </c>
      <c r="AS73">
        <f t="shared" si="55"/>
        <v>0</v>
      </c>
    </row>
    <row r="74" spans="2:45" x14ac:dyDescent="0.3">
      <c r="B74">
        <v>73</v>
      </c>
      <c r="C74" s="1">
        <v>40616</v>
      </c>
      <c r="D74">
        <v>1</v>
      </c>
      <c r="E74">
        <v>0</v>
      </c>
      <c r="F74">
        <v>3</v>
      </c>
      <c r="G74">
        <v>1</v>
      </c>
      <c r="H74">
        <v>1</v>
      </c>
      <c r="I74">
        <v>359</v>
      </c>
      <c r="J74">
        <v>1687</v>
      </c>
      <c r="K74" s="8">
        <v>2046</v>
      </c>
      <c r="L74">
        <v>13.333897</v>
      </c>
      <c r="M74">
        <v>16.600000000000001</v>
      </c>
      <c r="N74">
        <v>49.695700000000002</v>
      </c>
      <c r="O74">
        <v>9.174042</v>
      </c>
      <c r="P74">
        <v>0</v>
      </c>
      <c r="Q74">
        <v>1</v>
      </c>
      <c r="R74">
        <f t="shared" si="28"/>
        <v>0</v>
      </c>
      <c r="S74">
        <f t="shared" si="29"/>
        <v>0</v>
      </c>
      <c r="T74">
        <f t="shared" si="30"/>
        <v>1</v>
      </c>
      <c r="U74">
        <f t="shared" si="31"/>
        <v>0</v>
      </c>
      <c r="V74">
        <f t="shared" si="32"/>
        <v>0</v>
      </c>
      <c r="W74">
        <f t="shared" si="33"/>
        <v>0</v>
      </c>
      <c r="X74">
        <f t="shared" si="34"/>
        <v>0</v>
      </c>
      <c r="Y74">
        <f t="shared" si="35"/>
        <v>0</v>
      </c>
      <c r="Z74">
        <f t="shared" si="36"/>
        <v>0</v>
      </c>
      <c r="AA74">
        <f t="shared" si="37"/>
        <v>0</v>
      </c>
      <c r="AB74">
        <f t="shared" si="38"/>
        <v>0</v>
      </c>
      <c r="AC74">
        <f t="shared" si="39"/>
        <v>0</v>
      </c>
      <c r="AD74">
        <f t="shared" si="40"/>
        <v>0</v>
      </c>
      <c r="AE74">
        <f t="shared" si="41"/>
        <v>1</v>
      </c>
      <c r="AF74">
        <f t="shared" si="42"/>
        <v>0</v>
      </c>
      <c r="AG74">
        <f t="shared" si="43"/>
        <v>0</v>
      </c>
      <c r="AH74">
        <f t="shared" si="44"/>
        <v>0</v>
      </c>
      <c r="AI74">
        <f t="shared" si="45"/>
        <v>0</v>
      </c>
      <c r="AJ74">
        <f t="shared" si="46"/>
        <v>0</v>
      </c>
      <c r="AK74">
        <f t="shared" si="47"/>
        <v>1</v>
      </c>
      <c r="AL74">
        <f t="shared" si="48"/>
        <v>0</v>
      </c>
      <c r="AM74">
        <f t="shared" si="49"/>
        <v>0</v>
      </c>
      <c r="AN74">
        <f t="shared" si="50"/>
        <v>1</v>
      </c>
      <c r="AO74">
        <f t="shared" si="51"/>
        <v>0</v>
      </c>
      <c r="AP74">
        <f t="shared" si="52"/>
        <v>1</v>
      </c>
      <c r="AQ74">
        <f t="shared" si="53"/>
        <v>0</v>
      </c>
      <c r="AR74">
        <f t="shared" si="54"/>
        <v>0</v>
      </c>
      <c r="AS74">
        <f t="shared" si="55"/>
        <v>0</v>
      </c>
    </row>
    <row r="75" spans="2:45" x14ac:dyDescent="0.3">
      <c r="B75">
        <v>74</v>
      </c>
      <c r="C75" s="1">
        <v>40617</v>
      </c>
      <c r="D75">
        <v>1</v>
      </c>
      <c r="E75">
        <v>0</v>
      </c>
      <c r="F75">
        <v>3</v>
      </c>
      <c r="G75">
        <v>2</v>
      </c>
      <c r="H75">
        <v>2</v>
      </c>
      <c r="I75">
        <v>289</v>
      </c>
      <c r="J75">
        <v>1767</v>
      </c>
      <c r="K75" s="8">
        <v>2056</v>
      </c>
      <c r="L75">
        <v>13.013031</v>
      </c>
      <c r="M75">
        <v>15.908899999999999</v>
      </c>
      <c r="N75">
        <v>65.565200000000004</v>
      </c>
      <c r="O75">
        <v>12.348703</v>
      </c>
      <c r="P75">
        <v>0</v>
      </c>
      <c r="Q75">
        <v>1</v>
      </c>
      <c r="R75">
        <f t="shared" si="28"/>
        <v>0</v>
      </c>
      <c r="S75">
        <f t="shared" si="29"/>
        <v>0</v>
      </c>
      <c r="T75">
        <f t="shared" si="30"/>
        <v>1</v>
      </c>
      <c r="U75">
        <f t="shared" si="31"/>
        <v>0</v>
      </c>
      <c r="V75">
        <f t="shared" si="32"/>
        <v>0</v>
      </c>
      <c r="W75">
        <f t="shared" si="33"/>
        <v>0</v>
      </c>
      <c r="X75">
        <f t="shared" si="34"/>
        <v>0</v>
      </c>
      <c r="Y75">
        <f t="shared" si="35"/>
        <v>0</v>
      </c>
      <c r="Z75">
        <f t="shared" si="36"/>
        <v>0</v>
      </c>
      <c r="AA75">
        <f t="shared" si="37"/>
        <v>0</v>
      </c>
      <c r="AB75">
        <f t="shared" si="38"/>
        <v>0</v>
      </c>
      <c r="AC75">
        <f t="shared" si="39"/>
        <v>0</v>
      </c>
      <c r="AD75">
        <f t="shared" si="40"/>
        <v>0</v>
      </c>
      <c r="AE75">
        <f t="shared" si="41"/>
        <v>0</v>
      </c>
      <c r="AF75">
        <f t="shared" si="42"/>
        <v>1</v>
      </c>
      <c r="AG75">
        <f t="shared" si="43"/>
        <v>0</v>
      </c>
      <c r="AH75">
        <f t="shared" si="44"/>
        <v>0</v>
      </c>
      <c r="AI75">
        <f t="shared" si="45"/>
        <v>0</v>
      </c>
      <c r="AJ75">
        <f t="shared" si="46"/>
        <v>0</v>
      </c>
      <c r="AK75">
        <f t="shared" si="47"/>
        <v>0</v>
      </c>
      <c r="AL75">
        <f t="shared" si="48"/>
        <v>1</v>
      </c>
      <c r="AM75">
        <f t="shared" si="49"/>
        <v>0</v>
      </c>
      <c r="AN75">
        <f t="shared" si="50"/>
        <v>1</v>
      </c>
      <c r="AO75">
        <f t="shared" si="51"/>
        <v>0</v>
      </c>
      <c r="AP75">
        <f t="shared" si="52"/>
        <v>1</v>
      </c>
      <c r="AQ75">
        <f t="shared" si="53"/>
        <v>0</v>
      </c>
      <c r="AR75">
        <f t="shared" si="54"/>
        <v>0</v>
      </c>
      <c r="AS75">
        <f t="shared" si="55"/>
        <v>0</v>
      </c>
    </row>
    <row r="76" spans="2:45" x14ac:dyDescent="0.3">
      <c r="B76">
        <v>75</v>
      </c>
      <c r="C76" s="1">
        <v>40618</v>
      </c>
      <c r="D76">
        <v>1</v>
      </c>
      <c r="E76">
        <v>0</v>
      </c>
      <c r="F76">
        <v>3</v>
      </c>
      <c r="G76">
        <v>3</v>
      </c>
      <c r="H76">
        <v>2</v>
      </c>
      <c r="I76">
        <v>321</v>
      </c>
      <c r="J76">
        <v>1871</v>
      </c>
      <c r="K76" s="8">
        <v>2192</v>
      </c>
      <c r="L76">
        <v>14.973896999999999</v>
      </c>
      <c r="M76">
        <v>18.346499999999999</v>
      </c>
      <c r="N76">
        <v>77.652199999999993</v>
      </c>
      <c r="O76">
        <v>13.608839</v>
      </c>
      <c r="P76">
        <v>0</v>
      </c>
      <c r="Q76">
        <v>1</v>
      </c>
      <c r="R76">
        <f t="shared" si="28"/>
        <v>0</v>
      </c>
      <c r="S76">
        <f t="shared" si="29"/>
        <v>0</v>
      </c>
      <c r="T76">
        <f t="shared" si="30"/>
        <v>1</v>
      </c>
      <c r="U76">
        <f t="shared" si="31"/>
        <v>0</v>
      </c>
      <c r="V76">
        <f t="shared" si="32"/>
        <v>0</v>
      </c>
      <c r="W76">
        <f t="shared" si="33"/>
        <v>0</v>
      </c>
      <c r="X76">
        <f t="shared" si="34"/>
        <v>0</v>
      </c>
      <c r="Y76">
        <f t="shared" si="35"/>
        <v>0</v>
      </c>
      <c r="Z76">
        <f t="shared" si="36"/>
        <v>0</v>
      </c>
      <c r="AA76">
        <f t="shared" si="37"/>
        <v>0</v>
      </c>
      <c r="AB76">
        <f t="shared" si="38"/>
        <v>0</v>
      </c>
      <c r="AC76">
        <f t="shared" si="39"/>
        <v>0</v>
      </c>
      <c r="AD76">
        <f t="shared" si="40"/>
        <v>0</v>
      </c>
      <c r="AE76">
        <f t="shared" si="41"/>
        <v>0</v>
      </c>
      <c r="AF76">
        <f t="shared" si="42"/>
        <v>0</v>
      </c>
      <c r="AG76">
        <f t="shared" si="43"/>
        <v>1</v>
      </c>
      <c r="AH76">
        <f t="shared" si="44"/>
        <v>0</v>
      </c>
      <c r="AI76">
        <f t="shared" si="45"/>
        <v>0</v>
      </c>
      <c r="AJ76">
        <f t="shared" si="46"/>
        <v>0</v>
      </c>
      <c r="AK76">
        <f t="shared" si="47"/>
        <v>0</v>
      </c>
      <c r="AL76">
        <f t="shared" si="48"/>
        <v>1</v>
      </c>
      <c r="AM76">
        <f t="shared" si="49"/>
        <v>0</v>
      </c>
      <c r="AN76">
        <f t="shared" si="50"/>
        <v>1</v>
      </c>
      <c r="AO76">
        <f t="shared" si="51"/>
        <v>0</v>
      </c>
      <c r="AP76">
        <f t="shared" si="52"/>
        <v>1</v>
      </c>
      <c r="AQ76">
        <f t="shared" si="53"/>
        <v>0</v>
      </c>
      <c r="AR76">
        <f t="shared" si="54"/>
        <v>0</v>
      </c>
      <c r="AS76">
        <f t="shared" si="55"/>
        <v>0</v>
      </c>
    </row>
    <row r="77" spans="2:45" x14ac:dyDescent="0.3">
      <c r="B77">
        <v>76</v>
      </c>
      <c r="C77" s="1">
        <v>40619</v>
      </c>
      <c r="D77">
        <v>1</v>
      </c>
      <c r="E77">
        <v>0</v>
      </c>
      <c r="F77">
        <v>3</v>
      </c>
      <c r="G77">
        <v>4</v>
      </c>
      <c r="H77">
        <v>1</v>
      </c>
      <c r="I77">
        <v>424</v>
      </c>
      <c r="J77">
        <v>2320</v>
      </c>
      <c r="K77" s="8">
        <v>2744</v>
      </c>
      <c r="L77">
        <v>17.015000000000001</v>
      </c>
      <c r="M77">
        <v>20.516649999999998</v>
      </c>
      <c r="N77">
        <v>60.291699999999999</v>
      </c>
      <c r="O77">
        <v>14.041793</v>
      </c>
      <c r="P77">
        <v>0</v>
      </c>
      <c r="Q77">
        <v>1</v>
      </c>
      <c r="R77">
        <f t="shared" si="28"/>
        <v>0</v>
      </c>
      <c r="S77">
        <f t="shared" si="29"/>
        <v>0</v>
      </c>
      <c r="T77">
        <f t="shared" si="30"/>
        <v>1</v>
      </c>
      <c r="U77">
        <f t="shared" si="31"/>
        <v>0</v>
      </c>
      <c r="V77">
        <f t="shared" si="32"/>
        <v>0</v>
      </c>
      <c r="W77">
        <f t="shared" si="33"/>
        <v>0</v>
      </c>
      <c r="X77">
        <f t="shared" si="34"/>
        <v>0</v>
      </c>
      <c r="Y77">
        <f t="shared" si="35"/>
        <v>0</v>
      </c>
      <c r="Z77">
        <f t="shared" si="36"/>
        <v>0</v>
      </c>
      <c r="AA77">
        <f t="shared" si="37"/>
        <v>0</v>
      </c>
      <c r="AB77">
        <f t="shared" si="38"/>
        <v>0</v>
      </c>
      <c r="AC77">
        <f t="shared" si="39"/>
        <v>0</v>
      </c>
      <c r="AD77">
        <f t="shared" si="40"/>
        <v>0</v>
      </c>
      <c r="AE77">
        <f t="shared" si="41"/>
        <v>0</v>
      </c>
      <c r="AF77">
        <f t="shared" si="42"/>
        <v>0</v>
      </c>
      <c r="AG77">
        <f t="shared" si="43"/>
        <v>0</v>
      </c>
      <c r="AH77">
        <f t="shared" si="44"/>
        <v>1</v>
      </c>
      <c r="AI77">
        <f t="shared" si="45"/>
        <v>0</v>
      </c>
      <c r="AJ77">
        <f t="shared" si="46"/>
        <v>0</v>
      </c>
      <c r="AK77">
        <f t="shared" si="47"/>
        <v>1</v>
      </c>
      <c r="AL77">
        <f t="shared" si="48"/>
        <v>0</v>
      </c>
      <c r="AM77">
        <f t="shared" si="49"/>
        <v>0</v>
      </c>
      <c r="AN77">
        <f t="shared" si="50"/>
        <v>1</v>
      </c>
      <c r="AO77">
        <f t="shared" si="51"/>
        <v>0</v>
      </c>
      <c r="AP77">
        <f t="shared" si="52"/>
        <v>1</v>
      </c>
      <c r="AQ77">
        <f t="shared" si="53"/>
        <v>0</v>
      </c>
      <c r="AR77">
        <f t="shared" si="54"/>
        <v>0</v>
      </c>
      <c r="AS77">
        <f t="shared" si="55"/>
        <v>0</v>
      </c>
    </row>
    <row r="78" spans="2:45" x14ac:dyDescent="0.3">
      <c r="B78">
        <v>77</v>
      </c>
      <c r="C78" s="1">
        <v>40620</v>
      </c>
      <c r="D78">
        <v>1</v>
      </c>
      <c r="E78">
        <v>0</v>
      </c>
      <c r="F78">
        <v>3</v>
      </c>
      <c r="G78">
        <v>5</v>
      </c>
      <c r="H78">
        <v>1</v>
      </c>
      <c r="I78">
        <v>884</v>
      </c>
      <c r="J78">
        <v>2355</v>
      </c>
      <c r="K78" s="8">
        <v>3239</v>
      </c>
      <c r="L78">
        <v>22.14</v>
      </c>
      <c r="M78">
        <v>26.350449999999999</v>
      </c>
      <c r="N78">
        <v>52.521700000000003</v>
      </c>
      <c r="O78">
        <v>15.478139000000001</v>
      </c>
      <c r="P78">
        <v>0</v>
      </c>
      <c r="Q78">
        <v>1</v>
      </c>
      <c r="R78">
        <f t="shared" si="28"/>
        <v>0</v>
      </c>
      <c r="S78">
        <f t="shared" si="29"/>
        <v>0</v>
      </c>
      <c r="T78">
        <f t="shared" si="30"/>
        <v>1</v>
      </c>
      <c r="U78">
        <f t="shared" si="31"/>
        <v>0</v>
      </c>
      <c r="V78">
        <f t="shared" si="32"/>
        <v>0</v>
      </c>
      <c r="W78">
        <f t="shared" si="33"/>
        <v>0</v>
      </c>
      <c r="X78">
        <f t="shared" si="34"/>
        <v>0</v>
      </c>
      <c r="Y78">
        <f t="shared" si="35"/>
        <v>0</v>
      </c>
      <c r="Z78">
        <f t="shared" si="36"/>
        <v>0</v>
      </c>
      <c r="AA78">
        <f t="shared" si="37"/>
        <v>0</v>
      </c>
      <c r="AB78">
        <f t="shared" si="38"/>
        <v>0</v>
      </c>
      <c r="AC78">
        <f t="shared" si="39"/>
        <v>0</v>
      </c>
      <c r="AD78">
        <f t="shared" si="40"/>
        <v>0</v>
      </c>
      <c r="AE78">
        <f t="shared" si="41"/>
        <v>0</v>
      </c>
      <c r="AF78">
        <f t="shared" si="42"/>
        <v>0</v>
      </c>
      <c r="AG78">
        <f t="shared" si="43"/>
        <v>0</v>
      </c>
      <c r="AH78">
        <f t="shared" si="44"/>
        <v>0</v>
      </c>
      <c r="AI78">
        <f t="shared" si="45"/>
        <v>1</v>
      </c>
      <c r="AJ78">
        <f t="shared" si="46"/>
        <v>0</v>
      </c>
      <c r="AK78">
        <f t="shared" si="47"/>
        <v>1</v>
      </c>
      <c r="AL78">
        <f t="shared" si="48"/>
        <v>0</v>
      </c>
      <c r="AM78">
        <f t="shared" si="49"/>
        <v>0</v>
      </c>
      <c r="AN78">
        <f t="shared" si="50"/>
        <v>1</v>
      </c>
      <c r="AO78">
        <f t="shared" si="51"/>
        <v>0</v>
      </c>
      <c r="AP78">
        <f t="shared" si="52"/>
        <v>1</v>
      </c>
      <c r="AQ78">
        <f t="shared" si="53"/>
        <v>0</v>
      </c>
      <c r="AR78">
        <f t="shared" si="54"/>
        <v>0</v>
      </c>
      <c r="AS78">
        <f t="shared" si="55"/>
        <v>0</v>
      </c>
    </row>
    <row r="79" spans="2:45" x14ac:dyDescent="0.3">
      <c r="B79">
        <v>78</v>
      </c>
      <c r="C79" s="1">
        <v>40621</v>
      </c>
      <c r="D79">
        <v>1</v>
      </c>
      <c r="E79">
        <v>0</v>
      </c>
      <c r="F79">
        <v>3</v>
      </c>
      <c r="G79">
        <v>6</v>
      </c>
      <c r="H79">
        <v>1</v>
      </c>
      <c r="I79">
        <v>1424</v>
      </c>
      <c r="J79">
        <v>1693</v>
      </c>
      <c r="K79" s="8">
        <v>3117</v>
      </c>
      <c r="L79">
        <v>19.372499999999999</v>
      </c>
      <c r="M79">
        <v>23.326250000000002</v>
      </c>
      <c r="N79">
        <v>37.916699999999999</v>
      </c>
      <c r="O79">
        <v>24.667189</v>
      </c>
      <c r="P79">
        <v>0</v>
      </c>
      <c r="Q79">
        <v>0</v>
      </c>
      <c r="R79">
        <f t="shared" si="28"/>
        <v>0</v>
      </c>
      <c r="S79">
        <f t="shared" si="29"/>
        <v>0</v>
      </c>
      <c r="T79">
        <f t="shared" si="30"/>
        <v>1</v>
      </c>
      <c r="U79">
        <f t="shared" si="31"/>
        <v>0</v>
      </c>
      <c r="V79">
        <f t="shared" si="32"/>
        <v>0</v>
      </c>
      <c r="W79">
        <f t="shared" si="33"/>
        <v>0</v>
      </c>
      <c r="X79">
        <f t="shared" si="34"/>
        <v>0</v>
      </c>
      <c r="Y79">
        <f t="shared" si="35"/>
        <v>0</v>
      </c>
      <c r="Z79">
        <f t="shared" si="36"/>
        <v>0</v>
      </c>
      <c r="AA79">
        <f t="shared" si="37"/>
        <v>0</v>
      </c>
      <c r="AB79">
        <f t="shared" si="38"/>
        <v>0</v>
      </c>
      <c r="AC79">
        <f t="shared" si="39"/>
        <v>0</v>
      </c>
      <c r="AD79">
        <f t="shared" si="40"/>
        <v>0</v>
      </c>
      <c r="AE79">
        <f t="shared" si="41"/>
        <v>0</v>
      </c>
      <c r="AF79">
        <f t="shared" si="42"/>
        <v>0</v>
      </c>
      <c r="AG79">
        <f t="shared" si="43"/>
        <v>0</v>
      </c>
      <c r="AH79">
        <f t="shared" si="44"/>
        <v>0</v>
      </c>
      <c r="AI79">
        <f t="shared" si="45"/>
        <v>0</v>
      </c>
      <c r="AJ79">
        <f t="shared" si="46"/>
        <v>1</v>
      </c>
      <c r="AK79">
        <f t="shared" si="47"/>
        <v>1</v>
      </c>
      <c r="AL79">
        <f t="shared" si="48"/>
        <v>0</v>
      </c>
      <c r="AM79">
        <f t="shared" si="49"/>
        <v>0</v>
      </c>
      <c r="AN79">
        <f t="shared" si="50"/>
        <v>1</v>
      </c>
      <c r="AO79">
        <f t="shared" si="51"/>
        <v>0</v>
      </c>
      <c r="AP79">
        <f t="shared" si="52"/>
        <v>1</v>
      </c>
      <c r="AQ79">
        <f t="shared" si="53"/>
        <v>0</v>
      </c>
      <c r="AR79">
        <f t="shared" si="54"/>
        <v>0</v>
      </c>
      <c r="AS79">
        <f t="shared" si="55"/>
        <v>0</v>
      </c>
    </row>
    <row r="80" spans="2:45" x14ac:dyDescent="0.3">
      <c r="B80">
        <v>79</v>
      </c>
      <c r="C80" s="1">
        <v>40622</v>
      </c>
      <c r="D80">
        <v>1</v>
      </c>
      <c r="E80">
        <v>0</v>
      </c>
      <c r="F80">
        <v>3</v>
      </c>
      <c r="G80">
        <v>0</v>
      </c>
      <c r="H80">
        <v>1</v>
      </c>
      <c r="I80">
        <v>1047</v>
      </c>
      <c r="J80">
        <v>1424</v>
      </c>
      <c r="K80" s="8">
        <v>2471</v>
      </c>
      <c r="L80">
        <v>13.6325</v>
      </c>
      <c r="M80">
        <v>16.287500000000001</v>
      </c>
      <c r="N80">
        <v>47.375</v>
      </c>
      <c r="O80">
        <v>13.917306999999999</v>
      </c>
      <c r="P80">
        <v>0</v>
      </c>
      <c r="Q80">
        <v>0</v>
      </c>
      <c r="R80">
        <f t="shared" si="28"/>
        <v>0</v>
      </c>
      <c r="S80">
        <f t="shared" si="29"/>
        <v>0</v>
      </c>
      <c r="T80">
        <f t="shared" si="30"/>
        <v>1</v>
      </c>
      <c r="U80">
        <f t="shared" si="31"/>
        <v>0</v>
      </c>
      <c r="V80">
        <f t="shared" si="32"/>
        <v>0</v>
      </c>
      <c r="W80">
        <f t="shared" si="33"/>
        <v>0</v>
      </c>
      <c r="X80">
        <f t="shared" si="34"/>
        <v>0</v>
      </c>
      <c r="Y80">
        <f t="shared" si="35"/>
        <v>0</v>
      </c>
      <c r="Z80">
        <f t="shared" si="36"/>
        <v>0</v>
      </c>
      <c r="AA80">
        <f t="shared" si="37"/>
        <v>0</v>
      </c>
      <c r="AB80">
        <f t="shared" si="38"/>
        <v>0</v>
      </c>
      <c r="AC80">
        <f t="shared" si="39"/>
        <v>0</v>
      </c>
      <c r="AD80">
        <f t="shared" si="40"/>
        <v>1</v>
      </c>
      <c r="AE80">
        <f t="shared" si="41"/>
        <v>0</v>
      </c>
      <c r="AF80">
        <f t="shared" si="42"/>
        <v>0</v>
      </c>
      <c r="AG80">
        <f t="shared" si="43"/>
        <v>0</v>
      </c>
      <c r="AH80">
        <f t="shared" si="44"/>
        <v>0</v>
      </c>
      <c r="AI80">
        <f t="shared" si="45"/>
        <v>0</v>
      </c>
      <c r="AJ80">
        <f t="shared" si="46"/>
        <v>0</v>
      </c>
      <c r="AK80">
        <f t="shared" si="47"/>
        <v>1</v>
      </c>
      <c r="AL80">
        <f t="shared" si="48"/>
        <v>0</v>
      </c>
      <c r="AM80">
        <f t="shared" si="49"/>
        <v>0</v>
      </c>
      <c r="AN80">
        <f t="shared" si="50"/>
        <v>1</v>
      </c>
      <c r="AO80">
        <f t="shared" si="51"/>
        <v>0</v>
      </c>
      <c r="AP80">
        <f t="shared" si="52"/>
        <v>1</v>
      </c>
      <c r="AQ80">
        <f t="shared" si="53"/>
        <v>0</v>
      </c>
      <c r="AR80">
        <f t="shared" si="54"/>
        <v>0</v>
      </c>
      <c r="AS80">
        <f t="shared" si="55"/>
        <v>0</v>
      </c>
    </row>
    <row r="81" spans="2:45" x14ac:dyDescent="0.3">
      <c r="B81">
        <v>80</v>
      </c>
      <c r="C81" s="1">
        <v>40623</v>
      </c>
      <c r="D81">
        <v>2</v>
      </c>
      <c r="E81">
        <v>0</v>
      </c>
      <c r="F81">
        <v>3</v>
      </c>
      <c r="G81">
        <v>1</v>
      </c>
      <c r="H81">
        <v>2</v>
      </c>
      <c r="I81">
        <v>401</v>
      </c>
      <c r="J81">
        <v>1676</v>
      </c>
      <c r="K81" s="8">
        <v>2077</v>
      </c>
      <c r="L81">
        <v>17.647835000000001</v>
      </c>
      <c r="M81">
        <v>20.486750000000001</v>
      </c>
      <c r="N81">
        <v>73.739099999999993</v>
      </c>
      <c r="O81">
        <v>19.348461</v>
      </c>
      <c r="P81">
        <v>0</v>
      </c>
      <c r="Q81">
        <v>1</v>
      </c>
      <c r="R81">
        <f t="shared" si="28"/>
        <v>0</v>
      </c>
      <c r="S81">
        <f t="shared" si="29"/>
        <v>0</v>
      </c>
      <c r="T81">
        <f t="shared" si="30"/>
        <v>1</v>
      </c>
      <c r="U81">
        <f t="shared" si="31"/>
        <v>0</v>
      </c>
      <c r="V81">
        <f t="shared" si="32"/>
        <v>0</v>
      </c>
      <c r="W81">
        <f t="shared" si="33"/>
        <v>0</v>
      </c>
      <c r="X81">
        <f t="shared" si="34"/>
        <v>0</v>
      </c>
      <c r="Y81">
        <f t="shared" si="35"/>
        <v>0</v>
      </c>
      <c r="Z81">
        <f t="shared" si="36"/>
        <v>0</v>
      </c>
      <c r="AA81">
        <f t="shared" si="37"/>
        <v>0</v>
      </c>
      <c r="AB81">
        <f t="shared" si="38"/>
        <v>0</v>
      </c>
      <c r="AC81">
        <f t="shared" si="39"/>
        <v>0</v>
      </c>
      <c r="AD81">
        <f t="shared" si="40"/>
        <v>0</v>
      </c>
      <c r="AE81">
        <f t="shared" si="41"/>
        <v>1</v>
      </c>
      <c r="AF81">
        <f t="shared" si="42"/>
        <v>0</v>
      </c>
      <c r="AG81">
        <f t="shared" si="43"/>
        <v>0</v>
      </c>
      <c r="AH81">
        <f t="shared" si="44"/>
        <v>0</v>
      </c>
      <c r="AI81">
        <f t="shared" si="45"/>
        <v>0</v>
      </c>
      <c r="AJ81">
        <f t="shared" si="46"/>
        <v>0</v>
      </c>
      <c r="AK81">
        <f t="shared" si="47"/>
        <v>0</v>
      </c>
      <c r="AL81">
        <f t="shared" si="48"/>
        <v>1</v>
      </c>
      <c r="AM81">
        <f t="shared" si="49"/>
        <v>0</v>
      </c>
      <c r="AN81">
        <f t="shared" si="50"/>
        <v>1</v>
      </c>
      <c r="AO81">
        <f t="shared" si="51"/>
        <v>0</v>
      </c>
      <c r="AP81">
        <f t="shared" si="52"/>
        <v>0</v>
      </c>
      <c r="AQ81">
        <f t="shared" si="53"/>
        <v>1</v>
      </c>
      <c r="AR81">
        <f t="shared" si="54"/>
        <v>0</v>
      </c>
      <c r="AS81">
        <f t="shared" si="55"/>
        <v>0</v>
      </c>
    </row>
    <row r="82" spans="2:45" x14ac:dyDescent="0.3">
      <c r="B82">
        <v>81</v>
      </c>
      <c r="C82" s="1">
        <v>40624</v>
      </c>
      <c r="D82">
        <v>2</v>
      </c>
      <c r="E82">
        <v>0</v>
      </c>
      <c r="F82">
        <v>3</v>
      </c>
      <c r="G82">
        <v>2</v>
      </c>
      <c r="H82">
        <v>1</v>
      </c>
      <c r="I82">
        <v>460</v>
      </c>
      <c r="J82">
        <v>2243</v>
      </c>
      <c r="K82" s="8">
        <v>2703</v>
      </c>
      <c r="L82">
        <v>18.108346999999998</v>
      </c>
      <c r="M82">
        <v>22.0321</v>
      </c>
      <c r="N82">
        <v>62.458300000000001</v>
      </c>
      <c r="O82">
        <v>15.125249999999999</v>
      </c>
      <c r="P82">
        <v>0</v>
      </c>
      <c r="Q82">
        <v>1</v>
      </c>
      <c r="R82">
        <f t="shared" si="28"/>
        <v>0</v>
      </c>
      <c r="S82">
        <f t="shared" si="29"/>
        <v>0</v>
      </c>
      <c r="T82">
        <f t="shared" si="30"/>
        <v>1</v>
      </c>
      <c r="U82">
        <f t="shared" si="31"/>
        <v>0</v>
      </c>
      <c r="V82">
        <f t="shared" si="32"/>
        <v>0</v>
      </c>
      <c r="W82">
        <f t="shared" si="33"/>
        <v>0</v>
      </c>
      <c r="X82">
        <f t="shared" si="34"/>
        <v>0</v>
      </c>
      <c r="Y82">
        <f t="shared" si="35"/>
        <v>0</v>
      </c>
      <c r="Z82">
        <f t="shared" si="36"/>
        <v>0</v>
      </c>
      <c r="AA82">
        <f t="shared" si="37"/>
        <v>0</v>
      </c>
      <c r="AB82">
        <f t="shared" si="38"/>
        <v>0</v>
      </c>
      <c r="AC82">
        <f t="shared" si="39"/>
        <v>0</v>
      </c>
      <c r="AD82">
        <f t="shared" si="40"/>
        <v>0</v>
      </c>
      <c r="AE82">
        <f t="shared" si="41"/>
        <v>0</v>
      </c>
      <c r="AF82">
        <f t="shared" si="42"/>
        <v>1</v>
      </c>
      <c r="AG82">
        <f t="shared" si="43"/>
        <v>0</v>
      </c>
      <c r="AH82">
        <f t="shared" si="44"/>
        <v>0</v>
      </c>
      <c r="AI82">
        <f t="shared" si="45"/>
        <v>0</v>
      </c>
      <c r="AJ82">
        <f t="shared" si="46"/>
        <v>0</v>
      </c>
      <c r="AK82">
        <f t="shared" si="47"/>
        <v>1</v>
      </c>
      <c r="AL82">
        <f t="shared" si="48"/>
        <v>0</v>
      </c>
      <c r="AM82">
        <f t="shared" si="49"/>
        <v>0</v>
      </c>
      <c r="AN82">
        <f t="shared" si="50"/>
        <v>1</v>
      </c>
      <c r="AO82">
        <f t="shared" si="51"/>
        <v>0</v>
      </c>
      <c r="AP82">
        <f t="shared" si="52"/>
        <v>0</v>
      </c>
      <c r="AQ82">
        <f t="shared" si="53"/>
        <v>1</v>
      </c>
      <c r="AR82">
        <f t="shared" si="54"/>
        <v>0</v>
      </c>
      <c r="AS82">
        <f t="shared" si="55"/>
        <v>0</v>
      </c>
    </row>
    <row r="83" spans="2:45" x14ac:dyDescent="0.3">
      <c r="B83">
        <v>82</v>
      </c>
      <c r="C83" s="1">
        <v>40625</v>
      </c>
      <c r="D83">
        <v>2</v>
      </c>
      <c r="E83">
        <v>0</v>
      </c>
      <c r="F83">
        <v>3</v>
      </c>
      <c r="G83">
        <v>3</v>
      </c>
      <c r="H83">
        <v>2</v>
      </c>
      <c r="I83">
        <v>203</v>
      </c>
      <c r="J83">
        <v>1918</v>
      </c>
      <c r="K83" s="8">
        <v>2121</v>
      </c>
      <c r="L83">
        <v>14.225237</v>
      </c>
      <c r="M83">
        <v>16.89695</v>
      </c>
      <c r="N83">
        <v>83.956500000000005</v>
      </c>
      <c r="O83">
        <v>15.695487</v>
      </c>
      <c r="P83">
        <v>0</v>
      </c>
      <c r="Q83">
        <v>1</v>
      </c>
      <c r="R83">
        <f t="shared" si="28"/>
        <v>0</v>
      </c>
      <c r="S83">
        <f t="shared" si="29"/>
        <v>0</v>
      </c>
      <c r="T83">
        <f t="shared" si="30"/>
        <v>1</v>
      </c>
      <c r="U83">
        <f t="shared" si="31"/>
        <v>0</v>
      </c>
      <c r="V83">
        <f t="shared" si="32"/>
        <v>0</v>
      </c>
      <c r="W83">
        <f t="shared" si="33"/>
        <v>0</v>
      </c>
      <c r="X83">
        <f t="shared" si="34"/>
        <v>0</v>
      </c>
      <c r="Y83">
        <f t="shared" si="35"/>
        <v>0</v>
      </c>
      <c r="Z83">
        <f t="shared" si="36"/>
        <v>0</v>
      </c>
      <c r="AA83">
        <f t="shared" si="37"/>
        <v>0</v>
      </c>
      <c r="AB83">
        <f t="shared" si="38"/>
        <v>0</v>
      </c>
      <c r="AC83">
        <f t="shared" si="39"/>
        <v>0</v>
      </c>
      <c r="AD83">
        <f t="shared" si="40"/>
        <v>0</v>
      </c>
      <c r="AE83">
        <f t="shared" si="41"/>
        <v>0</v>
      </c>
      <c r="AF83">
        <f t="shared" si="42"/>
        <v>0</v>
      </c>
      <c r="AG83">
        <f t="shared" si="43"/>
        <v>1</v>
      </c>
      <c r="AH83">
        <f t="shared" si="44"/>
        <v>0</v>
      </c>
      <c r="AI83">
        <f t="shared" si="45"/>
        <v>0</v>
      </c>
      <c r="AJ83">
        <f t="shared" si="46"/>
        <v>0</v>
      </c>
      <c r="AK83">
        <f t="shared" si="47"/>
        <v>0</v>
      </c>
      <c r="AL83">
        <f t="shared" si="48"/>
        <v>1</v>
      </c>
      <c r="AM83">
        <f t="shared" si="49"/>
        <v>0</v>
      </c>
      <c r="AN83">
        <f t="shared" si="50"/>
        <v>1</v>
      </c>
      <c r="AO83">
        <f t="shared" si="51"/>
        <v>0</v>
      </c>
      <c r="AP83">
        <f t="shared" si="52"/>
        <v>0</v>
      </c>
      <c r="AQ83">
        <f t="shared" si="53"/>
        <v>1</v>
      </c>
      <c r="AR83">
        <f t="shared" si="54"/>
        <v>0</v>
      </c>
      <c r="AS83">
        <f t="shared" si="55"/>
        <v>0</v>
      </c>
    </row>
    <row r="84" spans="2:45" x14ac:dyDescent="0.3">
      <c r="B84">
        <v>83</v>
      </c>
      <c r="C84" s="1">
        <v>40626</v>
      </c>
      <c r="D84">
        <v>2</v>
      </c>
      <c r="E84">
        <v>0</v>
      </c>
      <c r="F84">
        <v>3</v>
      </c>
      <c r="G84">
        <v>4</v>
      </c>
      <c r="H84">
        <v>2</v>
      </c>
      <c r="I84">
        <v>166</v>
      </c>
      <c r="J84">
        <v>1699</v>
      </c>
      <c r="K84" s="8">
        <v>1865</v>
      </c>
      <c r="L84">
        <v>11.685</v>
      </c>
      <c r="M84">
        <v>13.541650000000001</v>
      </c>
      <c r="N84">
        <v>80.583299999999994</v>
      </c>
      <c r="O84">
        <v>16.333729000000002</v>
      </c>
      <c r="P84">
        <v>0</v>
      </c>
      <c r="Q84">
        <v>1</v>
      </c>
      <c r="R84">
        <f t="shared" si="28"/>
        <v>0</v>
      </c>
      <c r="S84">
        <f t="shared" si="29"/>
        <v>0</v>
      </c>
      <c r="T84">
        <f t="shared" si="30"/>
        <v>1</v>
      </c>
      <c r="U84">
        <f t="shared" si="31"/>
        <v>0</v>
      </c>
      <c r="V84">
        <f t="shared" si="32"/>
        <v>0</v>
      </c>
      <c r="W84">
        <f t="shared" si="33"/>
        <v>0</v>
      </c>
      <c r="X84">
        <f t="shared" si="34"/>
        <v>0</v>
      </c>
      <c r="Y84">
        <f t="shared" si="35"/>
        <v>0</v>
      </c>
      <c r="Z84">
        <f t="shared" si="36"/>
        <v>0</v>
      </c>
      <c r="AA84">
        <f t="shared" si="37"/>
        <v>0</v>
      </c>
      <c r="AB84">
        <f t="shared" si="38"/>
        <v>0</v>
      </c>
      <c r="AC84">
        <f t="shared" si="39"/>
        <v>0</v>
      </c>
      <c r="AD84">
        <f t="shared" si="40"/>
        <v>0</v>
      </c>
      <c r="AE84">
        <f t="shared" si="41"/>
        <v>0</v>
      </c>
      <c r="AF84">
        <f t="shared" si="42"/>
        <v>0</v>
      </c>
      <c r="AG84">
        <f t="shared" si="43"/>
        <v>0</v>
      </c>
      <c r="AH84">
        <f t="shared" si="44"/>
        <v>1</v>
      </c>
      <c r="AI84">
        <f t="shared" si="45"/>
        <v>0</v>
      </c>
      <c r="AJ84">
        <f t="shared" si="46"/>
        <v>0</v>
      </c>
      <c r="AK84">
        <f t="shared" si="47"/>
        <v>0</v>
      </c>
      <c r="AL84">
        <f t="shared" si="48"/>
        <v>1</v>
      </c>
      <c r="AM84">
        <f t="shared" si="49"/>
        <v>0</v>
      </c>
      <c r="AN84">
        <f t="shared" si="50"/>
        <v>1</v>
      </c>
      <c r="AO84">
        <f t="shared" si="51"/>
        <v>0</v>
      </c>
      <c r="AP84">
        <f t="shared" si="52"/>
        <v>0</v>
      </c>
      <c r="AQ84">
        <f t="shared" si="53"/>
        <v>1</v>
      </c>
      <c r="AR84">
        <f t="shared" si="54"/>
        <v>0</v>
      </c>
      <c r="AS84">
        <f t="shared" si="55"/>
        <v>0</v>
      </c>
    </row>
    <row r="85" spans="2:45" x14ac:dyDescent="0.3">
      <c r="B85">
        <v>84</v>
      </c>
      <c r="C85" s="1">
        <v>40627</v>
      </c>
      <c r="D85">
        <v>2</v>
      </c>
      <c r="E85">
        <v>0</v>
      </c>
      <c r="F85">
        <v>3</v>
      </c>
      <c r="G85">
        <v>5</v>
      </c>
      <c r="H85">
        <v>1</v>
      </c>
      <c r="I85">
        <v>300</v>
      </c>
      <c r="J85">
        <v>1910</v>
      </c>
      <c r="K85" s="8">
        <v>2210</v>
      </c>
      <c r="L85">
        <v>10.830847</v>
      </c>
      <c r="M85">
        <v>12.8156</v>
      </c>
      <c r="N85">
        <v>49.5</v>
      </c>
      <c r="O85">
        <v>15.458575</v>
      </c>
      <c r="P85">
        <v>0</v>
      </c>
      <c r="Q85">
        <v>1</v>
      </c>
      <c r="R85">
        <f t="shared" si="28"/>
        <v>0</v>
      </c>
      <c r="S85">
        <f t="shared" si="29"/>
        <v>0</v>
      </c>
      <c r="T85">
        <f t="shared" si="30"/>
        <v>1</v>
      </c>
      <c r="U85">
        <f t="shared" si="31"/>
        <v>0</v>
      </c>
      <c r="V85">
        <f t="shared" si="32"/>
        <v>0</v>
      </c>
      <c r="W85">
        <f t="shared" si="33"/>
        <v>0</v>
      </c>
      <c r="X85">
        <f t="shared" si="34"/>
        <v>0</v>
      </c>
      <c r="Y85">
        <f t="shared" si="35"/>
        <v>0</v>
      </c>
      <c r="Z85">
        <f t="shared" si="36"/>
        <v>0</v>
      </c>
      <c r="AA85">
        <f t="shared" si="37"/>
        <v>0</v>
      </c>
      <c r="AB85">
        <f t="shared" si="38"/>
        <v>0</v>
      </c>
      <c r="AC85">
        <f t="shared" si="39"/>
        <v>0</v>
      </c>
      <c r="AD85">
        <f t="shared" si="40"/>
        <v>0</v>
      </c>
      <c r="AE85">
        <f t="shared" si="41"/>
        <v>0</v>
      </c>
      <c r="AF85">
        <f t="shared" si="42"/>
        <v>0</v>
      </c>
      <c r="AG85">
        <f t="shared" si="43"/>
        <v>0</v>
      </c>
      <c r="AH85">
        <f t="shared" si="44"/>
        <v>0</v>
      </c>
      <c r="AI85">
        <f t="shared" si="45"/>
        <v>1</v>
      </c>
      <c r="AJ85">
        <f t="shared" si="46"/>
        <v>0</v>
      </c>
      <c r="AK85">
        <f t="shared" si="47"/>
        <v>1</v>
      </c>
      <c r="AL85">
        <f t="shared" si="48"/>
        <v>0</v>
      </c>
      <c r="AM85">
        <f t="shared" si="49"/>
        <v>0</v>
      </c>
      <c r="AN85">
        <f t="shared" si="50"/>
        <v>1</v>
      </c>
      <c r="AO85">
        <f t="shared" si="51"/>
        <v>0</v>
      </c>
      <c r="AP85">
        <f t="shared" si="52"/>
        <v>0</v>
      </c>
      <c r="AQ85">
        <f t="shared" si="53"/>
        <v>1</v>
      </c>
      <c r="AR85">
        <f t="shared" si="54"/>
        <v>0</v>
      </c>
      <c r="AS85">
        <f t="shared" si="55"/>
        <v>0</v>
      </c>
    </row>
    <row r="86" spans="2:45" x14ac:dyDescent="0.3">
      <c r="B86">
        <v>85</v>
      </c>
      <c r="C86" s="1">
        <v>40628</v>
      </c>
      <c r="D86">
        <v>2</v>
      </c>
      <c r="E86">
        <v>0</v>
      </c>
      <c r="F86">
        <v>3</v>
      </c>
      <c r="G86">
        <v>6</v>
      </c>
      <c r="H86">
        <v>1</v>
      </c>
      <c r="I86">
        <v>981</v>
      </c>
      <c r="J86">
        <v>1515</v>
      </c>
      <c r="K86" s="8">
        <v>2496</v>
      </c>
      <c r="L86">
        <v>10.899153</v>
      </c>
      <c r="M86">
        <v>12.878550000000001</v>
      </c>
      <c r="N86">
        <v>39.416699999999999</v>
      </c>
      <c r="O86">
        <v>14.041257</v>
      </c>
      <c r="P86">
        <v>0</v>
      </c>
      <c r="Q86">
        <v>0</v>
      </c>
      <c r="R86">
        <f t="shared" si="28"/>
        <v>0</v>
      </c>
      <c r="S86">
        <f t="shared" si="29"/>
        <v>0</v>
      </c>
      <c r="T86">
        <f t="shared" si="30"/>
        <v>1</v>
      </c>
      <c r="U86">
        <f t="shared" si="31"/>
        <v>0</v>
      </c>
      <c r="V86">
        <f t="shared" si="32"/>
        <v>0</v>
      </c>
      <c r="W86">
        <f t="shared" si="33"/>
        <v>0</v>
      </c>
      <c r="X86">
        <f t="shared" si="34"/>
        <v>0</v>
      </c>
      <c r="Y86">
        <f t="shared" si="35"/>
        <v>0</v>
      </c>
      <c r="Z86">
        <f t="shared" si="36"/>
        <v>0</v>
      </c>
      <c r="AA86">
        <f t="shared" si="37"/>
        <v>0</v>
      </c>
      <c r="AB86">
        <f t="shared" si="38"/>
        <v>0</v>
      </c>
      <c r="AC86">
        <f t="shared" si="39"/>
        <v>0</v>
      </c>
      <c r="AD86">
        <f t="shared" si="40"/>
        <v>0</v>
      </c>
      <c r="AE86">
        <f t="shared" si="41"/>
        <v>0</v>
      </c>
      <c r="AF86">
        <f t="shared" si="42"/>
        <v>0</v>
      </c>
      <c r="AG86">
        <f t="shared" si="43"/>
        <v>0</v>
      </c>
      <c r="AH86">
        <f t="shared" si="44"/>
        <v>0</v>
      </c>
      <c r="AI86">
        <f t="shared" si="45"/>
        <v>0</v>
      </c>
      <c r="AJ86">
        <f t="shared" si="46"/>
        <v>1</v>
      </c>
      <c r="AK86">
        <f t="shared" si="47"/>
        <v>1</v>
      </c>
      <c r="AL86">
        <f t="shared" si="48"/>
        <v>0</v>
      </c>
      <c r="AM86">
        <f t="shared" si="49"/>
        <v>0</v>
      </c>
      <c r="AN86">
        <f t="shared" si="50"/>
        <v>1</v>
      </c>
      <c r="AO86">
        <f t="shared" si="51"/>
        <v>0</v>
      </c>
      <c r="AP86">
        <f t="shared" si="52"/>
        <v>0</v>
      </c>
      <c r="AQ86">
        <f t="shared" si="53"/>
        <v>1</v>
      </c>
      <c r="AR86">
        <f t="shared" si="54"/>
        <v>0</v>
      </c>
      <c r="AS86">
        <f t="shared" si="55"/>
        <v>0</v>
      </c>
    </row>
    <row r="87" spans="2:45" x14ac:dyDescent="0.3">
      <c r="B87">
        <v>86</v>
      </c>
      <c r="C87" s="1">
        <v>40629</v>
      </c>
      <c r="D87">
        <v>2</v>
      </c>
      <c r="E87">
        <v>0</v>
      </c>
      <c r="F87">
        <v>3</v>
      </c>
      <c r="G87">
        <v>0</v>
      </c>
      <c r="H87">
        <v>2</v>
      </c>
      <c r="I87">
        <v>472</v>
      </c>
      <c r="J87">
        <v>1221</v>
      </c>
      <c r="K87" s="8">
        <v>1693</v>
      </c>
      <c r="L87">
        <v>10.374763</v>
      </c>
      <c r="M87">
        <v>12.51695</v>
      </c>
      <c r="N87">
        <v>49.391300000000001</v>
      </c>
      <c r="O87">
        <v>12.348100000000001</v>
      </c>
      <c r="P87">
        <v>0</v>
      </c>
      <c r="Q87">
        <v>0</v>
      </c>
      <c r="R87">
        <f t="shared" si="28"/>
        <v>0</v>
      </c>
      <c r="S87">
        <f t="shared" si="29"/>
        <v>0</v>
      </c>
      <c r="T87">
        <f t="shared" si="30"/>
        <v>1</v>
      </c>
      <c r="U87">
        <f t="shared" si="31"/>
        <v>0</v>
      </c>
      <c r="V87">
        <f t="shared" si="32"/>
        <v>0</v>
      </c>
      <c r="W87">
        <f t="shared" si="33"/>
        <v>0</v>
      </c>
      <c r="X87">
        <f t="shared" si="34"/>
        <v>0</v>
      </c>
      <c r="Y87">
        <f t="shared" si="35"/>
        <v>0</v>
      </c>
      <c r="Z87">
        <f t="shared" si="36"/>
        <v>0</v>
      </c>
      <c r="AA87">
        <f t="shared" si="37"/>
        <v>0</v>
      </c>
      <c r="AB87">
        <f t="shared" si="38"/>
        <v>0</v>
      </c>
      <c r="AC87">
        <f t="shared" si="39"/>
        <v>0</v>
      </c>
      <c r="AD87">
        <f t="shared" si="40"/>
        <v>1</v>
      </c>
      <c r="AE87">
        <f t="shared" si="41"/>
        <v>0</v>
      </c>
      <c r="AF87">
        <f t="shared" si="42"/>
        <v>0</v>
      </c>
      <c r="AG87">
        <f t="shared" si="43"/>
        <v>0</v>
      </c>
      <c r="AH87">
        <f t="shared" si="44"/>
        <v>0</v>
      </c>
      <c r="AI87">
        <f t="shared" si="45"/>
        <v>0</v>
      </c>
      <c r="AJ87">
        <f t="shared" si="46"/>
        <v>0</v>
      </c>
      <c r="AK87">
        <f t="shared" si="47"/>
        <v>0</v>
      </c>
      <c r="AL87">
        <f t="shared" si="48"/>
        <v>1</v>
      </c>
      <c r="AM87">
        <f t="shared" si="49"/>
        <v>0</v>
      </c>
      <c r="AN87">
        <f t="shared" si="50"/>
        <v>1</v>
      </c>
      <c r="AO87">
        <f t="shared" si="51"/>
        <v>0</v>
      </c>
      <c r="AP87">
        <f t="shared" si="52"/>
        <v>0</v>
      </c>
      <c r="AQ87">
        <f t="shared" si="53"/>
        <v>1</v>
      </c>
      <c r="AR87">
        <f t="shared" si="54"/>
        <v>0</v>
      </c>
      <c r="AS87">
        <f t="shared" si="55"/>
        <v>0</v>
      </c>
    </row>
    <row r="88" spans="2:45" x14ac:dyDescent="0.3">
      <c r="B88">
        <v>87</v>
      </c>
      <c r="C88" s="1">
        <v>40630</v>
      </c>
      <c r="D88">
        <v>2</v>
      </c>
      <c r="E88">
        <v>0</v>
      </c>
      <c r="F88">
        <v>3</v>
      </c>
      <c r="G88">
        <v>1</v>
      </c>
      <c r="H88">
        <v>1</v>
      </c>
      <c r="I88">
        <v>222</v>
      </c>
      <c r="J88">
        <v>1806</v>
      </c>
      <c r="K88" s="8">
        <v>2028</v>
      </c>
      <c r="L88">
        <v>10.838267999999999</v>
      </c>
      <c r="M88">
        <v>12.8787</v>
      </c>
      <c r="N88">
        <v>30.217400000000001</v>
      </c>
      <c r="O88">
        <v>14.217668</v>
      </c>
      <c r="P88">
        <v>0</v>
      </c>
      <c r="Q88">
        <v>1</v>
      </c>
      <c r="R88">
        <f t="shared" si="28"/>
        <v>0</v>
      </c>
      <c r="S88">
        <f t="shared" si="29"/>
        <v>0</v>
      </c>
      <c r="T88">
        <f t="shared" si="30"/>
        <v>1</v>
      </c>
      <c r="U88">
        <f t="shared" si="31"/>
        <v>0</v>
      </c>
      <c r="V88">
        <f t="shared" si="32"/>
        <v>0</v>
      </c>
      <c r="W88">
        <f t="shared" si="33"/>
        <v>0</v>
      </c>
      <c r="X88">
        <f t="shared" si="34"/>
        <v>0</v>
      </c>
      <c r="Y88">
        <f t="shared" si="35"/>
        <v>0</v>
      </c>
      <c r="Z88">
        <f t="shared" si="36"/>
        <v>0</v>
      </c>
      <c r="AA88">
        <f t="shared" si="37"/>
        <v>0</v>
      </c>
      <c r="AB88">
        <f t="shared" si="38"/>
        <v>0</v>
      </c>
      <c r="AC88">
        <f t="shared" si="39"/>
        <v>0</v>
      </c>
      <c r="AD88">
        <f t="shared" si="40"/>
        <v>0</v>
      </c>
      <c r="AE88">
        <f t="shared" si="41"/>
        <v>1</v>
      </c>
      <c r="AF88">
        <f t="shared" si="42"/>
        <v>0</v>
      </c>
      <c r="AG88">
        <f t="shared" si="43"/>
        <v>0</v>
      </c>
      <c r="AH88">
        <f t="shared" si="44"/>
        <v>0</v>
      </c>
      <c r="AI88">
        <f t="shared" si="45"/>
        <v>0</v>
      </c>
      <c r="AJ88">
        <f t="shared" si="46"/>
        <v>0</v>
      </c>
      <c r="AK88">
        <f t="shared" si="47"/>
        <v>1</v>
      </c>
      <c r="AL88">
        <f t="shared" si="48"/>
        <v>0</v>
      </c>
      <c r="AM88">
        <f t="shared" si="49"/>
        <v>0</v>
      </c>
      <c r="AN88">
        <f t="shared" si="50"/>
        <v>1</v>
      </c>
      <c r="AO88">
        <f t="shared" si="51"/>
        <v>0</v>
      </c>
      <c r="AP88">
        <f t="shared" si="52"/>
        <v>0</v>
      </c>
      <c r="AQ88">
        <f t="shared" si="53"/>
        <v>1</v>
      </c>
      <c r="AR88">
        <f t="shared" si="54"/>
        <v>0</v>
      </c>
      <c r="AS88">
        <f t="shared" si="55"/>
        <v>0</v>
      </c>
    </row>
    <row r="89" spans="2:45" x14ac:dyDescent="0.3">
      <c r="B89">
        <v>88</v>
      </c>
      <c r="C89" s="1">
        <v>40631</v>
      </c>
      <c r="D89">
        <v>2</v>
      </c>
      <c r="E89">
        <v>0</v>
      </c>
      <c r="F89">
        <v>3</v>
      </c>
      <c r="G89">
        <v>2</v>
      </c>
      <c r="H89">
        <v>1</v>
      </c>
      <c r="I89">
        <v>317</v>
      </c>
      <c r="J89">
        <v>2108</v>
      </c>
      <c r="K89" s="8">
        <v>2425</v>
      </c>
      <c r="L89">
        <v>12.4025</v>
      </c>
      <c r="M89">
        <v>14.6454</v>
      </c>
      <c r="N89">
        <v>31.416699999999999</v>
      </c>
      <c r="O89">
        <v>15.208731999999999</v>
      </c>
      <c r="P89">
        <v>0</v>
      </c>
      <c r="Q89">
        <v>1</v>
      </c>
      <c r="R89">
        <f t="shared" si="28"/>
        <v>0</v>
      </c>
      <c r="S89">
        <f t="shared" si="29"/>
        <v>0</v>
      </c>
      <c r="T89">
        <f t="shared" si="30"/>
        <v>1</v>
      </c>
      <c r="U89">
        <f t="shared" si="31"/>
        <v>0</v>
      </c>
      <c r="V89">
        <f t="shared" si="32"/>
        <v>0</v>
      </c>
      <c r="W89">
        <f t="shared" si="33"/>
        <v>0</v>
      </c>
      <c r="X89">
        <f t="shared" si="34"/>
        <v>0</v>
      </c>
      <c r="Y89">
        <f t="shared" si="35"/>
        <v>0</v>
      </c>
      <c r="Z89">
        <f t="shared" si="36"/>
        <v>0</v>
      </c>
      <c r="AA89">
        <f t="shared" si="37"/>
        <v>0</v>
      </c>
      <c r="AB89">
        <f t="shared" si="38"/>
        <v>0</v>
      </c>
      <c r="AC89">
        <f t="shared" si="39"/>
        <v>0</v>
      </c>
      <c r="AD89">
        <f t="shared" si="40"/>
        <v>0</v>
      </c>
      <c r="AE89">
        <f t="shared" si="41"/>
        <v>0</v>
      </c>
      <c r="AF89">
        <f t="shared" si="42"/>
        <v>1</v>
      </c>
      <c r="AG89">
        <f t="shared" si="43"/>
        <v>0</v>
      </c>
      <c r="AH89">
        <f t="shared" si="44"/>
        <v>0</v>
      </c>
      <c r="AI89">
        <f t="shared" si="45"/>
        <v>0</v>
      </c>
      <c r="AJ89">
        <f t="shared" si="46"/>
        <v>0</v>
      </c>
      <c r="AK89">
        <f t="shared" si="47"/>
        <v>1</v>
      </c>
      <c r="AL89">
        <f t="shared" si="48"/>
        <v>0</v>
      </c>
      <c r="AM89">
        <f t="shared" si="49"/>
        <v>0</v>
      </c>
      <c r="AN89">
        <f t="shared" si="50"/>
        <v>1</v>
      </c>
      <c r="AO89">
        <f t="shared" si="51"/>
        <v>0</v>
      </c>
      <c r="AP89">
        <f t="shared" si="52"/>
        <v>0</v>
      </c>
      <c r="AQ89">
        <f t="shared" si="53"/>
        <v>1</v>
      </c>
      <c r="AR89">
        <f t="shared" si="54"/>
        <v>0</v>
      </c>
      <c r="AS89">
        <f t="shared" si="55"/>
        <v>0</v>
      </c>
    </row>
    <row r="90" spans="2:45" x14ac:dyDescent="0.3">
      <c r="B90">
        <v>89</v>
      </c>
      <c r="C90" s="1">
        <v>40632</v>
      </c>
      <c r="D90">
        <v>2</v>
      </c>
      <c r="E90">
        <v>0</v>
      </c>
      <c r="F90">
        <v>3</v>
      </c>
      <c r="G90">
        <v>3</v>
      </c>
      <c r="H90">
        <v>2</v>
      </c>
      <c r="I90">
        <v>168</v>
      </c>
      <c r="J90">
        <v>1368</v>
      </c>
      <c r="K90" s="8">
        <v>1536</v>
      </c>
      <c r="L90">
        <v>12.3</v>
      </c>
      <c r="M90">
        <v>14.8675</v>
      </c>
      <c r="N90">
        <v>64.666700000000006</v>
      </c>
      <c r="O90">
        <v>11.583496</v>
      </c>
      <c r="P90">
        <v>0</v>
      </c>
      <c r="Q90">
        <v>1</v>
      </c>
      <c r="R90">
        <f t="shared" si="28"/>
        <v>0</v>
      </c>
      <c r="S90">
        <f t="shared" si="29"/>
        <v>0</v>
      </c>
      <c r="T90">
        <f t="shared" si="30"/>
        <v>1</v>
      </c>
      <c r="U90">
        <f t="shared" si="31"/>
        <v>0</v>
      </c>
      <c r="V90">
        <f t="shared" si="32"/>
        <v>0</v>
      </c>
      <c r="W90">
        <f t="shared" si="33"/>
        <v>0</v>
      </c>
      <c r="X90">
        <f t="shared" si="34"/>
        <v>0</v>
      </c>
      <c r="Y90">
        <f t="shared" si="35"/>
        <v>0</v>
      </c>
      <c r="Z90">
        <f t="shared" si="36"/>
        <v>0</v>
      </c>
      <c r="AA90">
        <f t="shared" si="37"/>
        <v>0</v>
      </c>
      <c r="AB90">
        <f t="shared" si="38"/>
        <v>0</v>
      </c>
      <c r="AC90">
        <f t="shared" si="39"/>
        <v>0</v>
      </c>
      <c r="AD90">
        <f t="shared" si="40"/>
        <v>0</v>
      </c>
      <c r="AE90">
        <f t="shared" si="41"/>
        <v>0</v>
      </c>
      <c r="AF90">
        <f t="shared" si="42"/>
        <v>0</v>
      </c>
      <c r="AG90">
        <f t="shared" si="43"/>
        <v>1</v>
      </c>
      <c r="AH90">
        <f t="shared" si="44"/>
        <v>0</v>
      </c>
      <c r="AI90">
        <f t="shared" si="45"/>
        <v>0</v>
      </c>
      <c r="AJ90">
        <f t="shared" si="46"/>
        <v>0</v>
      </c>
      <c r="AK90">
        <f t="shared" si="47"/>
        <v>0</v>
      </c>
      <c r="AL90">
        <f t="shared" si="48"/>
        <v>1</v>
      </c>
      <c r="AM90">
        <f t="shared" si="49"/>
        <v>0</v>
      </c>
      <c r="AN90">
        <f t="shared" si="50"/>
        <v>1</v>
      </c>
      <c r="AO90">
        <f t="shared" si="51"/>
        <v>0</v>
      </c>
      <c r="AP90">
        <f t="shared" si="52"/>
        <v>0</v>
      </c>
      <c r="AQ90">
        <f t="shared" si="53"/>
        <v>1</v>
      </c>
      <c r="AR90">
        <f t="shared" si="54"/>
        <v>0</v>
      </c>
      <c r="AS90">
        <f t="shared" si="55"/>
        <v>0</v>
      </c>
    </row>
    <row r="91" spans="2:45" x14ac:dyDescent="0.3">
      <c r="B91">
        <v>90</v>
      </c>
      <c r="C91" s="1">
        <v>40633</v>
      </c>
      <c r="D91">
        <v>2</v>
      </c>
      <c r="E91">
        <v>0</v>
      </c>
      <c r="F91">
        <v>3</v>
      </c>
      <c r="G91">
        <v>4</v>
      </c>
      <c r="H91">
        <v>3</v>
      </c>
      <c r="I91">
        <v>179</v>
      </c>
      <c r="J91">
        <v>1506</v>
      </c>
      <c r="K91" s="8">
        <v>1685</v>
      </c>
      <c r="L91">
        <v>11.001652999999999</v>
      </c>
      <c r="M91">
        <v>12.87875</v>
      </c>
      <c r="N91">
        <v>91.833299999999994</v>
      </c>
      <c r="O91">
        <v>14.582281999999999</v>
      </c>
      <c r="P91">
        <v>0</v>
      </c>
      <c r="Q91">
        <v>1</v>
      </c>
      <c r="R91">
        <f t="shared" si="28"/>
        <v>0</v>
      </c>
      <c r="S91">
        <f t="shared" si="29"/>
        <v>0</v>
      </c>
      <c r="T91">
        <f t="shared" si="30"/>
        <v>1</v>
      </c>
      <c r="U91">
        <f t="shared" si="31"/>
        <v>0</v>
      </c>
      <c r="V91">
        <f t="shared" si="32"/>
        <v>0</v>
      </c>
      <c r="W91">
        <f t="shared" si="33"/>
        <v>0</v>
      </c>
      <c r="X91">
        <f t="shared" si="34"/>
        <v>0</v>
      </c>
      <c r="Y91">
        <f t="shared" si="35"/>
        <v>0</v>
      </c>
      <c r="Z91">
        <f t="shared" si="36"/>
        <v>0</v>
      </c>
      <c r="AA91">
        <f t="shared" si="37"/>
        <v>0</v>
      </c>
      <c r="AB91">
        <f t="shared" si="38"/>
        <v>0</v>
      </c>
      <c r="AC91">
        <f t="shared" si="39"/>
        <v>0</v>
      </c>
      <c r="AD91">
        <f t="shared" si="40"/>
        <v>0</v>
      </c>
      <c r="AE91">
        <f t="shared" si="41"/>
        <v>0</v>
      </c>
      <c r="AF91">
        <f t="shared" si="42"/>
        <v>0</v>
      </c>
      <c r="AG91">
        <f t="shared" si="43"/>
        <v>0</v>
      </c>
      <c r="AH91">
        <f t="shared" si="44"/>
        <v>1</v>
      </c>
      <c r="AI91">
        <f t="shared" si="45"/>
        <v>0</v>
      </c>
      <c r="AJ91">
        <f t="shared" si="46"/>
        <v>0</v>
      </c>
      <c r="AK91">
        <f t="shared" si="47"/>
        <v>0</v>
      </c>
      <c r="AL91">
        <f t="shared" si="48"/>
        <v>0</v>
      </c>
      <c r="AM91">
        <f t="shared" si="49"/>
        <v>1</v>
      </c>
      <c r="AN91">
        <f t="shared" si="50"/>
        <v>1</v>
      </c>
      <c r="AO91">
        <f t="shared" si="51"/>
        <v>0</v>
      </c>
      <c r="AP91">
        <f t="shared" si="52"/>
        <v>0</v>
      </c>
      <c r="AQ91">
        <f t="shared" si="53"/>
        <v>1</v>
      </c>
      <c r="AR91">
        <f t="shared" si="54"/>
        <v>0</v>
      </c>
      <c r="AS91">
        <f t="shared" si="55"/>
        <v>0</v>
      </c>
    </row>
    <row r="92" spans="2:45" x14ac:dyDescent="0.3">
      <c r="B92">
        <v>91</v>
      </c>
      <c r="C92" s="1">
        <v>40634</v>
      </c>
      <c r="D92">
        <v>2</v>
      </c>
      <c r="E92">
        <v>0</v>
      </c>
      <c r="F92">
        <v>4</v>
      </c>
      <c r="G92">
        <v>5</v>
      </c>
      <c r="H92">
        <v>2</v>
      </c>
      <c r="I92">
        <v>307</v>
      </c>
      <c r="J92">
        <v>1920</v>
      </c>
      <c r="K92" s="8">
        <v>2227</v>
      </c>
      <c r="L92">
        <v>12.3</v>
      </c>
      <c r="M92">
        <v>14.172700000000001</v>
      </c>
      <c r="N92">
        <v>68.625</v>
      </c>
      <c r="O92">
        <v>17.333435999999999</v>
      </c>
      <c r="P92">
        <v>0</v>
      </c>
      <c r="Q92">
        <v>1</v>
      </c>
      <c r="R92">
        <f t="shared" si="28"/>
        <v>0</v>
      </c>
      <c r="S92">
        <f t="shared" si="29"/>
        <v>0</v>
      </c>
      <c r="T92">
        <f t="shared" si="30"/>
        <v>0</v>
      </c>
      <c r="U92">
        <f t="shared" si="31"/>
        <v>1</v>
      </c>
      <c r="V92">
        <f t="shared" si="32"/>
        <v>0</v>
      </c>
      <c r="W92">
        <f t="shared" si="33"/>
        <v>0</v>
      </c>
      <c r="X92">
        <f t="shared" si="34"/>
        <v>0</v>
      </c>
      <c r="Y92">
        <f t="shared" si="35"/>
        <v>0</v>
      </c>
      <c r="Z92">
        <f t="shared" si="36"/>
        <v>0</v>
      </c>
      <c r="AA92">
        <f t="shared" si="37"/>
        <v>0</v>
      </c>
      <c r="AB92">
        <f t="shared" si="38"/>
        <v>0</v>
      </c>
      <c r="AC92">
        <f t="shared" si="39"/>
        <v>0</v>
      </c>
      <c r="AD92">
        <f t="shared" si="40"/>
        <v>0</v>
      </c>
      <c r="AE92">
        <f t="shared" si="41"/>
        <v>0</v>
      </c>
      <c r="AF92">
        <f t="shared" si="42"/>
        <v>0</v>
      </c>
      <c r="AG92">
        <f t="shared" si="43"/>
        <v>0</v>
      </c>
      <c r="AH92">
        <f t="shared" si="44"/>
        <v>0</v>
      </c>
      <c r="AI92">
        <f t="shared" si="45"/>
        <v>1</v>
      </c>
      <c r="AJ92">
        <f t="shared" si="46"/>
        <v>0</v>
      </c>
      <c r="AK92">
        <f t="shared" si="47"/>
        <v>0</v>
      </c>
      <c r="AL92">
        <f t="shared" si="48"/>
        <v>1</v>
      </c>
      <c r="AM92">
        <f t="shared" si="49"/>
        <v>0</v>
      </c>
      <c r="AN92">
        <f t="shared" si="50"/>
        <v>1</v>
      </c>
      <c r="AO92">
        <f t="shared" si="51"/>
        <v>0</v>
      </c>
      <c r="AP92">
        <f t="shared" si="52"/>
        <v>0</v>
      </c>
      <c r="AQ92">
        <f t="shared" si="53"/>
        <v>1</v>
      </c>
      <c r="AR92">
        <f t="shared" si="54"/>
        <v>0</v>
      </c>
      <c r="AS92">
        <f t="shared" si="55"/>
        <v>0</v>
      </c>
    </row>
    <row r="93" spans="2:45" x14ac:dyDescent="0.3">
      <c r="B93">
        <v>92</v>
      </c>
      <c r="C93" s="1">
        <v>40635</v>
      </c>
      <c r="D93">
        <v>2</v>
      </c>
      <c r="E93">
        <v>0</v>
      </c>
      <c r="F93">
        <v>4</v>
      </c>
      <c r="G93">
        <v>6</v>
      </c>
      <c r="H93">
        <v>2</v>
      </c>
      <c r="I93">
        <v>898</v>
      </c>
      <c r="J93">
        <v>1354</v>
      </c>
      <c r="K93" s="8">
        <v>2252</v>
      </c>
      <c r="L93">
        <v>12.914999999999999</v>
      </c>
      <c r="M93">
        <v>15.78185</v>
      </c>
      <c r="N93">
        <v>65.375</v>
      </c>
      <c r="O93">
        <v>13.208781999999999</v>
      </c>
      <c r="P93">
        <v>0</v>
      </c>
      <c r="Q93">
        <v>0</v>
      </c>
      <c r="R93">
        <f t="shared" si="28"/>
        <v>0</v>
      </c>
      <c r="S93">
        <f t="shared" si="29"/>
        <v>0</v>
      </c>
      <c r="T93">
        <f t="shared" si="30"/>
        <v>0</v>
      </c>
      <c r="U93">
        <f t="shared" si="31"/>
        <v>1</v>
      </c>
      <c r="V93">
        <f t="shared" si="32"/>
        <v>0</v>
      </c>
      <c r="W93">
        <f t="shared" si="33"/>
        <v>0</v>
      </c>
      <c r="X93">
        <f t="shared" si="34"/>
        <v>0</v>
      </c>
      <c r="Y93">
        <f t="shared" si="35"/>
        <v>0</v>
      </c>
      <c r="Z93">
        <f t="shared" si="36"/>
        <v>0</v>
      </c>
      <c r="AA93">
        <f t="shared" si="37"/>
        <v>0</v>
      </c>
      <c r="AB93">
        <f t="shared" si="38"/>
        <v>0</v>
      </c>
      <c r="AC93">
        <f t="shared" si="39"/>
        <v>0</v>
      </c>
      <c r="AD93">
        <f t="shared" si="40"/>
        <v>0</v>
      </c>
      <c r="AE93">
        <f t="shared" si="41"/>
        <v>0</v>
      </c>
      <c r="AF93">
        <f t="shared" si="42"/>
        <v>0</v>
      </c>
      <c r="AG93">
        <f t="shared" si="43"/>
        <v>0</v>
      </c>
      <c r="AH93">
        <f t="shared" si="44"/>
        <v>0</v>
      </c>
      <c r="AI93">
        <f t="shared" si="45"/>
        <v>0</v>
      </c>
      <c r="AJ93">
        <f t="shared" si="46"/>
        <v>1</v>
      </c>
      <c r="AK93">
        <f t="shared" si="47"/>
        <v>0</v>
      </c>
      <c r="AL93">
        <f t="shared" si="48"/>
        <v>1</v>
      </c>
      <c r="AM93">
        <f t="shared" si="49"/>
        <v>0</v>
      </c>
      <c r="AN93">
        <f t="shared" si="50"/>
        <v>1</v>
      </c>
      <c r="AO93">
        <f t="shared" si="51"/>
        <v>0</v>
      </c>
      <c r="AP93">
        <f t="shared" si="52"/>
        <v>0</v>
      </c>
      <c r="AQ93">
        <f t="shared" si="53"/>
        <v>1</v>
      </c>
      <c r="AR93">
        <f t="shared" si="54"/>
        <v>0</v>
      </c>
      <c r="AS93">
        <f t="shared" si="55"/>
        <v>0</v>
      </c>
    </row>
    <row r="94" spans="2:45" x14ac:dyDescent="0.3">
      <c r="B94">
        <v>93</v>
      </c>
      <c r="C94" s="1">
        <v>40636</v>
      </c>
      <c r="D94">
        <v>2</v>
      </c>
      <c r="E94">
        <v>0</v>
      </c>
      <c r="F94">
        <v>4</v>
      </c>
      <c r="G94">
        <v>0</v>
      </c>
      <c r="H94">
        <v>1</v>
      </c>
      <c r="I94">
        <v>1651</v>
      </c>
      <c r="J94">
        <v>1598</v>
      </c>
      <c r="K94" s="8">
        <v>3249</v>
      </c>
      <c r="L94">
        <v>15.511653000000001</v>
      </c>
      <c r="M94">
        <v>18.93835</v>
      </c>
      <c r="N94">
        <v>48</v>
      </c>
      <c r="O94">
        <v>12.208271</v>
      </c>
      <c r="P94">
        <v>0</v>
      </c>
      <c r="Q94">
        <v>0</v>
      </c>
      <c r="R94">
        <f t="shared" si="28"/>
        <v>0</v>
      </c>
      <c r="S94">
        <f t="shared" si="29"/>
        <v>0</v>
      </c>
      <c r="T94">
        <f t="shared" si="30"/>
        <v>0</v>
      </c>
      <c r="U94">
        <f t="shared" si="31"/>
        <v>1</v>
      </c>
      <c r="V94">
        <f t="shared" si="32"/>
        <v>0</v>
      </c>
      <c r="W94">
        <f t="shared" si="33"/>
        <v>0</v>
      </c>
      <c r="X94">
        <f t="shared" si="34"/>
        <v>0</v>
      </c>
      <c r="Y94">
        <f t="shared" si="35"/>
        <v>0</v>
      </c>
      <c r="Z94">
        <f t="shared" si="36"/>
        <v>0</v>
      </c>
      <c r="AA94">
        <f t="shared" si="37"/>
        <v>0</v>
      </c>
      <c r="AB94">
        <f t="shared" si="38"/>
        <v>0</v>
      </c>
      <c r="AC94">
        <f t="shared" si="39"/>
        <v>0</v>
      </c>
      <c r="AD94">
        <f t="shared" si="40"/>
        <v>1</v>
      </c>
      <c r="AE94">
        <f t="shared" si="41"/>
        <v>0</v>
      </c>
      <c r="AF94">
        <f t="shared" si="42"/>
        <v>0</v>
      </c>
      <c r="AG94">
        <f t="shared" si="43"/>
        <v>0</v>
      </c>
      <c r="AH94">
        <f t="shared" si="44"/>
        <v>0</v>
      </c>
      <c r="AI94">
        <f t="shared" si="45"/>
        <v>0</v>
      </c>
      <c r="AJ94">
        <f t="shared" si="46"/>
        <v>0</v>
      </c>
      <c r="AK94">
        <f t="shared" si="47"/>
        <v>1</v>
      </c>
      <c r="AL94">
        <f t="shared" si="48"/>
        <v>0</v>
      </c>
      <c r="AM94">
        <f t="shared" si="49"/>
        <v>0</v>
      </c>
      <c r="AN94">
        <f t="shared" si="50"/>
        <v>1</v>
      </c>
      <c r="AO94">
        <f t="shared" si="51"/>
        <v>0</v>
      </c>
      <c r="AP94">
        <f t="shared" si="52"/>
        <v>0</v>
      </c>
      <c r="AQ94">
        <f t="shared" si="53"/>
        <v>1</v>
      </c>
      <c r="AR94">
        <f t="shared" si="54"/>
        <v>0</v>
      </c>
      <c r="AS94">
        <f t="shared" si="55"/>
        <v>0</v>
      </c>
    </row>
    <row r="95" spans="2:45" x14ac:dyDescent="0.3">
      <c r="B95">
        <v>94</v>
      </c>
      <c r="C95" s="1">
        <v>40637</v>
      </c>
      <c r="D95">
        <v>2</v>
      </c>
      <c r="E95">
        <v>0</v>
      </c>
      <c r="F95">
        <v>4</v>
      </c>
      <c r="G95">
        <v>1</v>
      </c>
      <c r="H95">
        <v>1</v>
      </c>
      <c r="I95">
        <v>734</v>
      </c>
      <c r="J95">
        <v>2381</v>
      </c>
      <c r="K95" s="8">
        <v>3115</v>
      </c>
      <c r="L95">
        <v>23.506653</v>
      </c>
      <c r="M95">
        <v>27.146450000000002</v>
      </c>
      <c r="N95">
        <v>42.625</v>
      </c>
      <c r="O95">
        <v>25.833257</v>
      </c>
      <c r="P95">
        <v>0</v>
      </c>
      <c r="Q95">
        <v>1</v>
      </c>
      <c r="R95">
        <f t="shared" si="28"/>
        <v>0</v>
      </c>
      <c r="S95">
        <f t="shared" si="29"/>
        <v>0</v>
      </c>
      <c r="T95">
        <f t="shared" si="30"/>
        <v>0</v>
      </c>
      <c r="U95">
        <f t="shared" si="31"/>
        <v>1</v>
      </c>
      <c r="V95">
        <f t="shared" si="32"/>
        <v>0</v>
      </c>
      <c r="W95">
        <f t="shared" si="33"/>
        <v>0</v>
      </c>
      <c r="X95">
        <f t="shared" si="34"/>
        <v>0</v>
      </c>
      <c r="Y95">
        <f t="shared" si="35"/>
        <v>0</v>
      </c>
      <c r="Z95">
        <f t="shared" si="36"/>
        <v>0</v>
      </c>
      <c r="AA95">
        <f t="shared" si="37"/>
        <v>0</v>
      </c>
      <c r="AB95">
        <f t="shared" si="38"/>
        <v>0</v>
      </c>
      <c r="AC95">
        <f t="shared" si="39"/>
        <v>0</v>
      </c>
      <c r="AD95">
        <f t="shared" si="40"/>
        <v>0</v>
      </c>
      <c r="AE95">
        <f t="shared" si="41"/>
        <v>1</v>
      </c>
      <c r="AF95">
        <f t="shared" si="42"/>
        <v>0</v>
      </c>
      <c r="AG95">
        <f t="shared" si="43"/>
        <v>0</v>
      </c>
      <c r="AH95">
        <f t="shared" si="44"/>
        <v>0</v>
      </c>
      <c r="AI95">
        <f t="shared" si="45"/>
        <v>0</v>
      </c>
      <c r="AJ95">
        <f t="shared" si="46"/>
        <v>0</v>
      </c>
      <c r="AK95">
        <f t="shared" si="47"/>
        <v>1</v>
      </c>
      <c r="AL95">
        <f t="shared" si="48"/>
        <v>0</v>
      </c>
      <c r="AM95">
        <f t="shared" si="49"/>
        <v>0</v>
      </c>
      <c r="AN95">
        <f t="shared" si="50"/>
        <v>1</v>
      </c>
      <c r="AO95">
        <f t="shared" si="51"/>
        <v>0</v>
      </c>
      <c r="AP95">
        <f t="shared" si="52"/>
        <v>0</v>
      </c>
      <c r="AQ95">
        <f t="shared" si="53"/>
        <v>1</v>
      </c>
      <c r="AR95">
        <f t="shared" si="54"/>
        <v>0</v>
      </c>
      <c r="AS95">
        <f t="shared" si="55"/>
        <v>0</v>
      </c>
    </row>
    <row r="96" spans="2:45" x14ac:dyDescent="0.3">
      <c r="B96">
        <v>95</v>
      </c>
      <c r="C96" s="1">
        <v>40638</v>
      </c>
      <c r="D96">
        <v>2</v>
      </c>
      <c r="E96">
        <v>0</v>
      </c>
      <c r="F96">
        <v>4</v>
      </c>
      <c r="G96">
        <v>2</v>
      </c>
      <c r="H96">
        <v>2</v>
      </c>
      <c r="I96">
        <v>167</v>
      </c>
      <c r="J96">
        <v>1628</v>
      </c>
      <c r="K96" s="8">
        <v>1795</v>
      </c>
      <c r="L96">
        <v>16.980847000000001</v>
      </c>
      <c r="M96">
        <v>19.9175</v>
      </c>
      <c r="N96">
        <v>64.208299999999994</v>
      </c>
      <c r="O96">
        <v>26.000489000000002</v>
      </c>
      <c r="P96">
        <v>0</v>
      </c>
      <c r="Q96">
        <v>1</v>
      </c>
      <c r="R96">
        <f t="shared" si="28"/>
        <v>0</v>
      </c>
      <c r="S96">
        <f t="shared" si="29"/>
        <v>0</v>
      </c>
      <c r="T96">
        <f t="shared" si="30"/>
        <v>0</v>
      </c>
      <c r="U96">
        <f t="shared" si="31"/>
        <v>1</v>
      </c>
      <c r="V96">
        <f t="shared" si="32"/>
        <v>0</v>
      </c>
      <c r="W96">
        <f t="shared" si="33"/>
        <v>0</v>
      </c>
      <c r="X96">
        <f t="shared" si="34"/>
        <v>0</v>
      </c>
      <c r="Y96">
        <f t="shared" si="35"/>
        <v>0</v>
      </c>
      <c r="Z96">
        <f t="shared" si="36"/>
        <v>0</v>
      </c>
      <c r="AA96">
        <f t="shared" si="37"/>
        <v>0</v>
      </c>
      <c r="AB96">
        <f t="shared" si="38"/>
        <v>0</v>
      </c>
      <c r="AC96">
        <f t="shared" si="39"/>
        <v>0</v>
      </c>
      <c r="AD96">
        <f t="shared" si="40"/>
        <v>0</v>
      </c>
      <c r="AE96">
        <f t="shared" si="41"/>
        <v>0</v>
      </c>
      <c r="AF96">
        <f t="shared" si="42"/>
        <v>1</v>
      </c>
      <c r="AG96">
        <f t="shared" si="43"/>
        <v>0</v>
      </c>
      <c r="AH96">
        <f t="shared" si="44"/>
        <v>0</v>
      </c>
      <c r="AI96">
        <f t="shared" si="45"/>
        <v>0</v>
      </c>
      <c r="AJ96">
        <f t="shared" si="46"/>
        <v>0</v>
      </c>
      <c r="AK96">
        <f t="shared" si="47"/>
        <v>0</v>
      </c>
      <c r="AL96">
        <f t="shared" si="48"/>
        <v>1</v>
      </c>
      <c r="AM96">
        <f t="shared" si="49"/>
        <v>0</v>
      </c>
      <c r="AN96">
        <f t="shared" si="50"/>
        <v>1</v>
      </c>
      <c r="AO96">
        <f t="shared" si="51"/>
        <v>0</v>
      </c>
      <c r="AP96">
        <f t="shared" si="52"/>
        <v>0</v>
      </c>
      <c r="AQ96">
        <f t="shared" si="53"/>
        <v>1</v>
      </c>
      <c r="AR96">
        <f t="shared" si="54"/>
        <v>0</v>
      </c>
      <c r="AS96">
        <f t="shared" si="55"/>
        <v>0</v>
      </c>
    </row>
    <row r="97" spans="2:45" x14ac:dyDescent="0.3">
      <c r="B97">
        <v>96</v>
      </c>
      <c r="C97" s="1">
        <v>40639</v>
      </c>
      <c r="D97">
        <v>2</v>
      </c>
      <c r="E97">
        <v>0</v>
      </c>
      <c r="F97">
        <v>4</v>
      </c>
      <c r="G97">
        <v>3</v>
      </c>
      <c r="H97">
        <v>1</v>
      </c>
      <c r="I97">
        <v>413</v>
      </c>
      <c r="J97">
        <v>2395</v>
      </c>
      <c r="K97" s="8">
        <v>2808</v>
      </c>
      <c r="L97">
        <v>16.024152999999998</v>
      </c>
      <c r="M97">
        <v>19.380400000000002</v>
      </c>
      <c r="N97">
        <v>47.083300000000001</v>
      </c>
      <c r="O97">
        <v>17.625221</v>
      </c>
      <c r="P97">
        <v>0</v>
      </c>
      <c r="Q97">
        <v>1</v>
      </c>
      <c r="R97">
        <f t="shared" si="28"/>
        <v>0</v>
      </c>
      <c r="S97">
        <f t="shared" si="29"/>
        <v>0</v>
      </c>
      <c r="T97">
        <f t="shared" si="30"/>
        <v>0</v>
      </c>
      <c r="U97">
        <f t="shared" si="31"/>
        <v>1</v>
      </c>
      <c r="V97">
        <f t="shared" si="32"/>
        <v>0</v>
      </c>
      <c r="W97">
        <f t="shared" si="33"/>
        <v>0</v>
      </c>
      <c r="X97">
        <f t="shared" si="34"/>
        <v>0</v>
      </c>
      <c r="Y97">
        <f t="shared" si="35"/>
        <v>0</v>
      </c>
      <c r="Z97">
        <f t="shared" si="36"/>
        <v>0</v>
      </c>
      <c r="AA97">
        <f t="shared" si="37"/>
        <v>0</v>
      </c>
      <c r="AB97">
        <f t="shared" si="38"/>
        <v>0</v>
      </c>
      <c r="AC97">
        <f t="shared" si="39"/>
        <v>0</v>
      </c>
      <c r="AD97">
        <f t="shared" si="40"/>
        <v>0</v>
      </c>
      <c r="AE97">
        <f t="shared" si="41"/>
        <v>0</v>
      </c>
      <c r="AF97">
        <f t="shared" si="42"/>
        <v>0</v>
      </c>
      <c r="AG97">
        <f t="shared" si="43"/>
        <v>1</v>
      </c>
      <c r="AH97">
        <f t="shared" si="44"/>
        <v>0</v>
      </c>
      <c r="AI97">
        <f t="shared" si="45"/>
        <v>0</v>
      </c>
      <c r="AJ97">
        <f t="shared" si="46"/>
        <v>0</v>
      </c>
      <c r="AK97">
        <f t="shared" si="47"/>
        <v>1</v>
      </c>
      <c r="AL97">
        <f t="shared" si="48"/>
        <v>0</v>
      </c>
      <c r="AM97">
        <f t="shared" si="49"/>
        <v>0</v>
      </c>
      <c r="AN97">
        <f t="shared" si="50"/>
        <v>1</v>
      </c>
      <c r="AO97">
        <f t="shared" si="51"/>
        <v>0</v>
      </c>
      <c r="AP97">
        <f t="shared" si="52"/>
        <v>0</v>
      </c>
      <c r="AQ97">
        <f t="shared" si="53"/>
        <v>1</v>
      </c>
      <c r="AR97">
        <f t="shared" si="54"/>
        <v>0</v>
      </c>
      <c r="AS97">
        <f t="shared" si="55"/>
        <v>0</v>
      </c>
    </row>
    <row r="98" spans="2:45" x14ac:dyDescent="0.3">
      <c r="B98">
        <v>97</v>
      </c>
      <c r="C98" s="1">
        <v>40640</v>
      </c>
      <c r="D98">
        <v>2</v>
      </c>
      <c r="E98">
        <v>0</v>
      </c>
      <c r="F98">
        <v>4</v>
      </c>
      <c r="G98">
        <v>4</v>
      </c>
      <c r="H98">
        <v>1</v>
      </c>
      <c r="I98">
        <v>571</v>
      </c>
      <c r="J98">
        <v>2570</v>
      </c>
      <c r="K98" s="8">
        <v>3141</v>
      </c>
      <c r="L98">
        <v>17.9375</v>
      </c>
      <c r="M98">
        <v>21.684799999999999</v>
      </c>
      <c r="N98">
        <v>60.291699999999999</v>
      </c>
      <c r="O98">
        <v>10.874904000000001</v>
      </c>
      <c r="P98">
        <v>0</v>
      </c>
      <c r="Q98">
        <v>1</v>
      </c>
      <c r="R98">
        <f t="shared" si="28"/>
        <v>0</v>
      </c>
      <c r="S98">
        <f t="shared" si="29"/>
        <v>0</v>
      </c>
      <c r="T98">
        <f t="shared" si="30"/>
        <v>0</v>
      </c>
      <c r="U98">
        <f t="shared" si="31"/>
        <v>1</v>
      </c>
      <c r="V98">
        <f t="shared" si="32"/>
        <v>0</v>
      </c>
      <c r="W98">
        <f t="shared" si="33"/>
        <v>0</v>
      </c>
      <c r="X98">
        <f t="shared" si="34"/>
        <v>0</v>
      </c>
      <c r="Y98">
        <f t="shared" si="35"/>
        <v>0</v>
      </c>
      <c r="Z98">
        <f t="shared" si="36"/>
        <v>0</v>
      </c>
      <c r="AA98">
        <f t="shared" si="37"/>
        <v>0</v>
      </c>
      <c r="AB98">
        <f t="shared" si="38"/>
        <v>0</v>
      </c>
      <c r="AC98">
        <f t="shared" si="39"/>
        <v>0</v>
      </c>
      <c r="AD98">
        <f t="shared" si="40"/>
        <v>0</v>
      </c>
      <c r="AE98">
        <f t="shared" si="41"/>
        <v>0</v>
      </c>
      <c r="AF98">
        <f t="shared" si="42"/>
        <v>0</v>
      </c>
      <c r="AG98">
        <f t="shared" si="43"/>
        <v>0</v>
      </c>
      <c r="AH98">
        <f t="shared" si="44"/>
        <v>1</v>
      </c>
      <c r="AI98">
        <f t="shared" si="45"/>
        <v>0</v>
      </c>
      <c r="AJ98">
        <f t="shared" si="46"/>
        <v>0</v>
      </c>
      <c r="AK98">
        <f t="shared" si="47"/>
        <v>1</v>
      </c>
      <c r="AL98">
        <f t="shared" si="48"/>
        <v>0</v>
      </c>
      <c r="AM98">
        <f t="shared" si="49"/>
        <v>0</v>
      </c>
      <c r="AN98">
        <f t="shared" si="50"/>
        <v>1</v>
      </c>
      <c r="AO98">
        <f t="shared" si="51"/>
        <v>0</v>
      </c>
      <c r="AP98">
        <f t="shared" si="52"/>
        <v>0</v>
      </c>
      <c r="AQ98">
        <f t="shared" si="53"/>
        <v>1</v>
      </c>
      <c r="AR98">
        <f t="shared" si="54"/>
        <v>0</v>
      </c>
      <c r="AS98">
        <f t="shared" si="55"/>
        <v>0</v>
      </c>
    </row>
    <row r="99" spans="2:45" x14ac:dyDescent="0.3">
      <c r="B99">
        <v>98</v>
      </c>
      <c r="C99" s="1">
        <v>40641</v>
      </c>
      <c r="D99">
        <v>2</v>
      </c>
      <c r="E99">
        <v>0</v>
      </c>
      <c r="F99">
        <v>4</v>
      </c>
      <c r="G99">
        <v>5</v>
      </c>
      <c r="H99">
        <v>2</v>
      </c>
      <c r="I99">
        <v>172</v>
      </c>
      <c r="J99">
        <v>1299</v>
      </c>
      <c r="K99" s="8">
        <v>1471</v>
      </c>
      <c r="L99">
        <v>13.769152999999999</v>
      </c>
      <c r="M99">
        <v>16.223949999999999</v>
      </c>
      <c r="N99">
        <v>83.625</v>
      </c>
      <c r="O99">
        <v>15.208463999999999</v>
      </c>
      <c r="P99">
        <v>0</v>
      </c>
      <c r="Q99">
        <v>1</v>
      </c>
      <c r="R99">
        <f t="shared" si="28"/>
        <v>0</v>
      </c>
      <c r="S99">
        <f t="shared" si="29"/>
        <v>0</v>
      </c>
      <c r="T99">
        <f t="shared" si="30"/>
        <v>0</v>
      </c>
      <c r="U99">
        <f t="shared" si="31"/>
        <v>1</v>
      </c>
      <c r="V99">
        <f t="shared" si="32"/>
        <v>0</v>
      </c>
      <c r="W99">
        <f t="shared" si="33"/>
        <v>0</v>
      </c>
      <c r="X99">
        <f t="shared" si="34"/>
        <v>0</v>
      </c>
      <c r="Y99">
        <f t="shared" si="35"/>
        <v>0</v>
      </c>
      <c r="Z99">
        <f t="shared" si="36"/>
        <v>0</v>
      </c>
      <c r="AA99">
        <f t="shared" si="37"/>
        <v>0</v>
      </c>
      <c r="AB99">
        <f t="shared" si="38"/>
        <v>0</v>
      </c>
      <c r="AC99">
        <f t="shared" si="39"/>
        <v>0</v>
      </c>
      <c r="AD99">
        <f t="shared" si="40"/>
        <v>0</v>
      </c>
      <c r="AE99">
        <f t="shared" si="41"/>
        <v>0</v>
      </c>
      <c r="AF99">
        <f t="shared" si="42"/>
        <v>0</v>
      </c>
      <c r="AG99">
        <f t="shared" si="43"/>
        <v>0</v>
      </c>
      <c r="AH99">
        <f t="shared" si="44"/>
        <v>0</v>
      </c>
      <c r="AI99">
        <f t="shared" si="45"/>
        <v>1</v>
      </c>
      <c r="AJ99">
        <f t="shared" si="46"/>
        <v>0</v>
      </c>
      <c r="AK99">
        <f t="shared" si="47"/>
        <v>0</v>
      </c>
      <c r="AL99">
        <f t="shared" si="48"/>
        <v>1</v>
      </c>
      <c r="AM99">
        <f t="shared" si="49"/>
        <v>0</v>
      </c>
      <c r="AN99">
        <f t="shared" si="50"/>
        <v>1</v>
      </c>
      <c r="AO99">
        <f t="shared" si="51"/>
        <v>0</v>
      </c>
      <c r="AP99">
        <f t="shared" si="52"/>
        <v>0</v>
      </c>
      <c r="AQ99">
        <f t="shared" si="53"/>
        <v>1</v>
      </c>
      <c r="AR99">
        <f t="shared" si="54"/>
        <v>0</v>
      </c>
      <c r="AS99">
        <f t="shared" si="55"/>
        <v>0</v>
      </c>
    </row>
    <row r="100" spans="2:45" x14ac:dyDescent="0.3">
      <c r="B100">
        <v>99</v>
      </c>
      <c r="C100" s="1">
        <v>40642</v>
      </c>
      <c r="D100">
        <v>2</v>
      </c>
      <c r="E100">
        <v>0</v>
      </c>
      <c r="F100">
        <v>4</v>
      </c>
      <c r="G100">
        <v>6</v>
      </c>
      <c r="H100">
        <v>2</v>
      </c>
      <c r="I100">
        <v>879</v>
      </c>
      <c r="J100">
        <v>1576</v>
      </c>
      <c r="K100" s="8">
        <v>2455</v>
      </c>
      <c r="L100">
        <v>14.0425</v>
      </c>
      <c r="M100">
        <v>17.076450000000001</v>
      </c>
      <c r="N100">
        <v>87.75</v>
      </c>
      <c r="O100">
        <v>8.9165609999999997</v>
      </c>
      <c r="P100">
        <v>0</v>
      </c>
      <c r="Q100">
        <v>0</v>
      </c>
      <c r="R100">
        <f t="shared" si="28"/>
        <v>0</v>
      </c>
      <c r="S100">
        <f t="shared" si="29"/>
        <v>0</v>
      </c>
      <c r="T100">
        <f t="shared" si="30"/>
        <v>0</v>
      </c>
      <c r="U100">
        <f t="shared" si="31"/>
        <v>1</v>
      </c>
      <c r="V100">
        <f t="shared" si="32"/>
        <v>0</v>
      </c>
      <c r="W100">
        <f t="shared" si="33"/>
        <v>0</v>
      </c>
      <c r="X100">
        <f t="shared" si="34"/>
        <v>0</v>
      </c>
      <c r="Y100">
        <f t="shared" si="35"/>
        <v>0</v>
      </c>
      <c r="Z100">
        <f t="shared" si="36"/>
        <v>0</v>
      </c>
      <c r="AA100">
        <f t="shared" si="37"/>
        <v>0</v>
      </c>
      <c r="AB100">
        <f t="shared" si="38"/>
        <v>0</v>
      </c>
      <c r="AC100">
        <f t="shared" si="39"/>
        <v>0</v>
      </c>
      <c r="AD100">
        <f t="shared" si="40"/>
        <v>0</v>
      </c>
      <c r="AE100">
        <f t="shared" si="41"/>
        <v>0</v>
      </c>
      <c r="AF100">
        <f t="shared" si="42"/>
        <v>0</v>
      </c>
      <c r="AG100">
        <f t="shared" si="43"/>
        <v>0</v>
      </c>
      <c r="AH100">
        <f t="shared" si="44"/>
        <v>0</v>
      </c>
      <c r="AI100">
        <f t="shared" si="45"/>
        <v>0</v>
      </c>
      <c r="AJ100">
        <f t="shared" si="46"/>
        <v>1</v>
      </c>
      <c r="AK100">
        <f t="shared" si="47"/>
        <v>0</v>
      </c>
      <c r="AL100">
        <f t="shared" si="48"/>
        <v>1</v>
      </c>
      <c r="AM100">
        <f t="shared" si="49"/>
        <v>0</v>
      </c>
      <c r="AN100">
        <f t="shared" si="50"/>
        <v>1</v>
      </c>
      <c r="AO100">
        <f t="shared" si="51"/>
        <v>0</v>
      </c>
      <c r="AP100">
        <f t="shared" si="52"/>
        <v>0</v>
      </c>
      <c r="AQ100">
        <f t="shared" si="53"/>
        <v>1</v>
      </c>
      <c r="AR100">
        <f t="shared" si="54"/>
        <v>0</v>
      </c>
      <c r="AS100">
        <f t="shared" si="55"/>
        <v>0</v>
      </c>
    </row>
    <row r="101" spans="2:45" x14ac:dyDescent="0.3">
      <c r="B101">
        <v>100</v>
      </c>
      <c r="C101" s="1">
        <v>40643</v>
      </c>
      <c r="D101">
        <v>2</v>
      </c>
      <c r="E101">
        <v>0</v>
      </c>
      <c r="F101">
        <v>4</v>
      </c>
      <c r="G101">
        <v>0</v>
      </c>
      <c r="H101">
        <v>2</v>
      </c>
      <c r="I101">
        <v>1188</v>
      </c>
      <c r="J101">
        <v>1707</v>
      </c>
      <c r="K101" s="8">
        <v>2895</v>
      </c>
      <c r="L101">
        <v>17.493347</v>
      </c>
      <c r="M101">
        <v>21.336849999999998</v>
      </c>
      <c r="N101">
        <v>85.75</v>
      </c>
      <c r="O101">
        <v>9.8333890000000004</v>
      </c>
      <c r="P101">
        <v>0</v>
      </c>
      <c r="Q101">
        <v>0</v>
      </c>
      <c r="R101">
        <f t="shared" si="28"/>
        <v>0</v>
      </c>
      <c r="S101">
        <f t="shared" si="29"/>
        <v>0</v>
      </c>
      <c r="T101">
        <f t="shared" si="30"/>
        <v>0</v>
      </c>
      <c r="U101">
        <f t="shared" si="31"/>
        <v>1</v>
      </c>
      <c r="V101">
        <f t="shared" si="32"/>
        <v>0</v>
      </c>
      <c r="W101">
        <f t="shared" si="33"/>
        <v>0</v>
      </c>
      <c r="X101">
        <f t="shared" si="34"/>
        <v>0</v>
      </c>
      <c r="Y101">
        <f t="shared" si="35"/>
        <v>0</v>
      </c>
      <c r="Z101">
        <f t="shared" si="36"/>
        <v>0</v>
      </c>
      <c r="AA101">
        <f t="shared" si="37"/>
        <v>0</v>
      </c>
      <c r="AB101">
        <f t="shared" si="38"/>
        <v>0</v>
      </c>
      <c r="AC101">
        <f t="shared" si="39"/>
        <v>0</v>
      </c>
      <c r="AD101">
        <f t="shared" si="40"/>
        <v>1</v>
      </c>
      <c r="AE101">
        <f t="shared" si="41"/>
        <v>0</v>
      </c>
      <c r="AF101">
        <f t="shared" si="42"/>
        <v>0</v>
      </c>
      <c r="AG101">
        <f t="shared" si="43"/>
        <v>0</v>
      </c>
      <c r="AH101">
        <f t="shared" si="44"/>
        <v>0</v>
      </c>
      <c r="AI101">
        <f t="shared" si="45"/>
        <v>0</v>
      </c>
      <c r="AJ101">
        <f t="shared" si="46"/>
        <v>0</v>
      </c>
      <c r="AK101">
        <f t="shared" si="47"/>
        <v>0</v>
      </c>
      <c r="AL101">
        <f t="shared" si="48"/>
        <v>1</v>
      </c>
      <c r="AM101">
        <f t="shared" si="49"/>
        <v>0</v>
      </c>
      <c r="AN101">
        <f t="shared" si="50"/>
        <v>1</v>
      </c>
      <c r="AO101">
        <f t="shared" si="51"/>
        <v>0</v>
      </c>
      <c r="AP101">
        <f t="shared" si="52"/>
        <v>0</v>
      </c>
      <c r="AQ101">
        <f t="shared" si="53"/>
        <v>1</v>
      </c>
      <c r="AR101">
        <f t="shared" si="54"/>
        <v>0</v>
      </c>
      <c r="AS101">
        <f t="shared" si="55"/>
        <v>0</v>
      </c>
    </row>
    <row r="102" spans="2:45" x14ac:dyDescent="0.3">
      <c r="B102">
        <v>101</v>
      </c>
      <c r="C102" s="1">
        <v>40644</v>
      </c>
      <c r="D102">
        <v>2</v>
      </c>
      <c r="E102">
        <v>0</v>
      </c>
      <c r="F102">
        <v>4</v>
      </c>
      <c r="G102">
        <v>1</v>
      </c>
      <c r="H102">
        <v>2</v>
      </c>
      <c r="I102">
        <v>855</v>
      </c>
      <c r="J102">
        <v>2493</v>
      </c>
      <c r="K102" s="8">
        <v>3348</v>
      </c>
      <c r="L102">
        <v>24.421731999999999</v>
      </c>
      <c r="M102">
        <v>28.260850000000001</v>
      </c>
      <c r="N102">
        <v>71.695599999999999</v>
      </c>
      <c r="O102">
        <v>21.739757999999998</v>
      </c>
      <c r="P102">
        <v>0</v>
      </c>
      <c r="Q102">
        <v>1</v>
      </c>
      <c r="R102">
        <f t="shared" si="28"/>
        <v>0</v>
      </c>
      <c r="S102">
        <f t="shared" si="29"/>
        <v>0</v>
      </c>
      <c r="T102">
        <f t="shared" si="30"/>
        <v>0</v>
      </c>
      <c r="U102">
        <f t="shared" si="31"/>
        <v>1</v>
      </c>
      <c r="V102">
        <f t="shared" si="32"/>
        <v>0</v>
      </c>
      <c r="W102">
        <f t="shared" si="33"/>
        <v>0</v>
      </c>
      <c r="X102">
        <f t="shared" si="34"/>
        <v>0</v>
      </c>
      <c r="Y102">
        <f t="shared" si="35"/>
        <v>0</v>
      </c>
      <c r="Z102">
        <f t="shared" si="36"/>
        <v>0</v>
      </c>
      <c r="AA102">
        <f t="shared" si="37"/>
        <v>0</v>
      </c>
      <c r="AB102">
        <f t="shared" si="38"/>
        <v>0</v>
      </c>
      <c r="AC102">
        <f t="shared" si="39"/>
        <v>0</v>
      </c>
      <c r="AD102">
        <f t="shared" si="40"/>
        <v>0</v>
      </c>
      <c r="AE102">
        <f t="shared" si="41"/>
        <v>1</v>
      </c>
      <c r="AF102">
        <f t="shared" si="42"/>
        <v>0</v>
      </c>
      <c r="AG102">
        <f t="shared" si="43"/>
        <v>0</v>
      </c>
      <c r="AH102">
        <f t="shared" si="44"/>
        <v>0</v>
      </c>
      <c r="AI102">
        <f t="shared" si="45"/>
        <v>0</v>
      </c>
      <c r="AJ102">
        <f t="shared" si="46"/>
        <v>0</v>
      </c>
      <c r="AK102">
        <f t="shared" si="47"/>
        <v>0</v>
      </c>
      <c r="AL102">
        <f t="shared" si="48"/>
        <v>1</v>
      </c>
      <c r="AM102">
        <f t="shared" si="49"/>
        <v>0</v>
      </c>
      <c r="AN102">
        <f t="shared" si="50"/>
        <v>1</v>
      </c>
      <c r="AO102">
        <f t="shared" si="51"/>
        <v>0</v>
      </c>
      <c r="AP102">
        <f t="shared" si="52"/>
        <v>0</v>
      </c>
      <c r="AQ102">
        <f t="shared" si="53"/>
        <v>1</v>
      </c>
      <c r="AR102">
        <f t="shared" si="54"/>
        <v>0</v>
      </c>
      <c r="AS102">
        <f t="shared" si="55"/>
        <v>0</v>
      </c>
    </row>
    <row r="103" spans="2:45" x14ac:dyDescent="0.3">
      <c r="B103">
        <v>102</v>
      </c>
      <c r="C103" s="1">
        <v>40645</v>
      </c>
      <c r="D103">
        <v>2</v>
      </c>
      <c r="E103">
        <v>0</v>
      </c>
      <c r="F103">
        <v>4</v>
      </c>
      <c r="G103">
        <v>2</v>
      </c>
      <c r="H103">
        <v>2</v>
      </c>
      <c r="I103">
        <v>257</v>
      </c>
      <c r="J103">
        <v>1777</v>
      </c>
      <c r="K103" s="8">
        <v>2034</v>
      </c>
      <c r="L103">
        <v>20.602499999999999</v>
      </c>
      <c r="M103">
        <v>24.652699999999999</v>
      </c>
      <c r="N103">
        <v>73.916700000000006</v>
      </c>
      <c r="O103">
        <v>18.416893000000002</v>
      </c>
      <c r="P103">
        <v>0</v>
      </c>
      <c r="Q103">
        <v>1</v>
      </c>
      <c r="R103">
        <f t="shared" si="28"/>
        <v>0</v>
      </c>
      <c r="S103">
        <f t="shared" si="29"/>
        <v>0</v>
      </c>
      <c r="T103">
        <f t="shared" si="30"/>
        <v>0</v>
      </c>
      <c r="U103">
        <f t="shared" si="31"/>
        <v>1</v>
      </c>
      <c r="V103">
        <f t="shared" si="32"/>
        <v>0</v>
      </c>
      <c r="W103">
        <f t="shared" si="33"/>
        <v>0</v>
      </c>
      <c r="X103">
        <f t="shared" si="34"/>
        <v>0</v>
      </c>
      <c r="Y103">
        <f t="shared" si="35"/>
        <v>0</v>
      </c>
      <c r="Z103">
        <f t="shared" si="36"/>
        <v>0</v>
      </c>
      <c r="AA103">
        <f t="shared" si="37"/>
        <v>0</v>
      </c>
      <c r="AB103">
        <f t="shared" si="38"/>
        <v>0</v>
      </c>
      <c r="AC103">
        <f t="shared" si="39"/>
        <v>0</v>
      </c>
      <c r="AD103">
        <f t="shared" si="40"/>
        <v>0</v>
      </c>
      <c r="AE103">
        <f t="shared" si="41"/>
        <v>0</v>
      </c>
      <c r="AF103">
        <f t="shared" si="42"/>
        <v>1</v>
      </c>
      <c r="AG103">
        <f t="shared" si="43"/>
        <v>0</v>
      </c>
      <c r="AH103">
        <f t="shared" si="44"/>
        <v>0</v>
      </c>
      <c r="AI103">
        <f t="shared" si="45"/>
        <v>0</v>
      </c>
      <c r="AJ103">
        <f t="shared" si="46"/>
        <v>0</v>
      </c>
      <c r="AK103">
        <f t="shared" si="47"/>
        <v>0</v>
      </c>
      <c r="AL103">
        <f t="shared" si="48"/>
        <v>1</v>
      </c>
      <c r="AM103">
        <f t="shared" si="49"/>
        <v>0</v>
      </c>
      <c r="AN103">
        <f t="shared" si="50"/>
        <v>1</v>
      </c>
      <c r="AO103">
        <f t="shared" si="51"/>
        <v>0</v>
      </c>
      <c r="AP103">
        <f t="shared" si="52"/>
        <v>0</v>
      </c>
      <c r="AQ103">
        <f t="shared" si="53"/>
        <v>1</v>
      </c>
      <c r="AR103">
        <f t="shared" si="54"/>
        <v>0</v>
      </c>
      <c r="AS103">
        <f t="shared" si="55"/>
        <v>0</v>
      </c>
    </row>
    <row r="104" spans="2:45" x14ac:dyDescent="0.3">
      <c r="B104">
        <v>103</v>
      </c>
      <c r="C104" s="1">
        <v>40646</v>
      </c>
      <c r="D104">
        <v>2</v>
      </c>
      <c r="E104">
        <v>0</v>
      </c>
      <c r="F104">
        <v>4</v>
      </c>
      <c r="G104">
        <v>3</v>
      </c>
      <c r="H104">
        <v>2</v>
      </c>
      <c r="I104">
        <v>209</v>
      </c>
      <c r="J104">
        <v>1953</v>
      </c>
      <c r="K104" s="8">
        <v>2162</v>
      </c>
      <c r="L104">
        <v>16.912500000000001</v>
      </c>
      <c r="M104">
        <v>20.864149999999999</v>
      </c>
      <c r="N104">
        <v>81.916700000000006</v>
      </c>
      <c r="O104">
        <v>16.791339000000001</v>
      </c>
      <c r="P104">
        <v>0</v>
      </c>
      <c r="Q104">
        <v>1</v>
      </c>
      <c r="R104">
        <f t="shared" si="28"/>
        <v>0</v>
      </c>
      <c r="S104">
        <f t="shared" si="29"/>
        <v>0</v>
      </c>
      <c r="T104">
        <f t="shared" si="30"/>
        <v>0</v>
      </c>
      <c r="U104">
        <f t="shared" si="31"/>
        <v>1</v>
      </c>
      <c r="V104">
        <f t="shared" si="32"/>
        <v>0</v>
      </c>
      <c r="W104">
        <f t="shared" si="33"/>
        <v>0</v>
      </c>
      <c r="X104">
        <f t="shared" si="34"/>
        <v>0</v>
      </c>
      <c r="Y104">
        <f t="shared" si="35"/>
        <v>0</v>
      </c>
      <c r="Z104">
        <f t="shared" si="36"/>
        <v>0</v>
      </c>
      <c r="AA104">
        <f t="shared" si="37"/>
        <v>0</v>
      </c>
      <c r="AB104">
        <f t="shared" si="38"/>
        <v>0</v>
      </c>
      <c r="AC104">
        <f t="shared" si="39"/>
        <v>0</v>
      </c>
      <c r="AD104">
        <f t="shared" si="40"/>
        <v>0</v>
      </c>
      <c r="AE104">
        <f t="shared" si="41"/>
        <v>0</v>
      </c>
      <c r="AF104">
        <f t="shared" si="42"/>
        <v>0</v>
      </c>
      <c r="AG104">
        <f t="shared" si="43"/>
        <v>1</v>
      </c>
      <c r="AH104">
        <f t="shared" si="44"/>
        <v>0</v>
      </c>
      <c r="AI104">
        <f t="shared" si="45"/>
        <v>0</v>
      </c>
      <c r="AJ104">
        <f t="shared" si="46"/>
        <v>0</v>
      </c>
      <c r="AK104">
        <f t="shared" si="47"/>
        <v>0</v>
      </c>
      <c r="AL104">
        <f t="shared" si="48"/>
        <v>1</v>
      </c>
      <c r="AM104">
        <f t="shared" si="49"/>
        <v>0</v>
      </c>
      <c r="AN104">
        <f t="shared" si="50"/>
        <v>1</v>
      </c>
      <c r="AO104">
        <f t="shared" si="51"/>
        <v>0</v>
      </c>
      <c r="AP104">
        <f t="shared" si="52"/>
        <v>0</v>
      </c>
      <c r="AQ104">
        <f t="shared" si="53"/>
        <v>1</v>
      </c>
      <c r="AR104">
        <f t="shared" si="54"/>
        <v>0</v>
      </c>
      <c r="AS104">
        <f t="shared" si="55"/>
        <v>0</v>
      </c>
    </row>
    <row r="105" spans="2:45" x14ac:dyDescent="0.3">
      <c r="B105">
        <v>104</v>
      </c>
      <c r="C105" s="1">
        <v>40647</v>
      </c>
      <c r="D105">
        <v>2</v>
      </c>
      <c r="E105">
        <v>0</v>
      </c>
      <c r="F105">
        <v>4</v>
      </c>
      <c r="G105">
        <v>4</v>
      </c>
      <c r="H105">
        <v>1</v>
      </c>
      <c r="I105">
        <v>529</v>
      </c>
      <c r="J105">
        <v>2738</v>
      </c>
      <c r="K105" s="8">
        <v>3267</v>
      </c>
      <c r="L105">
        <v>19.1675</v>
      </c>
      <c r="M105">
        <v>23.1371</v>
      </c>
      <c r="N105">
        <v>54.041699999999999</v>
      </c>
      <c r="O105">
        <v>7.4169</v>
      </c>
      <c r="P105">
        <v>0</v>
      </c>
      <c r="Q105">
        <v>1</v>
      </c>
      <c r="R105">
        <f t="shared" si="28"/>
        <v>0</v>
      </c>
      <c r="S105">
        <f t="shared" si="29"/>
        <v>0</v>
      </c>
      <c r="T105">
        <f t="shared" si="30"/>
        <v>0</v>
      </c>
      <c r="U105">
        <f t="shared" si="31"/>
        <v>1</v>
      </c>
      <c r="V105">
        <f t="shared" si="32"/>
        <v>0</v>
      </c>
      <c r="W105">
        <f t="shared" si="33"/>
        <v>0</v>
      </c>
      <c r="X105">
        <f t="shared" si="34"/>
        <v>0</v>
      </c>
      <c r="Y105">
        <f t="shared" si="35"/>
        <v>0</v>
      </c>
      <c r="Z105">
        <f t="shared" si="36"/>
        <v>0</v>
      </c>
      <c r="AA105">
        <f t="shared" si="37"/>
        <v>0</v>
      </c>
      <c r="AB105">
        <f t="shared" si="38"/>
        <v>0</v>
      </c>
      <c r="AC105">
        <f t="shared" si="39"/>
        <v>0</v>
      </c>
      <c r="AD105">
        <f t="shared" si="40"/>
        <v>0</v>
      </c>
      <c r="AE105">
        <f t="shared" si="41"/>
        <v>0</v>
      </c>
      <c r="AF105">
        <f t="shared" si="42"/>
        <v>0</v>
      </c>
      <c r="AG105">
        <f t="shared" si="43"/>
        <v>0</v>
      </c>
      <c r="AH105">
        <f t="shared" si="44"/>
        <v>1</v>
      </c>
      <c r="AI105">
        <f t="shared" si="45"/>
        <v>0</v>
      </c>
      <c r="AJ105">
        <f t="shared" si="46"/>
        <v>0</v>
      </c>
      <c r="AK105">
        <f t="shared" si="47"/>
        <v>1</v>
      </c>
      <c r="AL105">
        <f t="shared" si="48"/>
        <v>0</v>
      </c>
      <c r="AM105">
        <f t="shared" si="49"/>
        <v>0</v>
      </c>
      <c r="AN105">
        <f t="shared" si="50"/>
        <v>1</v>
      </c>
      <c r="AO105">
        <f t="shared" si="51"/>
        <v>0</v>
      </c>
      <c r="AP105">
        <f t="shared" si="52"/>
        <v>0</v>
      </c>
      <c r="AQ105">
        <f t="shared" si="53"/>
        <v>1</v>
      </c>
      <c r="AR105">
        <f t="shared" si="54"/>
        <v>0</v>
      </c>
      <c r="AS105">
        <f t="shared" si="55"/>
        <v>0</v>
      </c>
    </row>
    <row r="106" spans="2:45" x14ac:dyDescent="0.3">
      <c r="B106">
        <v>105</v>
      </c>
      <c r="C106" s="1">
        <v>40648</v>
      </c>
      <c r="D106">
        <v>2</v>
      </c>
      <c r="E106">
        <v>0</v>
      </c>
      <c r="F106">
        <v>4</v>
      </c>
      <c r="G106">
        <v>5</v>
      </c>
      <c r="H106">
        <v>1</v>
      </c>
      <c r="I106">
        <v>642</v>
      </c>
      <c r="J106">
        <v>2484</v>
      </c>
      <c r="K106" s="8">
        <v>3126</v>
      </c>
      <c r="L106">
        <v>18.313347</v>
      </c>
      <c r="M106">
        <v>22.095649999999999</v>
      </c>
      <c r="N106">
        <v>67.125</v>
      </c>
      <c r="O106">
        <v>15.167125</v>
      </c>
      <c r="P106">
        <v>1</v>
      </c>
      <c r="Q106">
        <v>0</v>
      </c>
      <c r="R106">
        <f t="shared" si="28"/>
        <v>0</v>
      </c>
      <c r="S106">
        <f t="shared" si="29"/>
        <v>0</v>
      </c>
      <c r="T106">
        <f t="shared" si="30"/>
        <v>0</v>
      </c>
      <c r="U106">
        <f t="shared" si="31"/>
        <v>1</v>
      </c>
      <c r="V106">
        <f t="shared" si="32"/>
        <v>0</v>
      </c>
      <c r="W106">
        <f t="shared" si="33"/>
        <v>0</v>
      </c>
      <c r="X106">
        <f t="shared" si="34"/>
        <v>0</v>
      </c>
      <c r="Y106">
        <f t="shared" si="35"/>
        <v>0</v>
      </c>
      <c r="Z106">
        <f t="shared" si="36"/>
        <v>0</v>
      </c>
      <c r="AA106">
        <f t="shared" si="37"/>
        <v>0</v>
      </c>
      <c r="AB106">
        <f t="shared" si="38"/>
        <v>0</v>
      </c>
      <c r="AC106">
        <f t="shared" si="39"/>
        <v>0</v>
      </c>
      <c r="AD106">
        <f t="shared" si="40"/>
        <v>0</v>
      </c>
      <c r="AE106">
        <f t="shared" si="41"/>
        <v>0</v>
      </c>
      <c r="AF106">
        <f t="shared" si="42"/>
        <v>0</v>
      </c>
      <c r="AG106">
        <f t="shared" si="43"/>
        <v>0</v>
      </c>
      <c r="AH106">
        <f t="shared" si="44"/>
        <v>0</v>
      </c>
      <c r="AI106">
        <f t="shared" si="45"/>
        <v>1</v>
      </c>
      <c r="AJ106">
        <f t="shared" si="46"/>
        <v>0</v>
      </c>
      <c r="AK106">
        <f t="shared" si="47"/>
        <v>1</v>
      </c>
      <c r="AL106">
        <f t="shared" si="48"/>
        <v>0</v>
      </c>
      <c r="AM106">
        <f t="shared" si="49"/>
        <v>0</v>
      </c>
      <c r="AN106">
        <f t="shared" si="50"/>
        <v>1</v>
      </c>
      <c r="AO106">
        <f t="shared" si="51"/>
        <v>0</v>
      </c>
      <c r="AP106">
        <f t="shared" si="52"/>
        <v>0</v>
      </c>
      <c r="AQ106">
        <f t="shared" si="53"/>
        <v>1</v>
      </c>
      <c r="AR106">
        <f t="shared" si="54"/>
        <v>0</v>
      </c>
      <c r="AS106">
        <f t="shared" si="55"/>
        <v>0</v>
      </c>
    </row>
    <row r="107" spans="2:45" x14ac:dyDescent="0.3">
      <c r="B107">
        <v>106</v>
      </c>
      <c r="C107" s="1">
        <v>40649</v>
      </c>
      <c r="D107">
        <v>2</v>
      </c>
      <c r="E107">
        <v>0</v>
      </c>
      <c r="F107">
        <v>4</v>
      </c>
      <c r="G107">
        <v>6</v>
      </c>
      <c r="H107">
        <v>3</v>
      </c>
      <c r="I107">
        <v>121</v>
      </c>
      <c r="J107">
        <v>674</v>
      </c>
      <c r="K107" s="8">
        <v>795</v>
      </c>
      <c r="L107">
        <v>17.664152999999999</v>
      </c>
      <c r="M107">
        <v>21.2746</v>
      </c>
      <c r="N107">
        <v>88.833299999999994</v>
      </c>
      <c r="O107">
        <v>22.834136000000001</v>
      </c>
      <c r="P107">
        <v>0</v>
      </c>
      <c r="Q107">
        <v>0</v>
      </c>
      <c r="R107">
        <f t="shared" si="28"/>
        <v>0</v>
      </c>
      <c r="S107">
        <f t="shared" si="29"/>
        <v>0</v>
      </c>
      <c r="T107">
        <f t="shared" si="30"/>
        <v>0</v>
      </c>
      <c r="U107">
        <f t="shared" si="31"/>
        <v>1</v>
      </c>
      <c r="V107">
        <f t="shared" si="32"/>
        <v>0</v>
      </c>
      <c r="W107">
        <f t="shared" si="33"/>
        <v>0</v>
      </c>
      <c r="X107">
        <f t="shared" si="34"/>
        <v>0</v>
      </c>
      <c r="Y107">
        <f t="shared" si="35"/>
        <v>0</v>
      </c>
      <c r="Z107">
        <f t="shared" si="36"/>
        <v>0</v>
      </c>
      <c r="AA107">
        <f t="shared" si="37"/>
        <v>0</v>
      </c>
      <c r="AB107">
        <f t="shared" si="38"/>
        <v>0</v>
      </c>
      <c r="AC107">
        <f t="shared" si="39"/>
        <v>0</v>
      </c>
      <c r="AD107">
        <f t="shared" si="40"/>
        <v>0</v>
      </c>
      <c r="AE107">
        <f t="shared" si="41"/>
        <v>0</v>
      </c>
      <c r="AF107">
        <f t="shared" si="42"/>
        <v>0</v>
      </c>
      <c r="AG107">
        <f t="shared" si="43"/>
        <v>0</v>
      </c>
      <c r="AH107">
        <f t="shared" si="44"/>
        <v>0</v>
      </c>
      <c r="AI107">
        <f t="shared" si="45"/>
        <v>0</v>
      </c>
      <c r="AJ107">
        <f t="shared" si="46"/>
        <v>1</v>
      </c>
      <c r="AK107">
        <f t="shared" si="47"/>
        <v>0</v>
      </c>
      <c r="AL107">
        <f t="shared" si="48"/>
        <v>0</v>
      </c>
      <c r="AM107">
        <f t="shared" si="49"/>
        <v>1</v>
      </c>
      <c r="AN107">
        <f t="shared" si="50"/>
        <v>1</v>
      </c>
      <c r="AO107">
        <f t="shared" si="51"/>
        <v>0</v>
      </c>
      <c r="AP107">
        <f t="shared" si="52"/>
        <v>0</v>
      </c>
      <c r="AQ107">
        <f t="shared" si="53"/>
        <v>1</v>
      </c>
      <c r="AR107">
        <f t="shared" si="54"/>
        <v>0</v>
      </c>
      <c r="AS107">
        <f t="shared" si="55"/>
        <v>0</v>
      </c>
    </row>
    <row r="108" spans="2:45" x14ac:dyDescent="0.3">
      <c r="B108">
        <v>107</v>
      </c>
      <c r="C108" s="1">
        <v>40650</v>
      </c>
      <c r="D108">
        <v>2</v>
      </c>
      <c r="E108">
        <v>0</v>
      </c>
      <c r="F108">
        <v>4</v>
      </c>
      <c r="G108">
        <v>0</v>
      </c>
      <c r="H108">
        <v>1</v>
      </c>
      <c r="I108">
        <v>1558</v>
      </c>
      <c r="J108">
        <v>2186</v>
      </c>
      <c r="K108" s="8">
        <v>3744</v>
      </c>
      <c r="L108">
        <v>18.723347</v>
      </c>
      <c r="M108">
        <v>22.284800000000001</v>
      </c>
      <c r="N108">
        <v>47.958300000000001</v>
      </c>
      <c r="O108">
        <v>20.334232</v>
      </c>
      <c r="P108">
        <v>0</v>
      </c>
      <c r="Q108">
        <v>0</v>
      </c>
      <c r="R108">
        <f t="shared" si="28"/>
        <v>0</v>
      </c>
      <c r="S108">
        <f t="shared" si="29"/>
        <v>0</v>
      </c>
      <c r="T108">
        <f t="shared" si="30"/>
        <v>0</v>
      </c>
      <c r="U108">
        <f t="shared" si="31"/>
        <v>1</v>
      </c>
      <c r="V108">
        <f t="shared" si="32"/>
        <v>0</v>
      </c>
      <c r="W108">
        <f t="shared" si="33"/>
        <v>0</v>
      </c>
      <c r="X108">
        <f t="shared" si="34"/>
        <v>0</v>
      </c>
      <c r="Y108">
        <f t="shared" si="35"/>
        <v>0</v>
      </c>
      <c r="Z108">
        <f t="shared" si="36"/>
        <v>0</v>
      </c>
      <c r="AA108">
        <f t="shared" si="37"/>
        <v>0</v>
      </c>
      <c r="AB108">
        <f t="shared" si="38"/>
        <v>0</v>
      </c>
      <c r="AC108">
        <f t="shared" si="39"/>
        <v>0</v>
      </c>
      <c r="AD108">
        <f t="shared" si="40"/>
        <v>1</v>
      </c>
      <c r="AE108">
        <f t="shared" si="41"/>
        <v>0</v>
      </c>
      <c r="AF108">
        <f t="shared" si="42"/>
        <v>0</v>
      </c>
      <c r="AG108">
        <f t="shared" si="43"/>
        <v>0</v>
      </c>
      <c r="AH108">
        <f t="shared" si="44"/>
        <v>0</v>
      </c>
      <c r="AI108">
        <f t="shared" si="45"/>
        <v>0</v>
      </c>
      <c r="AJ108">
        <f t="shared" si="46"/>
        <v>0</v>
      </c>
      <c r="AK108">
        <f t="shared" si="47"/>
        <v>1</v>
      </c>
      <c r="AL108">
        <f t="shared" si="48"/>
        <v>0</v>
      </c>
      <c r="AM108">
        <f t="shared" si="49"/>
        <v>0</v>
      </c>
      <c r="AN108">
        <f t="shared" si="50"/>
        <v>1</v>
      </c>
      <c r="AO108">
        <f t="shared" si="51"/>
        <v>0</v>
      </c>
      <c r="AP108">
        <f t="shared" si="52"/>
        <v>0</v>
      </c>
      <c r="AQ108">
        <f t="shared" si="53"/>
        <v>1</v>
      </c>
      <c r="AR108">
        <f t="shared" si="54"/>
        <v>0</v>
      </c>
      <c r="AS108">
        <f t="shared" si="55"/>
        <v>0</v>
      </c>
    </row>
    <row r="109" spans="2:45" x14ac:dyDescent="0.3">
      <c r="B109">
        <v>108</v>
      </c>
      <c r="C109" s="1">
        <v>40651</v>
      </c>
      <c r="D109">
        <v>2</v>
      </c>
      <c r="E109">
        <v>0</v>
      </c>
      <c r="F109">
        <v>4</v>
      </c>
      <c r="G109">
        <v>1</v>
      </c>
      <c r="H109">
        <v>1</v>
      </c>
      <c r="I109">
        <v>669</v>
      </c>
      <c r="J109">
        <v>2760</v>
      </c>
      <c r="K109" s="8">
        <v>3429</v>
      </c>
      <c r="L109">
        <v>21.012499999999999</v>
      </c>
      <c r="M109">
        <v>25.157299999999999</v>
      </c>
      <c r="N109">
        <v>54.25</v>
      </c>
      <c r="O109">
        <v>10.958989000000001</v>
      </c>
      <c r="P109">
        <v>0</v>
      </c>
      <c r="Q109">
        <v>1</v>
      </c>
      <c r="R109">
        <f t="shared" si="28"/>
        <v>0</v>
      </c>
      <c r="S109">
        <f t="shared" si="29"/>
        <v>0</v>
      </c>
      <c r="T109">
        <f t="shared" si="30"/>
        <v>0</v>
      </c>
      <c r="U109">
        <f t="shared" si="31"/>
        <v>1</v>
      </c>
      <c r="V109">
        <f t="shared" si="32"/>
        <v>0</v>
      </c>
      <c r="W109">
        <f t="shared" si="33"/>
        <v>0</v>
      </c>
      <c r="X109">
        <f t="shared" si="34"/>
        <v>0</v>
      </c>
      <c r="Y109">
        <f t="shared" si="35"/>
        <v>0</v>
      </c>
      <c r="Z109">
        <f t="shared" si="36"/>
        <v>0</v>
      </c>
      <c r="AA109">
        <f t="shared" si="37"/>
        <v>0</v>
      </c>
      <c r="AB109">
        <f t="shared" si="38"/>
        <v>0</v>
      </c>
      <c r="AC109">
        <f t="shared" si="39"/>
        <v>0</v>
      </c>
      <c r="AD109">
        <f t="shared" si="40"/>
        <v>0</v>
      </c>
      <c r="AE109">
        <f t="shared" si="41"/>
        <v>1</v>
      </c>
      <c r="AF109">
        <f t="shared" si="42"/>
        <v>0</v>
      </c>
      <c r="AG109">
        <f t="shared" si="43"/>
        <v>0</v>
      </c>
      <c r="AH109">
        <f t="shared" si="44"/>
        <v>0</v>
      </c>
      <c r="AI109">
        <f t="shared" si="45"/>
        <v>0</v>
      </c>
      <c r="AJ109">
        <f t="shared" si="46"/>
        <v>0</v>
      </c>
      <c r="AK109">
        <f t="shared" si="47"/>
        <v>1</v>
      </c>
      <c r="AL109">
        <f t="shared" si="48"/>
        <v>0</v>
      </c>
      <c r="AM109">
        <f t="shared" si="49"/>
        <v>0</v>
      </c>
      <c r="AN109">
        <f t="shared" si="50"/>
        <v>1</v>
      </c>
      <c r="AO109">
        <f t="shared" si="51"/>
        <v>0</v>
      </c>
      <c r="AP109">
        <f t="shared" si="52"/>
        <v>0</v>
      </c>
      <c r="AQ109">
        <f t="shared" si="53"/>
        <v>1</v>
      </c>
      <c r="AR109">
        <f t="shared" si="54"/>
        <v>0</v>
      </c>
      <c r="AS109">
        <f t="shared" si="55"/>
        <v>0</v>
      </c>
    </row>
    <row r="110" spans="2:45" x14ac:dyDescent="0.3">
      <c r="B110">
        <v>109</v>
      </c>
      <c r="C110" s="1">
        <v>40652</v>
      </c>
      <c r="D110">
        <v>2</v>
      </c>
      <c r="E110">
        <v>0</v>
      </c>
      <c r="F110">
        <v>4</v>
      </c>
      <c r="G110">
        <v>2</v>
      </c>
      <c r="H110">
        <v>2</v>
      </c>
      <c r="I110">
        <v>409</v>
      </c>
      <c r="J110">
        <v>2795</v>
      </c>
      <c r="K110" s="8">
        <v>3204</v>
      </c>
      <c r="L110">
        <v>20.739153000000002</v>
      </c>
      <c r="M110">
        <v>24.462900000000001</v>
      </c>
      <c r="N110">
        <v>66.583299999999994</v>
      </c>
      <c r="O110">
        <v>10.584057</v>
      </c>
      <c r="P110">
        <v>0</v>
      </c>
      <c r="Q110">
        <v>1</v>
      </c>
      <c r="R110">
        <f t="shared" si="28"/>
        <v>0</v>
      </c>
      <c r="S110">
        <f t="shared" si="29"/>
        <v>0</v>
      </c>
      <c r="T110">
        <f t="shared" si="30"/>
        <v>0</v>
      </c>
      <c r="U110">
        <f t="shared" si="31"/>
        <v>1</v>
      </c>
      <c r="V110">
        <f t="shared" si="32"/>
        <v>0</v>
      </c>
      <c r="W110">
        <f t="shared" si="33"/>
        <v>0</v>
      </c>
      <c r="X110">
        <f t="shared" si="34"/>
        <v>0</v>
      </c>
      <c r="Y110">
        <f t="shared" si="35"/>
        <v>0</v>
      </c>
      <c r="Z110">
        <f t="shared" si="36"/>
        <v>0</v>
      </c>
      <c r="AA110">
        <f t="shared" si="37"/>
        <v>0</v>
      </c>
      <c r="AB110">
        <f t="shared" si="38"/>
        <v>0</v>
      </c>
      <c r="AC110">
        <f t="shared" si="39"/>
        <v>0</v>
      </c>
      <c r="AD110">
        <f t="shared" si="40"/>
        <v>0</v>
      </c>
      <c r="AE110">
        <f t="shared" si="41"/>
        <v>0</v>
      </c>
      <c r="AF110">
        <f t="shared" si="42"/>
        <v>1</v>
      </c>
      <c r="AG110">
        <f t="shared" si="43"/>
        <v>0</v>
      </c>
      <c r="AH110">
        <f t="shared" si="44"/>
        <v>0</v>
      </c>
      <c r="AI110">
        <f t="shared" si="45"/>
        <v>0</v>
      </c>
      <c r="AJ110">
        <f t="shared" si="46"/>
        <v>0</v>
      </c>
      <c r="AK110">
        <f t="shared" si="47"/>
        <v>0</v>
      </c>
      <c r="AL110">
        <f t="shared" si="48"/>
        <v>1</v>
      </c>
      <c r="AM110">
        <f t="shared" si="49"/>
        <v>0</v>
      </c>
      <c r="AN110">
        <f t="shared" si="50"/>
        <v>1</v>
      </c>
      <c r="AO110">
        <f t="shared" si="51"/>
        <v>0</v>
      </c>
      <c r="AP110">
        <f t="shared" si="52"/>
        <v>0</v>
      </c>
      <c r="AQ110">
        <f t="shared" si="53"/>
        <v>1</v>
      </c>
      <c r="AR110">
        <f t="shared" si="54"/>
        <v>0</v>
      </c>
      <c r="AS110">
        <f t="shared" si="55"/>
        <v>0</v>
      </c>
    </row>
    <row r="111" spans="2:45" x14ac:dyDescent="0.3">
      <c r="B111">
        <v>110</v>
      </c>
      <c r="C111" s="1">
        <v>40653</v>
      </c>
      <c r="D111">
        <v>2</v>
      </c>
      <c r="E111">
        <v>0</v>
      </c>
      <c r="F111">
        <v>4</v>
      </c>
      <c r="G111">
        <v>3</v>
      </c>
      <c r="H111">
        <v>1</v>
      </c>
      <c r="I111">
        <v>613</v>
      </c>
      <c r="J111">
        <v>3331</v>
      </c>
      <c r="K111" s="8">
        <v>3944</v>
      </c>
      <c r="L111">
        <v>24.395</v>
      </c>
      <c r="M111">
        <v>28.2196</v>
      </c>
      <c r="N111">
        <v>61.416699999999999</v>
      </c>
      <c r="O111">
        <v>16.208974999999999</v>
      </c>
      <c r="P111">
        <v>0</v>
      </c>
      <c r="Q111">
        <v>1</v>
      </c>
      <c r="R111">
        <f t="shared" si="28"/>
        <v>0</v>
      </c>
      <c r="S111">
        <f t="shared" si="29"/>
        <v>0</v>
      </c>
      <c r="T111">
        <f t="shared" si="30"/>
        <v>0</v>
      </c>
      <c r="U111">
        <f t="shared" si="31"/>
        <v>1</v>
      </c>
      <c r="V111">
        <f t="shared" si="32"/>
        <v>0</v>
      </c>
      <c r="W111">
        <f t="shared" si="33"/>
        <v>0</v>
      </c>
      <c r="X111">
        <f t="shared" si="34"/>
        <v>0</v>
      </c>
      <c r="Y111">
        <f t="shared" si="35"/>
        <v>0</v>
      </c>
      <c r="Z111">
        <f t="shared" si="36"/>
        <v>0</v>
      </c>
      <c r="AA111">
        <f t="shared" si="37"/>
        <v>0</v>
      </c>
      <c r="AB111">
        <f t="shared" si="38"/>
        <v>0</v>
      </c>
      <c r="AC111">
        <f t="shared" si="39"/>
        <v>0</v>
      </c>
      <c r="AD111">
        <f t="shared" si="40"/>
        <v>0</v>
      </c>
      <c r="AE111">
        <f t="shared" si="41"/>
        <v>0</v>
      </c>
      <c r="AF111">
        <f t="shared" si="42"/>
        <v>0</v>
      </c>
      <c r="AG111">
        <f t="shared" si="43"/>
        <v>1</v>
      </c>
      <c r="AH111">
        <f t="shared" si="44"/>
        <v>0</v>
      </c>
      <c r="AI111">
        <f t="shared" si="45"/>
        <v>0</v>
      </c>
      <c r="AJ111">
        <f t="shared" si="46"/>
        <v>0</v>
      </c>
      <c r="AK111">
        <f t="shared" si="47"/>
        <v>1</v>
      </c>
      <c r="AL111">
        <f t="shared" si="48"/>
        <v>0</v>
      </c>
      <c r="AM111">
        <f t="shared" si="49"/>
        <v>0</v>
      </c>
      <c r="AN111">
        <f t="shared" si="50"/>
        <v>1</v>
      </c>
      <c r="AO111">
        <f t="shared" si="51"/>
        <v>0</v>
      </c>
      <c r="AP111">
        <f t="shared" si="52"/>
        <v>0</v>
      </c>
      <c r="AQ111">
        <f t="shared" si="53"/>
        <v>1</v>
      </c>
      <c r="AR111">
        <f t="shared" si="54"/>
        <v>0</v>
      </c>
      <c r="AS111">
        <f t="shared" si="55"/>
        <v>0</v>
      </c>
    </row>
    <row r="112" spans="2:45" x14ac:dyDescent="0.3">
      <c r="B112">
        <v>111</v>
      </c>
      <c r="C112" s="1">
        <v>40654</v>
      </c>
      <c r="D112">
        <v>2</v>
      </c>
      <c r="E112">
        <v>0</v>
      </c>
      <c r="F112">
        <v>4</v>
      </c>
      <c r="G112">
        <v>4</v>
      </c>
      <c r="H112">
        <v>1</v>
      </c>
      <c r="I112">
        <v>745</v>
      </c>
      <c r="J112">
        <v>3444</v>
      </c>
      <c r="K112" s="8">
        <v>4189</v>
      </c>
      <c r="L112">
        <v>18.825847</v>
      </c>
      <c r="M112">
        <v>22.694600000000001</v>
      </c>
      <c r="N112">
        <v>40.708300000000001</v>
      </c>
      <c r="O112">
        <v>21.792286000000001</v>
      </c>
      <c r="P112">
        <v>0</v>
      </c>
      <c r="Q112">
        <v>1</v>
      </c>
      <c r="R112">
        <f t="shared" si="28"/>
        <v>0</v>
      </c>
      <c r="S112">
        <f t="shared" si="29"/>
        <v>0</v>
      </c>
      <c r="T112">
        <f t="shared" si="30"/>
        <v>0</v>
      </c>
      <c r="U112">
        <f t="shared" si="31"/>
        <v>1</v>
      </c>
      <c r="V112">
        <f t="shared" si="32"/>
        <v>0</v>
      </c>
      <c r="W112">
        <f t="shared" si="33"/>
        <v>0</v>
      </c>
      <c r="X112">
        <f t="shared" si="34"/>
        <v>0</v>
      </c>
      <c r="Y112">
        <f t="shared" si="35"/>
        <v>0</v>
      </c>
      <c r="Z112">
        <f t="shared" si="36"/>
        <v>0</v>
      </c>
      <c r="AA112">
        <f t="shared" si="37"/>
        <v>0</v>
      </c>
      <c r="AB112">
        <f t="shared" si="38"/>
        <v>0</v>
      </c>
      <c r="AC112">
        <f t="shared" si="39"/>
        <v>0</v>
      </c>
      <c r="AD112">
        <f t="shared" si="40"/>
        <v>0</v>
      </c>
      <c r="AE112">
        <f t="shared" si="41"/>
        <v>0</v>
      </c>
      <c r="AF112">
        <f t="shared" si="42"/>
        <v>0</v>
      </c>
      <c r="AG112">
        <f t="shared" si="43"/>
        <v>0</v>
      </c>
      <c r="AH112">
        <f t="shared" si="44"/>
        <v>1</v>
      </c>
      <c r="AI112">
        <f t="shared" si="45"/>
        <v>0</v>
      </c>
      <c r="AJ112">
        <f t="shared" si="46"/>
        <v>0</v>
      </c>
      <c r="AK112">
        <f t="shared" si="47"/>
        <v>1</v>
      </c>
      <c r="AL112">
        <f t="shared" si="48"/>
        <v>0</v>
      </c>
      <c r="AM112">
        <f t="shared" si="49"/>
        <v>0</v>
      </c>
      <c r="AN112">
        <f t="shared" si="50"/>
        <v>1</v>
      </c>
      <c r="AO112">
        <f t="shared" si="51"/>
        <v>0</v>
      </c>
      <c r="AP112">
        <f t="shared" si="52"/>
        <v>0</v>
      </c>
      <c r="AQ112">
        <f t="shared" si="53"/>
        <v>1</v>
      </c>
      <c r="AR112">
        <f t="shared" si="54"/>
        <v>0</v>
      </c>
      <c r="AS112">
        <f t="shared" si="55"/>
        <v>0</v>
      </c>
    </row>
    <row r="113" spans="2:45" x14ac:dyDescent="0.3">
      <c r="B113">
        <v>112</v>
      </c>
      <c r="C113" s="1">
        <v>40655</v>
      </c>
      <c r="D113">
        <v>2</v>
      </c>
      <c r="E113">
        <v>0</v>
      </c>
      <c r="F113">
        <v>4</v>
      </c>
      <c r="G113">
        <v>5</v>
      </c>
      <c r="H113">
        <v>2</v>
      </c>
      <c r="I113">
        <v>177</v>
      </c>
      <c r="J113">
        <v>1506</v>
      </c>
      <c r="K113" s="8">
        <v>1683</v>
      </c>
      <c r="L113">
        <v>13.803347</v>
      </c>
      <c r="M113">
        <v>16.0977</v>
      </c>
      <c r="N113">
        <v>72.958299999999994</v>
      </c>
      <c r="O113">
        <v>14.707907000000001</v>
      </c>
      <c r="P113">
        <v>0</v>
      </c>
      <c r="Q113">
        <v>1</v>
      </c>
      <c r="R113">
        <f t="shared" si="28"/>
        <v>0</v>
      </c>
      <c r="S113">
        <f t="shared" si="29"/>
        <v>0</v>
      </c>
      <c r="T113">
        <f t="shared" si="30"/>
        <v>0</v>
      </c>
      <c r="U113">
        <f t="shared" si="31"/>
        <v>1</v>
      </c>
      <c r="V113">
        <f t="shared" si="32"/>
        <v>0</v>
      </c>
      <c r="W113">
        <f t="shared" si="33"/>
        <v>0</v>
      </c>
      <c r="X113">
        <f t="shared" si="34"/>
        <v>0</v>
      </c>
      <c r="Y113">
        <f t="shared" si="35"/>
        <v>0</v>
      </c>
      <c r="Z113">
        <f t="shared" si="36"/>
        <v>0</v>
      </c>
      <c r="AA113">
        <f t="shared" si="37"/>
        <v>0</v>
      </c>
      <c r="AB113">
        <f t="shared" si="38"/>
        <v>0</v>
      </c>
      <c r="AC113">
        <f t="shared" si="39"/>
        <v>0</v>
      </c>
      <c r="AD113">
        <f t="shared" si="40"/>
        <v>0</v>
      </c>
      <c r="AE113">
        <f t="shared" si="41"/>
        <v>0</v>
      </c>
      <c r="AF113">
        <f t="shared" si="42"/>
        <v>0</v>
      </c>
      <c r="AG113">
        <f t="shared" si="43"/>
        <v>0</v>
      </c>
      <c r="AH113">
        <f t="shared" si="44"/>
        <v>0</v>
      </c>
      <c r="AI113">
        <f t="shared" si="45"/>
        <v>1</v>
      </c>
      <c r="AJ113">
        <f t="shared" si="46"/>
        <v>0</v>
      </c>
      <c r="AK113">
        <f t="shared" si="47"/>
        <v>0</v>
      </c>
      <c r="AL113">
        <f t="shared" si="48"/>
        <v>1</v>
      </c>
      <c r="AM113">
        <f t="shared" si="49"/>
        <v>0</v>
      </c>
      <c r="AN113">
        <f t="shared" si="50"/>
        <v>1</v>
      </c>
      <c r="AO113">
        <f t="shared" si="51"/>
        <v>0</v>
      </c>
      <c r="AP113">
        <f t="shared" si="52"/>
        <v>0</v>
      </c>
      <c r="AQ113">
        <f t="shared" si="53"/>
        <v>1</v>
      </c>
      <c r="AR113">
        <f t="shared" si="54"/>
        <v>0</v>
      </c>
      <c r="AS113">
        <f t="shared" si="55"/>
        <v>0</v>
      </c>
    </row>
    <row r="114" spans="2:45" x14ac:dyDescent="0.3">
      <c r="B114">
        <v>113</v>
      </c>
      <c r="C114" s="1">
        <v>40656</v>
      </c>
      <c r="D114">
        <v>2</v>
      </c>
      <c r="E114">
        <v>0</v>
      </c>
      <c r="F114">
        <v>4</v>
      </c>
      <c r="G114">
        <v>6</v>
      </c>
      <c r="H114">
        <v>2</v>
      </c>
      <c r="I114">
        <v>1462</v>
      </c>
      <c r="J114">
        <v>2574</v>
      </c>
      <c r="K114" s="8">
        <v>4036</v>
      </c>
      <c r="L114">
        <v>18.86</v>
      </c>
      <c r="M114">
        <v>22.506049999999998</v>
      </c>
      <c r="N114">
        <v>88.791700000000006</v>
      </c>
      <c r="O114">
        <v>15.458575</v>
      </c>
      <c r="P114">
        <v>0</v>
      </c>
      <c r="Q114">
        <v>0</v>
      </c>
      <c r="R114">
        <f t="shared" si="28"/>
        <v>0</v>
      </c>
      <c r="S114">
        <f t="shared" si="29"/>
        <v>0</v>
      </c>
      <c r="T114">
        <f t="shared" si="30"/>
        <v>0</v>
      </c>
      <c r="U114">
        <f t="shared" si="31"/>
        <v>1</v>
      </c>
      <c r="V114">
        <f t="shared" si="32"/>
        <v>0</v>
      </c>
      <c r="W114">
        <f t="shared" si="33"/>
        <v>0</v>
      </c>
      <c r="X114">
        <f t="shared" si="34"/>
        <v>0</v>
      </c>
      <c r="Y114">
        <f t="shared" si="35"/>
        <v>0</v>
      </c>
      <c r="Z114">
        <f t="shared" si="36"/>
        <v>0</v>
      </c>
      <c r="AA114">
        <f t="shared" si="37"/>
        <v>0</v>
      </c>
      <c r="AB114">
        <f t="shared" si="38"/>
        <v>0</v>
      </c>
      <c r="AC114">
        <f t="shared" si="39"/>
        <v>0</v>
      </c>
      <c r="AD114">
        <f t="shared" si="40"/>
        <v>0</v>
      </c>
      <c r="AE114">
        <f t="shared" si="41"/>
        <v>0</v>
      </c>
      <c r="AF114">
        <f t="shared" si="42"/>
        <v>0</v>
      </c>
      <c r="AG114">
        <f t="shared" si="43"/>
        <v>0</v>
      </c>
      <c r="AH114">
        <f t="shared" si="44"/>
        <v>0</v>
      </c>
      <c r="AI114">
        <f t="shared" si="45"/>
        <v>0</v>
      </c>
      <c r="AJ114">
        <f t="shared" si="46"/>
        <v>1</v>
      </c>
      <c r="AK114">
        <f t="shared" si="47"/>
        <v>0</v>
      </c>
      <c r="AL114">
        <f t="shared" si="48"/>
        <v>1</v>
      </c>
      <c r="AM114">
        <f t="shared" si="49"/>
        <v>0</v>
      </c>
      <c r="AN114">
        <f t="shared" si="50"/>
        <v>1</v>
      </c>
      <c r="AO114">
        <f t="shared" si="51"/>
        <v>0</v>
      </c>
      <c r="AP114">
        <f t="shared" si="52"/>
        <v>0</v>
      </c>
      <c r="AQ114">
        <f t="shared" si="53"/>
        <v>1</v>
      </c>
      <c r="AR114">
        <f t="shared" si="54"/>
        <v>0</v>
      </c>
      <c r="AS114">
        <f t="shared" si="55"/>
        <v>0</v>
      </c>
    </row>
    <row r="115" spans="2:45" x14ac:dyDescent="0.3">
      <c r="B115">
        <v>114</v>
      </c>
      <c r="C115" s="1">
        <v>40657</v>
      </c>
      <c r="D115">
        <v>2</v>
      </c>
      <c r="E115">
        <v>0</v>
      </c>
      <c r="F115">
        <v>4</v>
      </c>
      <c r="G115">
        <v>0</v>
      </c>
      <c r="H115">
        <v>2</v>
      </c>
      <c r="I115">
        <v>1710</v>
      </c>
      <c r="J115">
        <v>2481</v>
      </c>
      <c r="K115" s="8">
        <v>4191</v>
      </c>
      <c r="L115">
        <v>23.848347</v>
      </c>
      <c r="M115">
        <v>27.588149999999999</v>
      </c>
      <c r="N115">
        <v>81.083299999999994</v>
      </c>
      <c r="O115">
        <v>12.875724999999999</v>
      </c>
      <c r="P115">
        <v>0</v>
      </c>
      <c r="Q115">
        <v>0</v>
      </c>
      <c r="R115">
        <f t="shared" si="28"/>
        <v>0</v>
      </c>
      <c r="S115">
        <f t="shared" si="29"/>
        <v>0</v>
      </c>
      <c r="T115">
        <f t="shared" si="30"/>
        <v>0</v>
      </c>
      <c r="U115">
        <f t="shared" si="31"/>
        <v>1</v>
      </c>
      <c r="V115">
        <f t="shared" si="32"/>
        <v>0</v>
      </c>
      <c r="W115">
        <f t="shared" si="33"/>
        <v>0</v>
      </c>
      <c r="X115">
        <f t="shared" si="34"/>
        <v>0</v>
      </c>
      <c r="Y115">
        <f t="shared" si="35"/>
        <v>0</v>
      </c>
      <c r="Z115">
        <f t="shared" si="36"/>
        <v>0</v>
      </c>
      <c r="AA115">
        <f t="shared" si="37"/>
        <v>0</v>
      </c>
      <c r="AB115">
        <f t="shared" si="38"/>
        <v>0</v>
      </c>
      <c r="AC115">
        <f t="shared" si="39"/>
        <v>0</v>
      </c>
      <c r="AD115">
        <f t="shared" si="40"/>
        <v>1</v>
      </c>
      <c r="AE115">
        <f t="shared" si="41"/>
        <v>0</v>
      </c>
      <c r="AF115">
        <f t="shared" si="42"/>
        <v>0</v>
      </c>
      <c r="AG115">
        <f t="shared" si="43"/>
        <v>0</v>
      </c>
      <c r="AH115">
        <f t="shared" si="44"/>
        <v>0</v>
      </c>
      <c r="AI115">
        <f t="shared" si="45"/>
        <v>0</v>
      </c>
      <c r="AJ115">
        <f t="shared" si="46"/>
        <v>0</v>
      </c>
      <c r="AK115">
        <f t="shared" si="47"/>
        <v>0</v>
      </c>
      <c r="AL115">
        <f t="shared" si="48"/>
        <v>1</v>
      </c>
      <c r="AM115">
        <f t="shared" si="49"/>
        <v>0</v>
      </c>
      <c r="AN115">
        <f t="shared" si="50"/>
        <v>1</v>
      </c>
      <c r="AO115">
        <f t="shared" si="51"/>
        <v>0</v>
      </c>
      <c r="AP115">
        <f t="shared" si="52"/>
        <v>0</v>
      </c>
      <c r="AQ115">
        <f t="shared" si="53"/>
        <v>1</v>
      </c>
      <c r="AR115">
        <f t="shared" si="54"/>
        <v>0</v>
      </c>
      <c r="AS115">
        <f t="shared" si="55"/>
        <v>0</v>
      </c>
    </row>
    <row r="116" spans="2:45" x14ac:dyDescent="0.3">
      <c r="B116">
        <v>115</v>
      </c>
      <c r="C116" s="1">
        <v>40658</v>
      </c>
      <c r="D116">
        <v>2</v>
      </c>
      <c r="E116">
        <v>0</v>
      </c>
      <c r="F116">
        <v>4</v>
      </c>
      <c r="G116">
        <v>1</v>
      </c>
      <c r="H116">
        <v>1</v>
      </c>
      <c r="I116">
        <v>773</v>
      </c>
      <c r="J116">
        <v>3300</v>
      </c>
      <c r="K116" s="8">
        <v>4073</v>
      </c>
      <c r="L116">
        <v>24.873346999999999</v>
      </c>
      <c r="M116">
        <v>28.725000000000001</v>
      </c>
      <c r="N116">
        <v>77.666700000000006</v>
      </c>
      <c r="O116">
        <v>12.417311</v>
      </c>
      <c r="P116">
        <v>0</v>
      </c>
      <c r="Q116">
        <v>1</v>
      </c>
      <c r="R116">
        <f t="shared" si="28"/>
        <v>0</v>
      </c>
      <c r="S116">
        <f t="shared" si="29"/>
        <v>0</v>
      </c>
      <c r="T116">
        <f t="shared" si="30"/>
        <v>0</v>
      </c>
      <c r="U116">
        <f t="shared" si="31"/>
        <v>1</v>
      </c>
      <c r="V116">
        <f t="shared" si="32"/>
        <v>0</v>
      </c>
      <c r="W116">
        <f t="shared" si="33"/>
        <v>0</v>
      </c>
      <c r="X116">
        <f t="shared" si="34"/>
        <v>0</v>
      </c>
      <c r="Y116">
        <f t="shared" si="35"/>
        <v>0</v>
      </c>
      <c r="Z116">
        <f t="shared" si="36"/>
        <v>0</v>
      </c>
      <c r="AA116">
        <f t="shared" si="37"/>
        <v>0</v>
      </c>
      <c r="AB116">
        <f t="shared" si="38"/>
        <v>0</v>
      </c>
      <c r="AC116">
        <f t="shared" si="39"/>
        <v>0</v>
      </c>
      <c r="AD116">
        <f t="shared" si="40"/>
        <v>0</v>
      </c>
      <c r="AE116">
        <f t="shared" si="41"/>
        <v>1</v>
      </c>
      <c r="AF116">
        <f t="shared" si="42"/>
        <v>0</v>
      </c>
      <c r="AG116">
        <f t="shared" si="43"/>
        <v>0</v>
      </c>
      <c r="AH116">
        <f t="shared" si="44"/>
        <v>0</v>
      </c>
      <c r="AI116">
        <f t="shared" si="45"/>
        <v>0</v>
      </c>
      <c r="AJ116">
        <f t="shared" si="46"/>
        <v>0</v>
      </c>
      <c r="AK116">
        <f t="shared" si="47"/>
        <v>1</v>
      </c>
      <c r="AL116">
        <f t="shared" si="48"/>
        <v>0</v>
      </c>
      <c r="AM116">
        <f t="shared" si="49"/>
        <v>0</v>
      </c>
      <c r="AN116">
        <f t="shared" si="50"/>
        <v>1</v>
      </c>
      <c r="AO116">
        <f t="shared" si="51"/>
        <v>0</v>
      </c>
      <c r="AP116">
        <f t="shared" si="52"/>
        <v>0</v>
      </c>
      <c r="AQ116">
        <f t="shared" si="53"/>
        <v>1</v>
      </c>
      <c r="AR116">
        <f t="shared" si="54"/>
        <v>0</v>
      </c>
      <c r="AS116">
        <f t="shared" si="55"/>
        <v>0</v>
      </c>
    </row>
    <row r="117" spans="2:45" x14ac:dyDescent="0.3">
      <c r="B117">
        <v>116</v>
      </c>
      <c r="C117" s="1">
        <v>40659</v>
      </c>
      <c r="D117">
        <v>2</v>
      </c>
      <c r="E117">
        <v>0</v>
      </c>
      <c r="F117">
        <v>4</v>
      </c>
      <c r="G117">
        <v>2</v>
      </c>
      <c r="H117">
        <v>1</v>
      </c>
      <c r="I117">
        <v>678</v>
      </c>
      <c r="J117">
        <v>3722</v>
      </c>
      <c r="K117" s="8">
        <v>4400</v>
      </c>
      <c r="L117">
        <v>25.898347000000001</v>
      </c>
      <c r="M117">
        <v>29.704149999999998</v>
      </c>
      <c r="N117">
        <v>72.916700000000006</v>
      </c>
      <c r="O117">
        <v>21.875499999999999</v>
      </c>
      <c r="P117">
        <v>0</v>
      </c>
      <c r="Q117">
        <v>1</v>
      </c>
      <c r="R117">
        <f t="shared" si="28"/>
        <v>0</v>
      </c>
      <c r="S117">
        <f t="shared" si="29"/>
        <v>0</v>
      </c>
      <c r="T117">
        <f t="shared" si="30"/>
        <v>0</v>
      </c>
      <c r="U117">
        <f t="shared" si="31"/>
        <v>1</v>
      </c>
      <c r="V117">
        <f t="shared" si="32"/>
        <v>0</v>
      </c>
      <c r="W117">
        <f t="shared" si="33"/>
        <v>0</v>
      </c>
      <c r="X117">
        <f t="shared" si="34"/>
        <v>0</v>
      </c>
      <c r="Y117">
        <f t="shared" si="35"/>
        <v>0</v>
      </c>
      <c r="Z117">
        <f t="shared" si="36"/>
        <v>0</v>
      </c>
      <c r="AA117">
        <f t="shared" si="37"/>
        <v>0</v>
      </c>
      <c r="AB117">
        <f t="shared" si="38"/>
        <v>0</v>
      </c>
      <c r="AC117">
        <f t="shared" si="39"/>
        <v>0</v>
      </c>
      <c r="AD117">
        <f t="shared" si="40"/>
        <v>0</v>
      </c>
      <c r="AE117">
        <f t="shared" si="41"/>
        <v>0</v>
      </c>
      <c r="AF117">
        <f t="shared" si="42"/>
        <v>1</v>
      </c>
      <c r="AG117">
        <f t="shared" si="43"/>
        <v>0</v>
      </c>
      <c r="AH117">
        <f t="shared" si="44"/>
        <v>0</v>
      </c>
      <c r="AI117">
        <f t="shared" si="45"/>
        <v>0</v>
      </c>
      <c r="AJ117">
        <f t="shared" si="46"/>
        <v>0</v>
      </c>
      <c r="AK117">
        <f t="shared" si="47"/>
        <v>1</v>
      </c>
      <c r="AL117">
        <f t="shared" si="48"/>
        <v>0</v>
      </c>
      <c r="AM117">
        <f t="shared" si="49"/>
        <v>0</v>
      </c>
      <c r="AN117">
        <f t="shared" si="50"/>
        <v>1</v>
      </c>
      <c r="AO117">
        <f t="shared" si="51"/>
        <v>0</v>
      </c>
      <c r="AP117">
        <f t="shared" si="52"/>
        <v>0</v>
      </c>
      <c r="AQ117">
        <f t="shared" si="53"/>
        <v>1</v>
      </c>
      <c r="AR117">
        <f t="shared" si="54"/>
        <v>0</v>
      </c>
      <c r="AS117">
        <f t="shared" si="55"/>
        <v>0</v>
      </c>
    </row>
    <row r="118" spans="2:45" x14ac:dyDescent="0.3">
      <c r="B118">
        <v>117</v>
      </c>
      <c r="C118" s="1">
        <v>40660</v>
      </c>
      <c r="D118">
        <v>2</v>
      </c>
      <c r="E118">
        <v>0</v>
      </c>
      <c r="F118">
        <v>4</v>
      </c>
      <c r="G118">
        <v>3</v>
      </c>
      <c r="H118">
        <v>2</v>
      </c>
      <c r="I118">
        <v>547</v>
      </c>
      <c r="J118">
        <v>3325</v>
      </c>
      <c r="K118" s="8">
        <v>3872</v>
      </c>
      <c r="L118">
        <v>25.42</v>
      </c>
      <c r="M118">
        <v>28.757100000000001</v>
      </c>
      <c r="N118">
        <v>83.541700000000006</v>
      </c>
      <c r="O118">
        <v>20.917400000000001</v>
      </c>
      <c r="P118">
        <v>0</v>
      </c>
      <c r="Q118">
        <v>1</v>
      </c>
      <c r="R118">
        <f t="shared" si="28"/>
        <v>0</v>
      </c>
      <c r="S118">
        <f t="shared" si="29"/>
        <v>0</v>
      </c>
      <c r="T118">
        <f t="shared" si="30"/>
        <v>0</v>
      </c>
      <c r="U118">
        <f t="shared" si="31"/>
        <v>1</v>
      </c>
      <c r="V118">
        <f t="shared" si="32"/>
        <v>0</v>
      </c>
      <c r="W118">
        <f t="shared" si="33"/>
        <v>0</v>
      </c>
      <c r="X118">
        <f t="shared" si="34"/>
        <v>0</v>
      </c>
      <c r="Y118">
        <f t="shared" si="35"/>
        <v>0</v>
      </c>
      <c r="Z118">
        <f t="shared" si="36"/>
        <v>0</v>
      </c>
      <c r="AA118">
        <f t="shared" si="37"/>
        <v>0</v>
      </c>
      <c r="AB118">
        <f t="shared" si="38"/>
        <v>0</v>
      </c>
      <c r="AC118">
        <f t="shared" si="39"/>
        <v>0</v>
      </c>
      <c r="AD118">
        <f t="shared" si="40"/>
        <v>0</v>
      </c>
      <c r="AE118">
        <f t="shared" si="41"/>
        <v>0</v>
      </c>
      <c r="AF118">
        <f t="shared" si="42"/>
        <v>0</v>
      </c>
      <c r="AG118">
        <f t="shared" si="43"/>
        <v>1</v>
      </c>
      <c r="AH118">
        <f t="shared" si="44"/>
        <v>0</v>
      </c>
      <c r="AI118">
        <f t="shared" si="45"/>
        <v>0</v>
      </c>
      <c r="AJ118">
        <f t="shared" si="46"/>
        <v>0</v>
      </c>
      <c r="AK118">
        <f t="shared" si="47"/>
        <v>0</v>
      </c>
      <c r="AL118">
        <f t="shared" si="48"/>
        <v>1</v>
      </c>
      <c r="AM118">
        <f t="shared" si="49"/>
        <v>0</v>
      </c>
      <c r="AN118">
        <f t="shared" si="50"/>
        <v>1</v>
      </c>
      <c r="AO118">
        <f t="shared" si="51"/>
        <v>0</v>
      </c>
      <c r="AP118">
        <f t="shared" si="52"/>
        <v>0</v>
      </c>
      <c r="AQ118">
        <f t="shared" si="53"/>
        <v>1</v>
      </c>
      <c r="AR118">
        <f t="shared" si="54"/>
        <v>0</v>
      </c>
      <c r="AS118">
        <f t="shared" si="55"/>
        <v>0</v>
      </c>
    </row>
    <row r="119" spans="2:45" x14ac:dyDescent="0.3">
      <c r="B119">
        <v>118</v>
      </c>
      <c r="C119" s="1">
        <v>40661</v>
      </c>
      <c r="D119">
        <v>2</v>
      </c>
      <c r="E119">
        <v>0</v>
      </c>
      <c r="F119">
        <v>4</v>
      </c>
      <c r="G119">
        <v>4</v>
      </c>
      <c r="H119">
        <v>2</v>
      </c>
      <c r="I119">
        <v>569</v>
      </c>
      <c r="J119">
        <v>3489</v>
      </c>
      <c r="K119" s="8">
        <v>4058</v>
      </c>
      <c r="L119">
        <v>25.317499999999999</v>
      </c>
      <c r="M119">
        <v>28.946449999999999</v>
      </c>
      <c r="N119">
        <v>70.083299999999994</v>
      </c>
      <c r="O119">
        <v>21.500836</v>
      </c>
      <c r="P119">
        <v>0</v>
      </c>
      <c r="Q119">
        <v>1</v>
      </c>
      <c r="R119">
        <f t="shared" si="28"/>
        <v>0</v>
      </c>
      <c r="S119">
        <f t="shared" si="29"/>
        <v>0</v>
      </c>
      <c r="T119">
        <f t="shared" si="30"/>
        <v>0</v>
      </c>
      <c r="U119">
        <f t="shared" si="31"/>
        <v>1</v>
      </c>
      <c r="V119">
        <f t="shared" si="32"/>
        <v>0</v>
      </c>
      <c r="W119">
        <f t="shared" si="33"/>
        <v>0</v>
      </c>
      <c r="X119">
        <f t="shared" si="34"/>
        <v>0</v>
      </c>
      <c r="Y119">
        <f t="shared" si="35"/>
        <v>0</v>
      </c>
      <c r="Z119">
        <f t="shared" si="36"/>
        <v>0</v>
      </c>
      <c r="AA119">
        <f t="shared" si="37"/>
        <v>0</v>
      </c>
      <c r="AB119">
        <f t="shared" si="38"/>
        <v>0</v>
      </c>
      <c r="AC119">
        <f t="shared" si="39"/>
        <v>0</v>
      </c>
      <c r="AD119">
        <f t="shared" si="40"/>
        <v>0</v>
      </c>
      <c r="AE119">
        <f t="shared" si="41"/>
        <v>0</v>
      </c>
      <c r="AF119">
        <f t="shared" si="42"/>
        <v>0</v>
      </c>
      <c r="AG119">
        <f t="shared" si="43"/>
        <v>0</v>
      </c>
      <c r="AH119">
        <f t="shared" si="44"/>
        <v>1</v>
      </c>
      <c r="AI119">
        <f t="shared" si="45"/>
        <v>0</v>
      </c>
      <c r="AJ119">
        <f t="shared" si="46"/>
        <v>0</v>
      </c>
      <c r="AK119">
        <f t="shared" si="47"/>
        <v>0</v>
      </c>
      <c r="AL119">
        <f t="shared" si="48"/>
        <v>1</v>
      </c>
      <c r="AM119">
        <f t="shared" si="49"/>
        <v>0</v>
      </c>
      <c r="AN119">
        <f t="shared" si="50"/>
        <v>1</v>
      </c>
      <c r="AO119">
        <f t="shared" si="51"/>
        <v>0</v>
      </c>
      <c r="AP119">
        <f t="shared" si="52"/>
        <v>0</v>
      </c>
      <c r="AQ119">
        <f t="shared" si="53"/>
        <v>1</v>
      </c>
      <c r="AR119">
        <f t="shared" si="54"/>
        <v>0</v>
      </c>
      <c r="AS119">
        <f t="shared" si="55"/>
        <v>0</v>
      </c>
    </row>
    <row r="120" spans="2:45" x14ac:dyDescent="0.3">
      <c r="B120">
        <v>119</v>
      </c>
      <c r="C120" s="1">
        <v>40662</v>
      </c>
      <c r="D120">
        <v>2</v>
      </c>
      <c r="E120">
        <v>0</v>
      </c>
      <c r="F120">
        <v>4</v>
      </c>
      <c r="G120">
        <v>5</v>
      </c>
      <c r="H120">
        <v>1</v>
      </c>
      <c r="I120">
        <v>878</v>
      </c>
      <c r="J120">
        <v>3717</v>
      </c>
      <c r="K120" s="8">
        <v>4595</v>
      </c>
      <c r="L120">
        <v>20.91</v>
      </c>
      <c r="M120">
        <v>24.873149999999999</v>
      </c>
      <c r="N120">
        <v>45.708300000000001</v>
      </c>
      <c r="O120">
        <v>16.084220999999999</v>
      </c>
      <c r="P120">
        <v>0</v>
      </c>
      <c r="Q120">
        <v>1</v>
      </c>
      <c r="R120">
        <f t="shared" si="28"/>
        <v>0</v>
      </c>
      <c r="S120">
        <f t="shared" si="29"/>
        <v>0</v>
      </c>
      <c r="T120">
        <f t="shared" si="30"/>
        <v>0</v>
      </c>
      <c r="U120">
        <f t="shared" si="31"/>
        <v>1</v>
      </c>
      <c r="V120">
        <f t="shared" si="32"/>
        <v>0</v>
      </c>
      <c r="W120">
        <f t="shared" si="33"/>
        <v>0</v>
      </c>
      <c r="X120">
        <f t="shared" si="34"/>
        <v>0</v>
      </c>
      <c r="Y120">
        <f t="shared" si="35"/>
        <v>0</v>
      </c>
      <c r="Z120">
        <f t="shared" si="36"/>
        <v>0</v>
      </c>
      <c r="AA120">
        <f t="shared" si="37"/>
        <v>0</v>
      </c>
      <c r="AB120">
        <f t="shared" si="38"/>
        <v>0</v>
      </c>
      <c r="AC120">
        <f t="shared" si="39"/>
        <v>0</v>
      </c>
      <c r="AD120">
        <f t="shared" si="40"/>
        <v>0</v>
      </c>
      <c r="AE120">
        <f t="shared" si="41"/>
        <v>0</v>
      </c>
      <c r="AF120">
        <f t="shared" si="42"/>
        <v>0</v>
      </c>
      <c r="AG120">
        <f t="shared" si="43"/>
        <v>0</v>
      </c>
      <c r="AH120">
        <f t="shared" si="44"/>
        <v>0</v>
      </c>
      <c r="AI120">
        <f t="shared" si="45"/>
        <v>1</v>
      </c>
      <c r="AJ120">
        <f t="shared" si="46"/>
        <v>0</v>
      </c>
      <c r="AK120">
        <f t="shared" si="47"/>
        <v>1</v>
      </c>
      <c r="AL120">
        <f t="shared" si="48"/>
        <v>0</v>
      </c>
      <c r="AM120">
        <f t="shared" si="49"/>
        <v>0</v>
      </c>
      <c r="AN120">
        <f t="shared" si="50"/>
        <v>1</v>
      </c>
      <c r="AO120">
        <f t="shared" si="51"/>
        <v>0</v>
      </c>
      <c r="AP120">
        <f t="shared" si="52"/>
        <v>0</v>
      </c>
      <c r="AQ120">
        <f t="shared" si="53"/>
        <v>1</v>
      </c>
      <c r="AR120">
        <f t="shared" si="54"/>
        <v>0</v>
      </c>
      <c r="AS120">
        <f t="shared" si="55"/>
        <v>0</v>
      </c>
    </row>
    <row r="121" spans="2:45" x14ac:dyDescent="0.3">
      <c r="B121">
        <v>120</v>
      </c>
      <c r="C121" s="1">
        <v>40663</v>
      </c>
      <c r="D121">
        <v>2</v>
      </c>
      <c r="E121">
        <v>0</v>
      </c>
      <c r="F121">
        <v>4</v>
      </c>
      <c r="G121">
        <v>6</v>
      </c>
      <c r="H121">
        <v>1</v>
      </c>
      <c r="I121">
        <v>1965</v>
      </c>
      <c r="J121">
        <v>3347</v>
      </c>
      <c r="K121" s="8">
        <v>5312</v>
      </c>
      <c r="L121">
        <v>19.372499999999999</v>
      </c>
      <c r="M121">
        <v>23.201049999999999</v>
      </c>
      <c r="N121">
        <v>50.333300000000001</v>
      </c>
      <c r="O121">
        <v>15.750025000000001</v>
      </c>
      <c r="P121">
        <v>0</v>
      </c>
      <c r="Q121">
        <v>0</v>
      </c>
      <c r="R121">
        <f t="shared" si="28"/>
        <v>0</v>
      </c>
      <c r="S121">
        <f t="shared" si="29"/>
        <v>0</v>
      </c>
      <c r="T121">
        <f t="shared" si="30"/>
        <v>0</v>
      </c>
      <c r="U121">
        <f t="shared" si="31"/>
        <v>1</v>
      </c>
      <c r="V121">
        <f t="shared" si="32"/>
        <v>0</v>
      </c>
      <c r="W121">
        <f t="shared" si="33"/>
        <v>0</v>
      </c>
      <c r="X121">
        <f t="shared" si="34"/>
        <v>0</v>
      </c>
      <c r="Y121">
        <f t="shared" si="35"/>
        <v>0</v>
      </c>
      <c r="Z121">
        <f t="shared" si="36"/>
        <v>0</v>
      </c>
      <c r="AA121">
        <f t="shared" si="37"/>
        <v>0</v>
      </c>
      <c r="AB121">
        <f t="shared" si="38"/>
        <v>0</v>
      </c>
      <c r="AC121">
        <f t="shared" si="39"/>
        <v>0</v>
      </c>
      <c r="AD121">
        <f t="shared" si="40"/>
        <v>0</v>
      </c>
      <c r="AE121">
        <f t="shared" si="41"/>
        <v>0</v>
      </c>
      <c r="AF121">
        <f t="shared" si="42"/>
        <v>0</v>
      </c>
      <c r="AG121">
        <f t="shared" si="43"/>
        <v>0</v>
      </c>
      <c r="AH121">
        <f t="shared" si="44"/>
        <v>0</v>
      </c>
      <c r="AI121">
        <f t="shared" si="45"/>
        <v>0</v>
      </c>
      <c r="AJ121">
        <f t="shared" si="46"/>
        <v>1</v>
      </c>
      <c r="AK121">
        <f t="shared" si="47"/>
        <v>1</v>
      </c>
      <c r="AL121">
        <f t="shared" si="48"/>
        <v>0</v>
      </c>
      <c r="AM121">
        <f t="shared" si="49"/>
        <v>0</v>
      </c>
      <c r="AN121">
        <f t="shared" si="50"/>
        <v>1</v>
      </c>
      <c r="AO121">
        <f t="shared" si="51"/>
        <v>0</v>
      </c>
      <c r="AP121">
        <f t="shared" si="52"/>
        <v>0</v>
      </c>
      <c r="AQ121">
        <f t="shared" si="53"/>
        <v>1</v>
      </c>
      <c r="AR121">
        <f t="shared" si="54"/>
        <v>0</v>
      </c>
      <c r="AS121">
        <f t="shared" si="55"/>
        <v>0</v>
      </c>
    </row>
    <row r="122" spans="2:45" x14ac:dyDescent="0.3">
      <c r="B122">
        <v>121</v>
      </c>
      <c r="C122" s="1">
        <v>40664</v>
      </c>
      <c r="D122">
        <v>2</v>
      </c>
      <c r="E122">
        <v>0</v>
      </c>
      <c r="F122">
        <v>5</v>
      </c>
      <c r="G122">
        <v>0</v>
      </c>
      <c r="H122">
        <v>2</v>
      </c>
      <c r="I122">
        <v>1138</v>
      </c>
      <c r="J122">
        <v>2213</v>
      </c>
      <c r="K122" s="8">
        <v>3351</v>
      </c>
      <c r="L122">
        <v>18.518346999999999</v>
      </c>
      <c r="M122">
        <v>22.4102</v>
      </c>
      <c r="N122">
        <v>76.208299999999994</v>
      </c>
      <c r="O122">
        <v>7.125718</v>
      </c>
      <c r="P122">
        <v>0</v>
      </c>
      <c r="Q122">
        <v>0</v>
      </c>
      <c r="R122">
        <f t="shared" si="28"/>
        <v>0</v>
      </c>
      <c r="S122">
        <f t="shared" si="29"/>
        <v>0</v>
      </c>
      <c r="T122">
        <f t="shared" si="30"/>
        <v>0</v>
      </c>
      <c r="U122">
        <f t="shared" si="31"/>
        <v>0</v>
      </c>
      <c r="V122">
        <f t="shared" si="32"/>
        <v>1</v>
      </c>
      <c r="W122">
        <f t="shared" si="33"/>
        <v>0</v>
      </c>
      <c r="X122">
        <f t="shared" si="34"/>
        <v>0</v>
      </c>
      <c r="Y122">
        <f t="shared" si="35"/>
        <v>0</v>
      </c>
      <c r="Z122">
        <f t="shared" si="36"/>
        <v>0</v>
      </c>
      <c r="AA122">
        <f t="shared" si="37"/>
        <v>0</v>
      </c>
      <c r="AB122">
        <f t="shared" si="38"/>
        <v>0</v>
      </c>
      <c r="AC122">
        <f t="shared" si="39"/>
        <v>0</v>
      </c>
      <c r="AD122">
        <f t="shared" si="40"/>
        <v>1</v>
      </c>
      <c r="AE122">
        <f t="shared" si="41"/>
        <v>0</v>
      </c>
      <c r="AF122">
        <f t="shared" si="42"/>
        <v>0</v>
      </c>
      <c r="AG122">
        <f t="shared" si="43"/>
        <v>0</v>
      </c>
      <c r="AH122">
        <f t="shared" si="44"/>
        <v>0</v>
      </c>
      <c r="AI122">
        <f t="shared" si="45"/>
        <v>0</v>
      </c>
      <c r="AJ122">
        <f t="shared" si="46"/>
        <v>0</v>
      </c>
      <c r="AK122">
        <f t="shared" si="47"/>
        <v>0</v>
      </c>
      <c r="AL122">
        <f t="shared" si="48"/>
        <v>1</v>
      </c>
      <c r="AM122">
        <f t="shared" si="49"/>
        <v>0</v>
      </c>
      <c r="AN122">
        <f t="shared" si="50"/>
        <v>1</v>
      </c>
      <c r="AO122">
        <f t="shared" si="51"/>
        <v>0</v>
      </c>
      <c r="AP122">
        <f t="shared" si="52"/>
        <v>0</v>
      </c>
      <c r="AQ122">
        <f t="shared" si="53"/>
        <v>1</v>
      </c>
      <c r="AR122">
        <f t="shared" si="54"/>
        <v>0</v>
      </c>
      <c r="AS122">
        <f t="shared" si="55"/>
        <v>0</v>
      </c>
    </row>
    <row r="123" spans="2:45" x14ac:dyDescent="0.3">
      <c r="B123">
        <v>122</v>
      </c>
      <c r="C123" s="1">
        <v>40665</v>
      </c>
      <c r="D123">
        <v>2</v>
      </c>
      <c r="E123">
        <v>0</v>
      </c>
      <c r="F123">
        <v>5</v>
      </c>
      <c r="G123">
        <v>1</v>
      </c>
      <c r="H123">
        <v>2</v>
      </c>
      <c r="I123">
        <v>847</v>
      </c>
      <c r="J123">
        <v>3554</v>
      </c>
      <c r="K123" s="8">
        <v>4401</v>
      </c>
      <c r="L123">
        <v>22.515847000000001</v>
      </c>
      <c r="M123">
        <v>26.641649999999998</v>
      </c>
      <c r="N123">
        <v>73</v>
      </c>
      <c r="O123">
        <v>12.291418</v>
      </c>
      <c r="P123">
        <v>0</v>
      </c>
      <c r="Q123">
        <v>1</v>
      </c>
      <c r="R123">
        <f t="shared" si="28"/>
        <v>0</v>
      </c>
      <c r="S123">
        <f t="shared" si="29"/>
        <v>0</v>
      </c>
      <c r="T123">
        <f t="shared" si="30"/>
        <v>0</v>
      </c>
      <c r="U123">
        <f t="shared" si="31"/>
        <v>0</v>
      </c>
      <c r="V123">
        <f t="shared" si="32"/>
        <v>1</v>
      </c>
      <c r="W123">
        <f t="shared" si="33"/>
        <v>0</v>
      </c>
      <c r="X123">
        <f t="shared" si="34"/>
        <v>0</v>
      </c>
      <c r="Y123">
        <f t="shared" si="35"/>
        <v>0</v>
      </c>
      <c r="Z123">
        <f t="shared" si="36"/>
        <v>0</v>
      </c>
      <c r="AA123">
        <f t="shared" si="37"/>
        <v>0</v>
      </c>
      <c r="AB123">
        <f t="shared" si="38"/>
        <v>0</v>
      </c>
      <c r="AC123">
        <f t="shared" si="39"/>
        <v>0</v>
      </c>
      <c r="AD123">
        <f t="shared" si="40"/>
        <v>0</v>
      </c>
      <c r="AE123">
        <f t="shared" si="41"/>
        <v>1</v>
      </c>
      <c r="AF123">
        <f t="shared" si="42"/>
        <v>0</v>
      </c>
      <c r="AG123">
        <f t="shared" si="43"/>
        <v>0</v>
      </c>
      <c r="AH123">
        <f t="shared" si="44"/>
        <v>0</v>
      </c>
      <c r="AI123">
        <f t="shared" si="45"/>
        <v>0</v>
      </c>
      <c r="AJ123">
        <f t="shared" si="46"/>
        <v>0</v>
      </c>
      <c r="AK123">
        <f t="shared" si="47"/>
        <v>0</v>
      </c>
      <c r="AL123">
        <f t="shared" si="48"/>
        <v>1</v>
      </c>
      <c r="AM123">
        <f t="shared" si="49"/>
        <v>0</v>
      </c>
      <c r="AN123">
        <f t="shared" si="50"/>
        <v>1</v>
      </c>
      <c r="AO123">
        <f t="shared" si="51"/>
        <v>0</v>
      </c>
      <c r="AP123">
        <f t="shared" si="52"/>
        <v>0</v>
      </c>
      <c r="AQ123">
        <f t="shared" si="53"/>
        <v>1</v>
      </c>
      <c r="AR123">
        <f t="shared" si="54"/>
        <v>0</v>
      </c>
      <c r="AS123">
        <f t="shared" si="55"/>
        <v>0</v>
      </c>
    </row>
    <row r="124" spans="2:45" x14ac:dyDescent="0.3">
      <c r="B124">
        <v>123</v>
      </c>
      <c r="C124" s="1">
        <v>40666</v>
      </c>
      <c r="D124">
        <v>2</v>
      </c>
      <c r="E124">
        <v>0</v>
      </c>
      <c r="F124">
        <v>5</v>
      </c>
      <c r="G124">
        <v>2</v>
      </c>
      <c r="H124">
        <v>2</v>
      </c>
      <c r="I124">
        <v>603</v>
      </c>
      <c r="J124">
        <v>3848</v>
      </c>
      <c r="K124" s="8">
        <v>4451</v>
      </c>
      <c r="L124">
        <v>25.283346999999999</v>
      </c>
      <c r="M124">
        <v>29.103950000000001</v>
      </c>
      <c r="N124">
        <v>69.708299999999994</v>
      </c>
      <c r="O124">
        <v>22.958689</v>
      </c>
      <c r="P124">
        <v>0</v>
      </c>
      <c r="Q124">
        <v>1</v>
      </c>
      <c r="R124">
        <f t="shared" si="28"/>
        <v>0</v>
      </c>
      <c r="S124">
        <f t="shared" si="29"/>
        <v>0</v>
      </c>
      <c r="T124">
        <f t="shared" si="30"/>
        <v>0</v>
      </c>
      <c r="U124">
        <f t="shared" si="31"/>
        <v>0</v>
      </c>
      <c r="V124">
        <f t="shared" si="32"/>
        <v>1</v>
      </c>
      <c r="W124">
        <f t="shared" si="33"/>
        <v>0</v>
      </c>
      <c r="X124">
        <f t="shared" si="34"/>
        <v>0</v>
      </c>
      <c r="Y124">
        <f t="shared" si="35"/>
        <v>0</v>
      </c>
      <c r="Z124">
        <f t="shared" si="36"/>
        <v>0</v>
      </c>
      <c r="AA124">
        <f t="shared" si="37"/>
        <v>0</v>
      </c>
      <c r="AB124">
        <f t="shared" si="38"/>
        <v>0</v>
      </c>
      <c r="AC124">
        <f t="shared" si="39"/>
        <v>0</v>
      </c>
      <c r="AD124">
        <f t="shared" si="40"/>
        <v>0</v>
      </c>
      <c r="AE124">
        <f t="shared" si="41"/>
        <v>0</v>
      </c>
      <c r="AF124">
        <f t="shared" si="42"/>
        <v>1</v>
      </c>
      <c r="AG124">
        <f t="shared" si="43"/>
        <v>0</v>
      </c>
      <c r="AH124">
        <f t="shared" si="44"/>
        <v>0</v>
      </c>
      <c r="AI124">
        <f t="shared" si="45"/>
        <v>0</v>
      </c>
      <c r="AJ124">
        <f t="shared" si="46"/>
        <v>0</v>
      </c>
      <c r="AK124">
        <f t="shared" si="47"/>
        <v>0</v>
      </c>
      <c r="AL124">
        <f t="shared" si="48"/>
        <v>1</v>
      </c>
      <c r="AM124">
        <f t="shared" si="49"/>
        <v>0</v>
      </c>
      <c r="AN124">
        <f t="shared" si="50"/>
        <v>1</v>
      </c>
      <c r="AO124">
        <f t="shared" si="51"/>
        <v>0</v>
      </c>
      <c r="AP124">
        <f t="shared" si="52"/>
        <v>0</v>
      </c>
      <c r="AQ124">
        <f t="shared" si="53"/>
        <v>1</v>
      </c>
      <c r="AR124">
        <f t="shared" si="54"/>
        <v>0</v>
      </c>
      <c r="AS124">
        <f t="shared" si="55"/>
        <v>0</v>
      </c>
    </row>
    <row r="125" spans="2:45" x14ac:dyDescent="0.3">
      <c r="B125">
        <v>124</v>
      </c>
      <c r="C125" s="1">
        <v>40667</v>
      </c>
      <c r="D125">
        <v>2</v>
      </c>
      <c r="E125">
        <v>0</v>
      </c>
      <c r="F125">
        <v>5</v>
      </c>
      <c r="G125">
        <v>3</v>
      </c>
      <c r="H125">
        <v>2</v>
      </c>
      <c r="I125">
        <v>255</v>
      </c>
      <c r="J125">
        <v>2378</v>
      </c>
      <c r="K125" s="8">
        <v>2633</v>
      </c>
      <c r="L125">
        <v>16.980847000000001</v>
      </c>
      <c r="M125">
        <v>20.232500000000002</v>
      </c>
      <c r="N125">
        <v>73.708299999999994</v>
      </c>
      <c r="O125">
        <v>22.042732000000001</v>
      </c>
      <c r="P125">
        <v>0</v>
      </c>
      <c r="Q125">
        <v>1</v>
      </c>
      <c r="R125">
        <f t="shared" si="28"/>
        <v>0</v>
      </c>
      <c r="S125">
        <f t="shared" si="29"/>
        <v>0</v>
      </c>
      <c r="T125">
        <f t="shared" si="30"/>
        <v>0</v>
      </c>
      <c r="U125">
        <f t="shared" si="31"/>
        <v>0</v>
      </c>
      <c r="V125">
        <f t="shared" si="32"/>
        <v>1</v>
      </c>
      <c r="W125">
        <f t="shared" si="33"/>
        <v>0</v>
      </c>
      <c r="X125">
        <f t="shared" si="34"/>
        <v>0</v>
      </c>
      <c r="Y125">
        <f t="shared" si="35"/>
        <v>0</v>
      </c>
      <c r="Z125">
        <f t="shared" si="36"/>
        <v>0</v>
      </c>
      <c r="AA125">
        <f t="shared" si="37"/>
        <v>0</v>
      </c>
      <c r="AB125">
        <f t="shared" si="38"/>
        <v>0</v>
      </c>
      <c r="AC125">
        <f t="shared" si="39"/>
        <v>0</v>
      </c>
      <c r="AD125">
        <f t="shared" si="40"/>
        <v>0</v>
      </c>
      <c r="AE125">
        <f t="shared" si="41"/>
        <v>0</v>
      </c>
      <c r="AF125">
        <f t="shared" si="42"/>
        <v>0</v>
      </c>
      <c r="AG125">
        <f t="shared" si="43"/>
        <v>1</v>
      </c>
      <c r="AH125">
        <f t="shared" si="44"/>
        <v>0</v>
      </c>
      <c r="AI125">
        <f t="shared" si="45"/>
        <v>0</v>
      </c>
      <c r="AJ125">
        <f t="shared" si="46"/>
        <v>0</v>
      </c>
      <c r="AK125">
        <f t="shared" si="47"/>
        <v>0</v>
      </c>
      <c r="AL125">
        <f t="shared" si="48"/>
        <v>1</v>
      </c>
      <c r="AM125">
        <f t="shared" si="49"/>
        <v>0</v>
      </c>
      <c r="AN125">
        <f t="shared" si="50"/>
        <v>1</v>
      </c>
      <c r="AO125">
        <f t="shared" si="51"/>
        <v>0</v>
      </c>
      <c r="AP125">
        <f t="shared" si="52"/>
        <v>0</v>
      </c>
      <c r="AQ125">
        <f t="shared" si="53"/>
        <v>1</v>
      </c>
      <c r="AR125">
        <f t="shared" si="54"/>
        <v>0</v>
      </c>
      <c r="AS125">
        <f t="shared" si="55"/>
        <v>0</v>
      </c>
    </row>
    <row r="126" spans="2:45" x14ac:dyDescent="0.3">
      <c r="B126">
        <v>125</v>
      </c>
      <c r="C126" s="1">
        <v>40668</v>
      </c>
      <c r="D126">
        <v>2</v>
      </c>
      <c r="E126">
        <v>0</v>
      </c>
      <c r="F126">
        <v>5</v>
      </c>
      <c r="G126">
        <v>4</v>
      </c>
      <c r="H126">
        <v>1</v>
      </c>
      <c r="I126">
        <v>614</v>
      </c>
      <c r="J126">
        <v>3819</v>
      </c>
      <c r="K126" s="8">
        <v>4433</v>
      </c>
      <c r="L126">
        <v>18.825847</v>
      </c>
      <c r="M126">
        <v>22.095849999999999</v>
      </c>
      <c r="N126">
        <v>44.416699999999999</v>
      </c>
      <c r="O126">
        <v>19.791264000000002</v>
      </c>
      <c r="P126">
        <v>0</v>
      </c>
      <c r="Q126">
        <v>1</v>
      </c>
      <c r="R126">
        <f t="shared" si="28"/>
        <v>0</v>
      </c>
      <c r="S126">
        <f t="shared" si="29"/>
        <v>0</v>
      </c>
      <c r="T126">
        <f t="shared" si="30"/>
        <v>0</v>
      </c>
      <c r="U126">
        <f t="shared" si="31"/>
        <v>0</v>
      </c>
      <c r="V126">
        <f t="shared" si="32"/>
        <v>1</v>
      </c>
      <c r="W126">
        <f t="shared" si="33"/>
        <v>0</v>
      </c>
      <c r="X126">
        <f t="shared" si="34"/>
        <v>0</v>
      </c>
      <c r="Y126">
        <f t="shared" si="35"/>
        <v>0</v>
      </c>
      <c r="Z126">
        <f t="shared" si="36"/>
        <v>0</v>
      </c>
      <c r="AA126">
        <f t="shared" si="37"/>
        <v>0</v>
      </c>
      <c r="AB126">
        <f t="shared" si="38"/>
        <v>0</v>
      </c>
      <c r="AC126">
        <f t="shared" si="39"/>
        <v>0</v>
      </c>
      <c r="AD126">
        <f t="shared" si="40"/>
        <v>0</v>
      </c>
      <c r="AE126">
        <f t="shared" si="41"/>
        <v>0</v>
      </c>
      <c r="AF126">
        <f t="shared" si="42"/>
        <v>0</v>
      </c>
      <c r="AG126">
        <f t="shared" si="43"/>
        <v>0</v>
      </c>
      <c r="AH126">
        <f t="shared" si="44"/>
        <v>1</v>
      </c>
      <c r="AI126">
        <f t="shared" si="45"/>
        <v>0</v>
      </c>
      <c r="AJ126">
        <f t="shared" si="46"/>
        <v>0</v>
      </c>
      <c r="AK126">
        <f t="shared" si="47"/>
        <v>1</v>
      </c>
      <c r="AL126">
        <f t="shared" si="48"/>
        <v>0</v>
      </c>
      <c r="AM126">
        <f t="shared" si="49"/>
        <v>0</v>
      </c>
      <c r="AN126">
        <f t="shared" si="50"/>
        <v>1</v>
      </c>
      <c r="AO126">
        <f t="shared" si="51"/>
        <v>0</v>
      </c>
      <c r="AP126">
        <f t="shared" si="52"/>
        <v>0</v>
      </c>
      <c r="AQ126">
        <f t="shared" si="53"/>
        <v>1</v>
      </c>
      <c r="AR126">
        <f t="shared" si="54"/>
        <v>0</v>
      </c>
      <c r="AS126">
        <f t="shared" si="55"/>
        <v>0</v>
      </c>
    </row>
    <row r="127" spans="2:45" x14ac:dyDescent="0.3">
      <c r="B127">
        <v>126</v>
      </c>
      <c r="C127" s="1">
        <v>40669</v>
      </c>
      <c r="D127">
        <v>2</v>
      </c>
      <c r="E127">
        <v>0</v>
      </c>
      <c r="F127">
        <v>5</v>
      </c>
      <c r="G127">
        <v>5</v>
      </c>
      <c r="H127">
        <v>1</v>
      </c>
      <c r="I127">
        <v>894</v>
      </c>
      <c r="J127">
        <v>3714</v>
      </c>
      <c r="K127" s="8">
        <v>4608</v>
      </c>
      <c r="L127">
        <v>19.645847</v>
      </c>
      <c r="M127">
        <v>23.705850000000002</v>
      </c>
      <c r="N127">
        <v>59</v>
      </c>
      <c r="O127">
        <v>15.292482</v>
      </c>
      <c r="P127">
        <v>0</v>
      </c>
      <c r="Q127">
        <v>1</v>
      </c>
      <c r="R127">
        <f t="shared" si="28"/>
        <v>0</v>
      </c>
      <c r="S127">
        <f t="shared" si="29"/>
        <v>0</v>
      </c>
      <c r="T127">
        <f t="shared" si="30"/>
        <v>0</v>
      </c>
      <c r="U127">
        <f t="shared" si="31"/>
        <v>0</v>
      </c>
      <c r="V127">
        <f t="shared" si="32"/>
        <v>1</v>
      </c>
      <c r="W127">
        <f t="shared" si="33"/>
        <v>0</v>
      </c>
      <c r="X127">
        <f t="shared" si="34"/>
        <v>0</v>
      </c>
      <c r="Y127">
        <f t="shared" si="35"/>
        <v>0</v>
      </c>
      <c r="Z127">
        <f t="shared" si="36"/>
        <v>0</v>
      </c>
      <c r="AA127">
        <f t="shared" si="37"/>
        <v>0</v>
      </c>
      <c r="AB127">
        <f t="shared" si="38"/>
        <v>0</v>
      </c>
      <c r="AC127">
        <f t="shared" si="39"/>
        <v>0</v>
      </c>
      <c r="AD127">
        <f t="shared" si="40"/>
        <v>0</v>
      </c>
      <c r="AE127">
        <f t="shared" si="41"/>
        <v>0</v>
      </c>
      <c r="AF127">
        <f t="shared" si="42"/>
        <v>0</v>
      </c>
      <c r="AG127">
        <f t="shared" si="43"/>
        <v>0</v>
      </c>
      <c r="AH127">
        <f t="shared" si="44"/>
        <v>0</v>
      </c>
      <c r="AI127">
        <f t="shared" si="45"/>
        <v>1</v>
      </c>
      <c r="AJ127">
        <f t="shared" si="46"/>
        <v>0</v>
      </c>
      <c r="AK127">
        <f t="shared" si="47"/>
        <v>1</v>
      </c>
      <c r="AL127">
        <f t="shared" si="48"/>
        <v>0</v>
      </c>
      <c r="AM127">
        <f t="shared" si="49"/>
        <v>0</v>
      </c>
      <c r="AN127">
        <f t="shared" si="50"/>
        <v>1</v>
      </c>
      <c r="AO127">
        <f t="shared" si="51"/>
        <v>0</v>
      </c>
      <c r="AP127">
        <f t="shared" si="52"/>
        <v>0</v>
      </c>
      <c r="AQ127">
        <f t="shared" si="53"/>
        <v>1</v>
      </c>
      <c r="AR127">
        <f t="shared" si="54"/>
        <v>0</v>
      </c>
      <c r="AS127">
        <f t="shared" si="55"/>
        <v>0</v>
      </c>
    </row>
    <row r="128" spans="2:45" x14ac:dyDescent="0.3">
      <c r="B128">
        <v>127</v>
      </c>
      <c r="C128" s="1">
        <v>40670</v>
      </c>
      <c r="D128">
        <v>2</v>
      </c>
      <c r="E128">
        <v>0</v>
      </c>
      <c r="F128">
        <v>5</v>
      </c>
      <c r="G128">
        <v>6</v>
      </c>
      <c r="H128">
        <v>1</v>
      </c>
      <c r="I128">
        <v>1612</v>
      </c>
      <c r="J128">
        <v>3102</v>
      </c>
      <c r="K128" s="8">
        <v>4714</v>
      </c>
      <c r="L128">
        <v>21.32</v>
      </c>
      <c r="M128">
        <v>25.631049999999998</v>
      </c>
      <c r="N128">
        <v>54.125</v>
      </c>
      <c r="O128">
        <v>10.75015</v>
      </c>
      <c r="P128">
        <v>0</v>
      </c>
      <c r="Q128">
        <v>0</v>
      </c>
      <c r="R128">
        <f t="shared" si="28"/>
        <v>0</v>
      </c>
      <c r="S128">
        <f t="shared" si="29"/>
        <v>0</v>
      </c>
      <c r="T128">
        <f t="shared" si="30"/>
        <v>0</v>
      </c>
      <c r="U128">
        <f t="shared" si="31"/>
        <v>0</v>
      </c>
      <c r="V128">
        <f t="shared" si="32"/>
        <v>1</v>
      </c>
      <c r="W128">
        <f t="shared" si="33"/>
        <v>0</v>
      </c>
      <c r="X128">
        <f t="shared" si="34"/>
        <v>0</v>
      </c>
      <c r="Y128">
        <f t="shared" si="35"/>
        <v>0</v>
      </c>
      <c r="Z128">
        <f t="shared" si="36"/>
        <v>0</v>
      </c>
      <c r="AA128">
        <f t="shared" si="37"/>
        <v>0</v>
      </c>
      <c r="AB128">
        <f t="shared" si="38"/>
        <v>0</v>
      </c>
      <c r="AC128">
        <f t="shared" si="39"/>
        <v>0</v>
      </c>
      <c r="AD128">
        <f t="shared" si="40"/>
        <v>0</v>
      </c>
      <c r="AE128">
        <f t="shared" si="41"/>
        <v>0</v>
      </c>
      <c r="AF128">
        <f t="shared" si="42"/>
        <v>0</v>
      </c>
      <c r="AG128">
        <f t="shared" si="43"/>
        <v>0</v>
      </c>
      <c r="AH128">
        <f t="shared" si="44"/>
        <v>0</v>
      </c>
      <c r="AI128">
        <f t="shared" si="45"/>
        <v>0</v>
      </c>
      <c r="AJ128">
        <f t="shared" si="46"/>
        <v>1</v>
      </c>
      <c r="AK128">
        <f t="shared" si="47"/>
        <v>1</v>
      </c>
      <c r="AL128">
        <f t="shared" si="48"/>
        <v>0</v>
      </c>
      <c r="AM128">
        <f t="shared" si="49"/>
        <v>0</v>
      </c>
      <c r="AN128">
        <f t="shared" si="50"/>
        <v>1</v>
      </c>
      <c r="AO128">
        <f t="shared" si="51"/>
        <v>0</v>
      </c>
      <c r="AP128">
        <f t="shared" si="52"/>
        <v>0</v>
      </c>
      <c r="AQ128">
        <f t="shared" si="53"/>
        <v>1</v>
      </c>
      <c r="AR128">
        <f t="shared" si="54"/>
        <v>0</v>
      </c>
      <c r="AS128">
        <f t="shared" si="55"/>
        <v>0</v>
      </c>
    </row>
    <row r="129" spans="2:45" x14ac:dyDescent="0.3">
      <c r="B129">
        <v>128</v>
      </c>
      <c r="C129" s="1">
        <v>40671</v>
      </c>
      <c r="D129">
        <v>2</v>
      </c>
      <c r="E129">
        <v>0</v>
      </c>
      <c r="F129">
        <v>5</v>
      </c>
      <c r="G129">
        <v>0</v>
      </c>
      <c r="H129">
        <v>1</v>
      </c>
      <c r="I129">
        <v>1401</v>
      </c>
      <c r="J129">
        <v>2932</v>
      </c>
      <c r="K129" s="8">
        <v>4333</v>
      </c>
      <c r="L129">
        <v>21.661653000000001</v>
      </c>
      <c r="M129">
        <v>25.946650000000002</v>
      </c>
      <c r="N129">
        <v>63.166699999999999</v>
      </c>
      <c r="O129">
        <v>5.0007124999999997</v>
      </c>
      <c r="P129">
        <v>0</v>
      </c>
      <c r="Q129">
        <v>0</v>
      </c>
      <c r="R129">
        <f t="shared" si="28"/>
        <v>0</v>
      </c>
      <c r="S129">
        <f t="shared" si="29"/>
        <v>0</v>
      </c>
      <c r="T129">
        <f t="shared" si="30"/>
        <v>0</v>
      </c>
      <c r="U129">
        <f t="shared" si="31"/>
        <v>0</v>
      </c>
      <c r="V129">
        <f t="shared" si="32"/>
        <v>1</v>
      </c>
      <c r="W129">
        <f t="shared" si="33"/>
        <v>0</v>
      </c>
      <c r="X129">
        <f t="shared" si="34"/>
        <v>0</v>
      </c>
      <c r="Y129">
        <f t="shared" si="35"/>
        <v>0</v>
      </c>
      <c r="Z129">
        <f t="shared" si="36"/>
        <v>0</v>
      </c>
      <c r="AA129">
        <f t="shared" si="37"/>
        <v>0</v>
      </c>
      <c r="AB129">
        <f t="shared" si="38"/>
        <v>0</v>
      </c>
      <c r="AC129">
        <f t="shared" si="39"/>
        <v>0</v>
      </c>
      <c r="AD129">
        <f t="shared" si="40"/>
        <v>1</v>
      </c>
      <c r="AE129">
        <f t="shared" si="41"/>
        <v>0</v>
      </c>
      <c r="AF129">
        <f t="shared" si="42"/>
        <v>0</v>
      </c>
      <c r="AG129">
        <f t="shared" si="43"/>
        <v>0</v>
      </c>
      <c r="AH129">
        <f t="shared" si="44"/>
        <v>0</v>
      </c>
      <c r="AI129">
        <f t="shared" si="45"/>
        <v>0</v>
      </c>
      <c r="AJ129">
        <f t="shared" si="46"/>
        <v>0</v>
      </c>
      <c r="AK129">
        <f t="shared" si="47"/>
        <v>1</v>
      </c>
      <c r="AL129">
        <f t="shared" si="48"/>
        <v>0</v>
      </c>
      <c r="AM129">
        <f t="shared" si="49"/>
        <v>0</v>
      </c>
      <c r="AN129">
        <f t="shared" si="50"/>
        <v>1</v>
      </c>
      <c r="AO129">
        <f t="shared" si="51"/>
        <v>0</v>
      </c>
      <c r="AP129">
        <f t="shared" si="52"/>
        <v>0</v>
      </c>
      <c r="AQ129">
        <f t="shared" si="53"/>
        <v>1</v>
      </c>
      <c r="AR129">
        <f t="shared" si="54"/>
        <v>0</v>
      </c>
      <c r="AS129">
        <f t="shared" si="55"/>
        <v>0</v>
      </c>
    </row>
    <row r="130" spans="2:45" x14ac:dyDescent="0.3">
      <c r="B130">
        <v>129</v>
      </c>
      <c r="C130" s="1">
        <v>40672</v>
      </c>
      <c r="D130">
        <v>2</v>
      </c>
      <c r="E130">
        <v>0</v>
      </c>
      <c r="F130">
        <v>5</v>
      </c>
      <c r="G130">
        <v>1</v>
      </c>
      <c r="H130">
        <v>1</v>
      </c>
      <c r="I130">
        <v>664</v>
      </c>
      <c r="J130">
        <v>3698</v>
      </c>
      <c r="K130" s="8">
        <v>4362</v>
      </c>
      <c r="L130">
        <v>21.8325</v>
      </c>
      <c r="M130">
        <v>26.2623</v>
      </c>
      <c r="N130">
        <v>58.875</v>
      </c>
      <c r="O130">
        <v>11.792</v>
      </c>
      <c r="P130">
        <v>0</v>
      </c>
      <c r="Q130">
        <v>1</v>
      </c>
      <c r="R130">
        <f t="shared" si="28"/>
        <v>0</v>
      </c>
      <c r="S130">
        <f t="shared" si="29"/>
        <v>0</v>
      </c>
      <c r="T130">
        <f t="shared" si="30"/>
        <v>0</v>
      </c>
      <c r="U130">
        <f t="shared" si="31"/>
        <v>0</v>
      </c>
      <c r="V130">
        <f t="shared" si="32"/>
        <v>1</v>
      </c>
      <c r="W130">
        <f t="shared" si="33"/>
        <v>0</v>
      </c>
      <c r="X130">
        <f t="shared" si="34"/>
        <v>0</v>
      </c>
      <c r="Y130">
        <f t="shared" si="35"/>
        <v>0</v>
      </c>
      <c r="Z130">
        <f t="shared" si="36"/>
        <v>0</v>
      </c>
      <c r="AA130">
        <f t="shared" si="37"/>
        <v>0</v>
      </c>
      <c r="AB130">
        <f t="shared" si="38"/>
        <v>0</v>
      </c>
      <c r="AC130">
        <f t="shared" si="39"/>
        <v>0</v>
      </c>
      <c r="AD130">
        <f t="shared" si="40"/>
        <v>0</v>
      </c>
      <c r="AE130">
        <f t="shared" si="41"/>
        <v>1</v>
      </c>
      <c r="AF130">
        <f t="shared" si="42"/>
        <v>0</v>
      </c>
      <c r="AG130">
        <f t="shared" si="43"/>
        <v>0</v>
      </c>
      <c r="AH130">
        <f t="shared" si="44"/>
        <v>0</v>
      </c>
      <c r="AI130">
        <f t="shared" si="45"/>
        <v>0</v>
      </c>
      <c r="AJ130">
        <f t="shared" si="46"/>
        <v>0</v>
      </c>
      <c r="AK130">
        <f t="shared" si="47"/>
        <v>1</v>
      </c>
      <c r="AL130">
        <f t="shared" si="48"/>
        <v>0</v>
      </c>
      <c r="AM130">
        <f t="shared" si="49"/>
        <v>0</v>
      </c>
      <c r="AN130">
        <f t="shared" si="50"/>
        <v>1</v>
      </c>
      <c r="AO130">
        <f t="shared" si="51"/>
        <v>0</v>
      </c>
      <c r="AP130">
        <f t="shared" si="52"/>
        <v>0</v>
      </c>
      <c r="AQ130">
        <f t="shared" si="53"/>
        <v>1</v>
      </c>
      <c r="AR130">
        <f t="shared" si="54"/>
        <v>0</v>
      </c>
      <c r="AS130">
        <f t="shared" si="55"/>
        <v>0</v>
      </c>
    </row>
    <row r="131" spans="2:45" x14ac:dyDescent="0.3">
      <c r="B131">
        <v>130</v>
      </c>
      <c r="C131" s="1">
        <v>40673</v>
      </c>
      <c r="D131">
        <v>2</v>
      </c>
      <c r="E131">
        <v>0</v>
      </c>
      <c r="F131">
        <v>5</v>
      </c>
      <c r="G131">
        <v>2</v>
      </c>
      <c r="H131">
        <v>1</v>
      </c>
      <c r="I131">
        <v>694</v>
      </c>
      <c r="J131">
        <v>4109</v>
      </c>
      <c r="K131" s="8">
        <v>4803</v>
      </c>
      <c r="L131">
        <v>21.8325</v>
      </c>
      <c r="M131">
        <v>26.136050000000001</v>
      </c>
      <c r="N131">
        <v>48.916699999999999</v>
      </c>
      <c r="O131">
        <v>7.7499570000000002</v>
      </c>
      <c r="P131">
        <v>0</v>
      </c>
      <c r="Q131">
        <v>1</v>
      </c>
      <c r="R131">
        <f t="shared" ref="R131:R194" si="56">IF($F131=1,1,0)</f>
        <v>0</v>
      </c>
      <c r="S131">
        <f t="shared" ref="S131:S194" si="57">IF($F131=2,1,0)</f>
        <v>0</v>
      </c>
      <c r="T131">
        <f t="shared" ref="T131:T194" si="58">IF($F131=3,1,0)</f>
        <v>0</v>
      </c>
      <c r="U131">
        <f t="shared" ref="U131:U194" si="59">IF($F131=4,1,0)</f>
        <v>0</v>
      </c>
      <c r="V131">
        <f t="shared" ref="V131:V194" si="60">IF($F131=5,1,0)</f>
        <v>1</v>
      </c>
      <c r="W131">
        <f t="shared" ref="W131:W194" si="61">IF($F131=6,1,0)</f>
        <v>0</v>
      </c>
      <c r="X131">
        <f t="shared" ref="X131:X194" si="62">IF($F131=7,1,0)</f>
        <v>0</v>
      </c>
      <c r="Y131">
        <f t="shared" ref="Y131:Y194" si="63">IF($F131=8,1,0)</f>
        <v>0</v>
      </c>
      <c r="Z131">
        <f t="shared" ref="Z131:Z194" si="64">IF($F131=9,1,0)</f>
        <v>0</v>
      </c>
      <c r="AA131">
        <f t="shared" ref="AA131:AA194" si="65">IF($F131=10,1,0)</f>
        <v>0</v>
      </c>
      <c r="AB131">
        <f t="shared" ref="AB131:AB194" si="66">IF($F131=11,1,0)</f>
        <v>0</v>
      </c>
      <c r="AC131">
        <f t="shared" ref="AC131:AC194" si="67">IF($F131=12,1,0)</f>
        <v>0</v>
      </c>
      <c r="AD131">
        <f t="shared" ref="AD131:AD194" si="68">IF($G131=0,1,0)</f>
        <v>0</v>
      </c>
      <c r="AE131">
        <f t="shared" ref="AE131:AE194" si="69">IF($G131=1,1,0)</f>
        <v>0</v>
      </c>
      <c r="AF131">
        <f t="shared" ref="AF131:AF194" si="70">IF($G131=2,1,0)</f>
        <v>1</v>
      </c>
      <c r="AG131">
        <f t="shared" ref="AG131:AG194" si="71">IF($G131=3,1,0)</f>
        <v>0</v>
      </c>
      <c r="AH131">
        <f t="shared" ref="AH131:AH194" si="72">IF($G131=4,1,0)</f>
        <v>0</v>
      </c>
      <c r="AI131">
        <f t="shared" ref="AI131:AI194" si="73">IF($G131=5,1,0)</f>
        <v>0</v>
      </c>
      <c r="AJ131">
        <f t="shared" ref="AJ131:AJ194" si="74">IF($G131=6,1,0)</f>
        <v>0</v>
      </c>
      <c r="AK131">
        <f t="shared" ref="AK131:AK194" si="75">IF($H131=1,1,0)</f>
        <v>1</v>
      </c>
      <c r="AL131">
        <f t="shared" ref="AL131:AL194" si="76">IF($H131=2,1,0)</f>
        <v>0</v>
      </c>
      <c r="AM131">
        <f t="shared" ref="AM131:AM194" si="77">IF($H131=3,1,0)</f>
        <v>0</v>
      </c>
      <c r="AN131">
        <f t="shared" ref="AN131:AN194" si="78">IF($E131=0,1,0)</f>
        <v>1</v>
      </c>
      <c r="AO131">
        <f t="shared" ref="AO131:AO194" si="79">IF($E131=1,1,0)</f>
        <v>0</v>
      </c>
      <c r="AP131">
        <f t="shared" ref="AP131:AP194" si="80">IF($D131=1,1,0)</f>
        <v>0</v>
      </c>
      <c r="AQ131">
        <f t="shared" ref="AQ131:AQ194" si="81">IF($D131=2,1,0)</f>
        <v>1</v>
      </c>
      <c r="AR131">
        <f t="shared" ref="AR131:AR194" si="82">IF($D131=3,1,0)</f>
        <v>0</v>
      </c>
      <c r="AS131">
        <f t="shared" ref="AS131:AS194" si="83">IF($D131=4,1,0)</f>
        <v>0</v>
      </c>
    </row>
    <row r="132" spans="2:45" x14ac:dyDescent="0.3">
      <c r="B132">
        <v>131</v>
      </c>
      <c r="C132" s="1">
        <v>40674</v>
      </c>
      <c r="D132">
        <v>2</v>
      </c>
      <c r="E132">
        <v>0</v>
      </c>
      <c r="F132">
        <v>5</v>
      </c>
      <c r="G132">
        <v>3</v>
      </c>
      <c r="H132">
        <v>1</v>
      </c>
      <c r="I132">
        <v>550</v>
      </c>
      <c r="J132">
        <v>3632</v>
      </c>
      <c r="K132" s="8">
        <v>4182</v>
      </c>
      <c r="L132">
        <v>22.2425</v>
      </c>
      <c r="M132">
        <v>26.42</v>
      </c>
      <c r="N132">
        <v>63.291699999999999</v>
      </c>
      <c r="O132">
        <v>8.0830140000000004</v>
      </c>
      <c r="P132">
        <v>0</v>
      </c>
      <c r="Q132">
        <v>1</v>
      </c>
      <c r="R132">
        <f t="shared" si="56"/>
        <v>0</v>
      </c>
      <c r="S132">
        <f t="shared" si="57"/>
        <v>0</v>
      </c>
      <c r="T132">
        <f t="shared" si="58"/>
        <v>0</v>
      </c>
      <c r="U132">
        <f t="shared" si="59"/>
        <v>0</v>
      </c>
      <c r="V132">
        <f t="shared" si="60"/>
        <v>1</v>
      </c>
      <c r="W132">
        <f t="shared" si="61"/>
        <v>0</v>
      </c>
      <c r="X132">
        <f t="shared" si="62"/>
        <v>0</v>
      </c>
      <c r="Y132">
        <f t="shared" si="63"/>
        <v>0</v>
      </c>
      <c r="Z132">
        <f t="shared" si="64"/>
        <v>0</v>
      </c>
      <c r="AA132">
        <f t="shared" si="65"/>
        <v>0</v>
      </c>
      <c r="AB132">
        <f t="shared" si="66"/>
        <v>0</v>
      </c>
      <c r="AC132">
        <f t="shared" si="67"/>
        <v>0</v>
      </c>
      <c r="AD132">
        <f t="shared" si="68"/>
        <v>0</v>
      </c>
      <c r="AE132">
        <f t="shared" si="69"/>
        <v>0</v>
      </c>
      <c r="AF132">
        <f t="shared" si="70"/>
        <v>0</v>
      </c>
      <c r="AG132">
        <f t="shared" si="71"/>
        <v>1</v>
      </c>
      <c r="AH132">
        <f t="shared" si="72"/>
        <v>0</v>
      </c>
      <c r="AI132">
        <f t="shared" si="73"/>
        <v>0</v>
      </c>
      <c r="AJ132">
        <f t="shared" si="74"/>
        <v>0</v>
      </c>
      <c r="AK132">
        <f t="shared" si="75"/>
        <v>1</v>
      </c>
      <c r="AL132">
        <f t="shared" si="76"/>
        <v>0</v>
      </c>
      <c r="AM132">
        <f t="shared" si="77"/>
        <v>0</v>
      </c>
      <c r="AN132">
        <f t="shared" si="78"/>
        <v>1</v>
      </c>
      <c r="AO132">
        <f t="shared" si="79"/>
        <v>0</v>
      </c>
      <c r="AP132">
        <f t="shared" si="80"/>
        <v>0</v>
      </c>
      <c r="AQ132">
        <f t="shared" si="81"/>
        <v>1</v>
      </c>
      <c r="AR132">
        <f t="shared" si="82"/>
        <v>0</v>
      </c>
      <c r="AS132">
        <f t="shared" si="83"/>
        <v>0</v>
      </c>
    </row>
    <row r="133" spans="2:45" x14ac:dyDescent="0.3">
      <c r="B133">
        <v>132</v>
      </c>
      <c r="C133" s="1">
        <v>40675</v>
      </c>
      <c r="D133">
        <v>2</v>
      </c>
      <c r="E133">
        <v>0</v>
      </c>
      <c r="F133">
        <v>5</v>
      </c>
      <c r="G133">
        <v>4</v>
      </c>
      <c r="H133">
        <v>1</v>
      </c>
      <c r="I133">
        <v>695</v>
      </c>
      <c r="J133">
        <v>4169</v>
      </c>
      <c r="K133" s="8">
        <v>4864</v>
      </c>
      <c r="L133">
        <v>21.934999999999999</v>
      </c>
      <c r="M133">
        <v>26.168150000000001</v>
      </c>
      <c r="N133">
        <v>74.75</v>
      </c>
      <c r="O133">
        <v>12.707689</v>
      </c>
      <c r="P133">
        <v>0</v>
      </c>
      <c r="Q133">
        <v>1</v>
      </c>
      <c r="R133">
        <f t="shared" si="56"/>
        <v>0</v>
      </c>
      <c r="S133">
        <f t="shared" si="57"/>
        <v>0</v>
      </c>
      <c r="T133">
        <f t="shared" si="58"/>
        <v>0</v>
      </c>
      <c r="U133">
        <f t="shared" si="59"/>
        <v>0</v>
      </c>
      <c r="V133">
        <f t="shared" si="60"/>
        <v>1</v>
      </c>
      <c r="W133">
        <f t="shared" si="61"/>
        <v>0</v>
      </c>
      <c r="X133">
        <f t="shared" si="62"/>
        <v>0</v>
      </c>
      <c r="Y133">
        <f t="shared" si="63"/>
        <v>0</v>
      </c>
      <c r="Z133">
        <f t="shared" si="64"/>
        <v>0</v>
      </c>
      <c r="AA133">
        <f t="shared" si="65"/>
        <v>0</v>
      </c>
      <c r="AB133">
        <f t="shared" si="66"/>
        <v>0</v>
      </c>
      <c r="AC133">
        <f t="shared" si="67"/>
        <v>0</v>
      </c>
      <c r="AD133">
        <f t="shared" si="68"/>
        <v>0</v>
      </c>
      <c r="AE133">
        <f t="shared" si="69"/>
        <v>0</v>
      </c>
      <c r="AF133">
        <f t="shared" si="70"/>
        <v>0</v>
      </c>
      <c r="AG133">
        <f t="shared" si="71"/>
        <v>0</v>
      </c>
      <c r="AH133">
        <f t="shared" si="72"/>
        <v>1</v>
      </c>
      <c r="AI133">
        <f t="shared" si="73"/>
        <v>0</v>
      </c>
      <c r="AJ133">
        <f t="shared" si="74"/>
        <v>0</v>
      </c>
      <c r="AK133">
        <f t="shared" si="75"/>
        <v>1</v>
      </c>
      <c r="AL133">
        <f t="shared" si="76"/>
        <v>0</v>
      </c>
      <c r="AM133">
        <f t="shared" si="77"/>
        <v>0</v>
      </c>
      <c r="AN133">
        <f t="shared" si="78"/>
        <v>1</v>
      </c>
      <c r="AO133">
        <f t="shared" si="79"/>
        <v>0</v>
      </c>
      <c r="AP133">
        <f t="shared" si="80"/>
        <v>0</v>
      </c>
      <c r="AQ133">
        <f t="shared" si="81"/>
        <v>1</v>
      </c>
      <c r="AR133">
        <f t="shared" si="82"/>
        <v>0</v>
      </c>
      <c r="AS133">
        <f t="shared" si="83"/>
        <v>0</v>
      </c>
    </row>
    <row r="134" spans="2:45" x14ac:dyDescent="0.3">
      <c r="B134">
        <v>133</v>
      </c>
      <c r="C134" s="1">
        <v>40676</v>
      </c>
      <c r="D134">
        <v>2</v>
      </c>
      <c r="E134">
        <v>0</v>
      </c>
      <c r="F134">
        <v>5</v>
      </c>
      <c r="G134">
        <v>5</v>
      </c>
      <c r="H134">
        <v>2</v>
      </c>
      <c r="I134">
        <v>692</v>
      </c>
      <c r="J134">
        <v>3413</v>
      </c>
      <c r="K134" s="8">
        <v>4105</v>
      </c>
      <c r="L134">
        <v>21.012499999999999</v>
      </c>
      <c r="M134">
        <v>24.715</v>
      </c>
      <c r="N134">
        <v>86.333299999999994</v>
      </c>
      <c r="O134">
        <v>12.041575</v>
      </c>
      <c r="P134">
        <v>0</v>
      </c>
      <c r="Q134">
        <v>1</v>
      </c>
      <c r="R134">
        <f t="shared" si="56"/>
        <v>0</v>
      </c>
      <c r="S134">
        <f t="shared" si="57"/>
        <v>0</v>
      </c>
      <c r="T134">
        <f t="shared" si="58"/>
        <v>0</v>
      </c>
      <c r="U134">
        <f t="shared" si="59"/>
        <v>0</v>
      </c>
      <c r="V134">
        <f t="shared" si="60"/>
        <v>1</v>
      </c>
      <c r="W134">
        <f t="shared" si="61"/>
        <v>0</v>
      </c>
      <c r="X134">
        <f t="shared" si="62"/>
        <v>0</v>
      </c>
      <c r="Y134">
        <f t="shared" si="63"/>
        <v>0</v>
      </c>
      <c r="Z134">
        <f t="shared" si="64"/>
        <v>0</v>
      </c>
      <c r="AA134">
        <f t="shared" si="65"/>
        <v>0</v>
      </c>
      <c r="AB134">
        <f t="shared" si="66"/>
        <v>0</v>
      </c>
      <c r="AC134">
        <f t="shared" si="67"/>
        <v>0</v>
      </c>
      <c r="AD134">
        <f t="shared" si="68"/>
        <v>0</v>
      </c>
      <c r="AE134">
        <f t="shared" si="69"/>
        <v>0</v>
      </c>
      <c r="AF134">
        <f t="shared" si="70"/>
        <v>0</v>
      </c>
      <c r="AG134">
        <f t="shared" si="71"/>
        <v>0</v>
      </c>
      <c r="AH134">
        <f t="shared" si="72"/>
        <v>0</v>
      </c>
      <c r="AI134">
        <f t="shared" si="73"/>
        <v>1</v>
      </c>
      <c r="AJ134">
        <f t="shared" si="74"/>
        <v>0</v>
      </c>
      <c r="AK134">
        <f t="shared" si="75"/>
        <v>0</v>
      </c>
      <c r="AL134">
        <f t="shared" si="76"/>
        <v>1</v>
      </c>
      <c r="AM134">
        <f t="shared" si="77"/>
        <v>0</v>
      </c>
      <c r="AN134">
        <f t="shared" si="78"/>
        <v>1</v>
      </c>
      <c r="AO134">
        <f t="shared" si="79"/>
        <v>0</v>
      </c>
      <c r="AP134">
        <f t="shared" si="80"/>
        <v>0</v>
      </c>
      <c r="AQ134">
        <f t="shared" si="81"/>
        <v>1</v>
      </c>
      <c r="AR134">
        <f t="shared" si="82"/>
        <v>0</v>
      </c>
      <c r="AS134">
        <f t="shared" si="83"/>
        <v>0</v>
      </c>
    </row>
    <row r="135" spans="2:45" x14ac:dyDescent="0.3">
      <c r="B135">
        <v>134</v>
      </c>
      <c r="C135" s="1">
        <v>40677</v>
      </c>
      <c r="D135">
        <v>2</v>
      </c>
      <c r="E135">
        <v>0</v>
      </c>
      <c r="F135">
        <v>5</v>
      </c>
      <c r="G135">
        <v>6</v>
      </c>
      <c r="H135">
        <v>2</v>
      </c>
      <c r="I135">
        <v>902</v>
      </c>
      <c r="J135">
        <v>2507</v>
      </c>
      <c r="K135" s="8">
        <v>3409</v>
      </c>
      <c r="L135">
        <v>21.354153</v>
      </c>
      <c r="M135">
        <v>25.03145</v>
      </c>
      <c r="N135">
        <v>92.25</v>
      </c>
      <c r="O135">
        <v>9.0416500000000006</v>
      </c>
      <c r="P135">
        <v>0</v>
      </c>
      <c r="Q135">
        <v>0</v>
      </c>
      <c r="R135">
        <f t="shared" si="56"/>
        <v>0</v>
      </c>
      <c r="S135">
        <f t="shared" si="57"/>
        <v>0</v>
      </c>
      <c r="T135">
        <f t="shared" si="58"/>
        <v>0</v>
      </c>
      <c r="U135">
        <f t="shared" si="59"/>
        <v>0</v>
      </c>
      <c r="V135">
        <f t="shared" si="60"/>
        <v>1</v>
      </c>
      <c r="W135">
        <f t="shared" si="61"/>
        <v>0</v>
      </c>
      <c r="X135">
        <f t="shared" si="62"/>
        <v>0</v>
      </c>
      <c r="Y135">
        <f t="shared" si="63"/>
        <v>0</v>
      </c>
      <c r="Z135">
        <f t="shared" si="64"/>
        <v>0</v>
      </c>
      <c r="AA135">
        <f t="shared" si="65"/>
        <v>0</v>
      </c>
      <c r="AB135">
        <f t="shared" si="66"/>
        <v>0</v>
      </c>
      <c r="AC135">
        <f t="shared" si="67"/>
        <v>0</v>
      </c>
      <c r="AD135">
        <f t="shared" si="68"/>
        <v>0</v>
      </c>
      <c r="AE135">
        <f t="shared" si="69"/>
        <v>0</v>
      </c>
      <c r="AF135">
        <f t="shared" si="70"/>
        <v>0</v>
      </c>
      <c r="AG135">
        <f t="shared" si="71"/>
        <v>0</v>
      </c>
      <c r="AH135">
        <f t="shared" si="72"/>
        <v>0</v>
      </c>
      <c r="AI135">
        <f t="shared" si="73"/>
        <v>0</v>
      </c>
      <c r="AJ135">
        <f t="shared" si="74"/>
        <v>1</v>
      </c>
      <c r="AK135">
        <f t="shared" si="75"/>
        <v>0</v>
      </c>
      <c r="AL135">
        <f t="shared" si="76"/>
        <v>1</v>
      </c>
      <c r="AM135">
        <f t="shared" si="77"/>
        <v>0</v>
      </c>
      <c r="AN135">
        <f t="shared" si="78"/>
        <v>1</v>
      </c>
      <c r="AO135">
        <f t="shared" si="79"/>
        <v>0</v>
      </c>
      <c r="AP135">
        <f t="shared" si="80"/>
        <v>0</v>
      </c>
      <c r="AQ135">
        <f t="shared" si="81"/>
        <v>1</v>
      </c>
      <c r="AR135">
        <f t="shared" si="82"/>
        <v>0</v>
      </c>
      <c r="AS135">
        <f t="shared" si="83"/>
        <v>0</v>
      </c>
    </row>
    <row r="136" spans="2:45" x14ac:dyDescent="0.3">
      <c r="B136">
        <v>135</v>
      </c>
      <c r="C136" s="1">
        <v>40678</v>
      </c>
      <c r="D136">
        <v>2</v>
      </c>
      <c r="E136">
        <v>0</v>
      </c>
      <c r="F136">
        <v>5</v>
      </c>
      <c r="G136">
        <v>0</v>
      </c>
      <c r="H136">
        <v>2</v>
      </c>
      <c r="I136">
        <v>1582</v>
      </c>
      <c r="J136">
        <v>2971</v>
      </c>
      <c r="K136" s="8">
        <v>4553</v>
      </c>
      <c r="L136">
        <v>23.0625</v>
      </c>
      <c r="M136">
        <v>26.8</v>
      </c>
      <c r="N136">
        <v>86.708299999999994</v>
      </c>
      <c r="O136">
        <v>10.249593000000001</v>
      </c>
      <c r="P136">
        <v>0</v>
      </c>
      <c r="Q136">
        <v>0</v>
      </c>
      <c r="R136">
        <f t="shared" si="56"/>
        <v>0</v>
      </c>
      <c r="S136">
        <f t="shared" si="57"/>
        <v>0</v>
      </c>
      <c r="T136">
        <f t="shared" si="58"/>
        <v>0</v>
      </c>
      <c r="U136">
        <f t="shared" si="59"/>
        <v>0</v>
      </c>
      <c r="V136">
        <f t="shared" si="60"/>
        <v>1</v>
      </c>
      <c r="W136">
        <f t="shared" si="61"/>
        <v>0</v>
      </c>
      <c r="X136">
        <f t="shared" si="62"/>
        <v>0</v>
      </c>
      <c r="Y136">
        <f t="shared" si="63"/>
        <v>0</v>
      </c>
      <c r="Z136">
        <f t="shared" si="64"/>
        <v>0</v>
      </c>
      <c r="AA136">
        <f t="shared" si="65"/>
        <v>0</v>
      </c>
      <c r="AB136">
        <f t="shared" si="66"/>
        <v>0</v>
      </c>
      <c r="AC136">
        <f t="shared" si="67"/>
        <v>0</v>
      </c>
      <c r="AD136">
        <f t="shared" si="68"/>
        <v>1</v>
      </c>
      <c r="AE136">
        <f t="shared" si="69"/>
        <v>0</v>
      </c>
      <c r="AF136">
        <f t="shared" si="70"/>
        <v>0</v>
      </c>
      <c r="AG136">
        <f t="shared" si="71"/>
        <v>0</v>
      </c>
      <c r="AH136">
        <f t="shared" si="72"/>
        <v>0</v>
      </c>
      <c r="AI136">
        <f t="shared" si="73"/>
        <v>0</v>
      </c>
      <c r="AJ136">
        <f t="shared" si="74"/>
        <v>0</v>
      </c>
      <c r="AK136">
        <f t="shared" si="75"/>
        <v>0</v>
      </c>
      <c r="AL136">
        <f t="shared" si="76"/>
        <v>1</v>
      </c>
      <c r="AM136">
        <f t="shared" si="77"/>
        <v>0</v>
      </c>
      <c r="AN136">
        <f t="shared" si="78"/>
        <v>1</v>
      </c>
      <c r="AO136">
        <f t="shared" si="79"/>
        <v>0</v>
      </c>
      <c r="AP136">
        <f t="shared" si="80"/>
        <v>0</v>
      </c>
      <c r="AQ136">
        <f t="shared" si="81"/>
        <v>1</v>
      </c>
      <c r="AR136">
        <f t="shared" si="82"/>
        <v>0</v>
      </c>
      <c r="AS136">
        <f t="shared" si="83"/>
        <v>0</v>
      </c>
    </row>
    <row r="137" spans="2:45" x14ac:dyDescent="0.3">
      <c r="B137">
        <v>136</v>
      </c>
      <c r="C137" s="1">
        <v>40679</v>
      </c>
      <c r="D137">
        <v>2</v>
      </c>
      <c r="E137">
        <v>0</v>
      </c>
      <c r="F137">
        <v>5</v>
      </c>
      <c r="G137">
        <v>1</v>
      </c>
      <c r="H137">
        <v>1</v>
      </c>
      <c r="I137">
        <v>773</v>
      </c>
      <c r="J137">
        <v>3185</v>
      </c>
      <c r="K137" s="8">
        <v>3958</v>
      </c>
      <c r="L137">
        <v>23.677499999999998</v>
      </c>
      <c r="M137">
        <v>27.525600000000001</v>
      </c>
      <c r="N137">
        <v>78.791700000000006</v>
      </c>
      <c r="O137">
        <v>8.5003569999999993</v>
      </c>
      <c r="P137">
        <v>0</v>
      </c>
      <c r="Q137">
        <v>1</v>
      </c>
      <c r="R137">
        <f t="shared" si="56"/>
        <v>0</v>
      </c>
      <c r="S137">
        <f t="shared" si="57"/>
        <v>0</v>
      </c>
      <c r="T137">
        <f t="shared" si="58"/>
        <v>0</v>
      </c>
      <c r="U137">
        <f t="shared" si="59"/>
        <v>0</v>
      </c>
      <c r="V137">
        <f t="shared" si="60"/>
        <v>1</v>
      </c>
      <c r="W137">
        <f t="shared" si="61"/>
        <v>0</v>
      </c>
      <c r="X137">
        <f t="shared" si="62"/>
        <v>0</v>
      </c>
      <c r="Y137">
        <f t="shared" si="63"/>
        <v>0</v>
      </c>
      <c r="Z137">
        <f t="shared" si="64"/>
        <v>0</v>
      </c>
      <c r="AA137">
        <f t="shared" si="65"/>
        <v>0</v>
      </c>
      <c r="AB137">
        <f t="shared" si="66"/>
        <v>0</v>
      </c>
      <c r="AC137">
        <f t="shared" si="67"/>
        <v>0</v>
      </c>
      <c r="AD137">
        <f t="shared" si="68"/>
        <v>0</v>
      </c>
      <c r="AE137">
        <f t="shared" si="69"/>
        <v>1</v>
      </c>
      <c r="AF137">
        <f t="shared" si="70"/>
        <v>0</v>
      </c>
      <c r="AG137">
        <f t="shared" si="71"/>
        <v>0</v>
      </c>
      <c r="AH137">
        <f t="shared" si="72"/>
        <v>0</v>
      </c>
      <c r="AI137">
        <f t="shared" si="73"/>
        <v>0</v>
      </c>
      <c r="AJ137">
        <f t="shared" si="74"/>
        <v>0</v>
      </c>
      <c r="AK137">
        <f t="shared" si="75"/>
        <v>1</v>
      </c>
      <c r="AL137">
        <f t="shared" si="76"/>
        <v>0</v>
      </c>
      <c r="AM137">
        <f t="shared" si="77"/>
        <v>0</v>
      </c>
      <c r="AN137">
        <f t="shared" si="78"/>
        <v>1</v>
      </c>
      <c r="AO137">
        <f t="shared" si="79"/>
        <v>0</v>
      </c>
      <c r="AP137">
        <f t="shared" si="80"/>
        <v>0</v>
      </c>
      <c r="AQ137">
        <f t="shared" si="81"/>
        <v>1</v>
      </c>
      <c r="AR137">
        <f t="shared" si="82"/>
        <v>0</v>
      </c>
      <c r="AS137">
        <f t="shared" si="83"/>
        <v>0</v>
      </c>
    </row>
    <row r="138" spans="2:45" x14ac:dyDescent="0.3">
      <c r="B138">
        <v>137</v>
      </c>
      <c r="C138" s="1">
        <v>40680</v>
      </c>
      <c r="D138">
        <v>2</v>
      </c>
      <c r="E138">
        <v>0</v>
      </c>
      <c r="F138">
        <v>5</v>
      </c>
      <c r="G138">
        <v>2</v>
      </c>
      <c r="H138">
        <v>2</v>
      </c>
      <c r="I138">
        <v>678</v>
      </c>
      <c r="J138">
        <v>3445</v>
      </c>
      <c r="K138" s="8">
        <v>4123</v>
      </c>
      <c r="L138">
        <v>23.028347</v>
      </c>
      <c r="M138">
        <v>26.926449999999999</v>
      </c>
      <c r="N138">
        <v>83.791700000000006</v>
      </c>
      <c r="O138">
        <v>18.582718</v>
      </c>
      <c r="P138">
        <v>0</v>
      </c>
      <c r="Q138">
        <v>1</v>
      </c>
      <c r="R138">
        <f t="shared" si="56"/>
        <v>0</v>
      </c>
      <c r="S138">
        <f t="shared" si="57"/>
        <v>0</v>
      </c>
      <c r="T138">
        <f t="shared" si="58"/>
        <v>0</v>
      </c>
      <c r="U138">
        <f t="shared" si="59"/>
        <v>0</v>
      </c>
      <c r="V138">
        <f t="shared" si="60"/>
        <v>1</v>
      </c>
      <c r="W138">
        <f t="shared" si="61"/>
        <v>0</v>
      </c>
      <c r="X138">
        <f t="shared" si="62"/>
        <v>0</v>
      </c>
      <c r="Y138">
        <f t="shared" si="63"/>
        <v>0</v>
      </c>
      <c r="Z138">
        <f t="shared" si="64"/>
        <v>0</v>
      </c>
      <c r="AA138">
        <f t="shared" si="65"/>
        <v>0</v>
      </c>
      <c r="AB138">
        <f t="shared" si="66"/>
        <v>0</v>
      </c>
      <c r="AC138">
        <f t="shared" si="67"/>
        <v>0</v>
      </c>
      <c r="AD138">
        <f t="shared" si="68"/>
        <v>0</v>
      </c>
      <c r="AE138">
        <f t="shared" si="69"/>
        <v>0</v>
      </c>
      <c r="AF138">
        <f t="shared" si="70"/>
        <v>1</v>
      </c>
      <c r="AG138">
        <f t="shared" si="71"/>
        <v>0</v>
      </c>
      <c r="AH138">
        <f t="shared" si="72"/>
        <v>0</v>
      </c>
      <c r="AI138">
        <f t="shared" si="73"/>
        <v>0</v>
      </c>
      <c r="AJ138">
        <f t="shared" si="74"/>
        <v>0</v>
      </c>
      <c r="AK138">
        <f t="shared" si="75"/>
        <v>0</v>
      </c>
      <c r="AL138">
        <f t="shared" si="76"/>
        <v>1</v>
      </c>
      <c r="AM138">
        <f t="shared" si="77"/>
        <v>0</v>
      </c>
      <c r="AN138">
        <f t="shared" si="78"/>
        <v>1</v>
      </c>
      <c r="AO138">
        <f t="shared" si="79"/>
        <v>0</v>
      </c>
      <c r="AP138">
        <f t="shared" si="80"/>
        <v>0</v>
      </c>
      <c r="AQ138">
        <f t="shared" si="81"/>
        <v>1</v>
      </c>
      <c r="AR138">
        <f t="shared" si="82"/>
        <v>0</v>
      </c>
      <c r="AS138">
        <f t="shared" si="83"/>
        <v>0</v>
      </c>
    </row>
    <row r="139" spans="2:45" x14ac:dyDescent="0.3">
      <c r="B139">
        <v>138</v>
      </c>
      <c r="C139" s="1">
        <v>40681</v>
      </c>
      <c r="D139">
        <v>2</v>
      </c>
      <c r="E139">
        <v>0</v>
      </c>
      <c r="F139">
        <v>5</v>
      </c>
      <c r="G139">
        <v>3</v>
      </c>
      <c r="H139">
        <v>2</v>
      </c>
      <c r="I139">
        <v>536</v>
      </c>
      <c r="J139">
        <v>3319</v>
      </c>
      <c r="K139" s="8">
        <v>3855</v>
      </c>
      <c r="L139">
        <v>22.55</v>
      </c>
      <c r="M139">
        <v>26.357900000000001</v>
      </c>
      <c r="N139">
        <v>87</v>
      </c>
      <c r="O139">
        <v>13.499964</v>
      </c>
      <c r="P139">
        <v>0</v>
      </c>
      <c r="Q139">
        <v>1</v>
      </c>
      <c r="R139">
        <f t="shared" si="56"/>
        <v>0</v>
      </c>
      <c r="S139">
        <f t="shared" si="57"/>
        <v>0</v>
      </c>
      <c r="T139">
        <f t="shared" si="58"/>
        <v>0</v>
      </c>
      <c r="U139">
        <f t="shared" si="59"/>
        <v>0</v>
      </c>
      <c r="V139">
        <f t="shared" si="60"/>
        <v>1</v>
      </c>
      <c r="W139">
        <f t="shared" si="61"/>
        <v>0</v>
      </c>
      <c r="X139">
        <f t="shared" si="62"/>
        <v>0</v>
      </c>
      <c r="Y139">
        <f t="shared" si="63"/>
        <v>0</v>
      </c>
      <c r="Z139">
        <f t="shared" si="64"/>
        <v>0</v>
      </c>
      <c r="AA139">
        <f t="shared" si="65"/>
        <v>0</v>
      </c>
      <c r="AB139">
        <f t="shared" si="66"/>
        <v>0</v>
      </c>
      <c r="AC139">
        <f t="shared" si="67"/>
        <v>0</v>
      </c>
      <c r="AD139">
        <f t="shared" si="68"/>
        <v>0</v>
      </c>
      <c r="AE139">
        <f t="shared" si="69"/>
        <v>0</v>
      </c>
      <c r="AF139">
        <f t="shared" si="70"/>
        <v>0</v>
      </c>
      <c r="AG139">
        <f t="shared" si="71"/>
        <v>1</v>
      </c>
      <c r="AH139">
        <f t="shared" si="72"/>
        <v>0</v>
      </c>
      <c r="AI139">
        <f t="shared" si="73"/>
        <v>0</v>
      </c>
      <c r="AJ139">
        <f t="shared" si="74"/>
        <v>0</v>
      </c>
      <c r="AK139">
        <f t="shared" si="75"/>
        <v>0</v>
      </c>
      <c r="AL139">
        <f t="shared" si="76"/>
        <v>1</v>
      </c>
      <c r="AM139">
        <f t="shared" si="77"/>
        <v>0</v>
      </c>
      <c r="AN139">
        <f t="shared" si="78"/>
        <v>1</v>
      </c>
      <c r="AO139">
        <f t="shared" si="79"/>
        <v>0</v>
      </c>
      <c r="AP139">
        <f t="shared" si="80"/>
        <v>0</v>
      </c>
      <c r="AQ139">
        <f t="shared" si="81"/>
        <v>1</v>
      </c>
      <c r="AR139">
        <f t="shared" si="82"/>
        <v>0</v>
      </c>
      <c r="AS139">
        <f t="shared" si="83"/>
        <v>0</v>
      </c>
    </row>
    <row r="140" spans="2:45" x14ac:dyDescent="0.3">
      <c r="B140">
        <v>139</v>
      </c>
      <c r="C140" s="1">
        <v>40682</v>
      </c>
      <c r="D140">
        <v>2</v>
      </c>
      <c r="E140">
        <v>0</v>
      </c>
      <c r="F140">
        <v>5</v>
      </c>
      <c r="G140">
        <v>4</v>
      </c>
      <c r="H140">
        <v>2</v>
      </c>
      <c r="I140">
        <v>735</v>
      </c>
      <c r="J140">
        <v>3840</v>
      </c>
      <c r="K140" s="8">
        <v>4575</v>
      </c>
      <c r="L140">
        <v>21.764153</v>
      </c>
      <c r="M140">
        <v>25.537099999999999</v>
      </c>
      <c r="N140">
        <v>82.958299999999994</v>
      </c>
      <c r="O140">
        <v>7.2502709999999997</v>
      </c>
      <c r="P140">
        <v>0</v>
      </c>
      <c r="Q140">
        <v>1</v>
      </c>
      <c r="R140">
        <f t="shared" si="56"/>
        <v>0</v>
      </c>
      <c r="S140">
        <f t="shared" si="57"/>
        <v>0</v>
      </c>
      <c r="T140">
        <f t="shared" si="58"/>
        <v>0</v>
      </c>
      <c r="U140">
        <f t="shared" si="59"/>
        <v>0</v>
      </c>
      <c r="V140">
        <f t="shared" si="60"/>
        <v>1</v>
      </c>
      <c r="W140">
        <f t="shared" si="61"/>
        <v>0</v>
      </c>
      <c r="X140">
        <f t="shared" si="62"/>
        <v>0</v>
      </c>
      <c r="Y140">
        <f t="shared" si="63"/>
        <v>0</v>
      </c>
      <c r="Z140">
        <f t="shared" si="64"/>
        <v>0</v>
      </c>
      <c r="AA140">
        <f t="shared" si="65"/>
        <v>0</v>
      </c>
      <c r="AB140">
        <f t="shared" si="66"/>
        <v>0</v>
      </c>
      <c r="AC140">
        <f t="shared" si="67"/>
        <v>0</v>
      </c>
      <c r="AD140">
        <f t="shared" si="68"/>
        <v>0</v>
      </c>
      <c r="AE140">
        <f t="shared" si="69"/>
        <v>0</v>
      </c>
      <c r="AF140">
        <f t="shared" si="70"/>
        <v>0</v>
      </c>
      <c r="AG140">
        <f t="shared" si="71"/>
        <v>0</v>
      </c>
      <c r="AH140">
        <f t="shared" si="72"/>
        <v>1</v>
      </c>
      <c r="AI140">
        <f t="shared" si="73"/>
        <v>0</v>
      </c>
      <c r="AJ140">
        <f t="shared" si="74"/>
        <v>0</v>
      </c>
      <c r="AK140">
        <f t="shared" si="75"/>
        <v>0</v>
      </c>
      <c r="AL140">
        <f t="shared" si="76"/>
        <v>1</v>
      </c>
      <c r="AM140">
        <f t="shared" si="77"/>
        <v>0</v>
      </c>
      <c r="AN140">
        <f t="shared" si="78"/>
        <v>1</v>
      </c>
      <c r="AO140">
        <f t="shared" si="79"/>
        <v>0</v>
      </c>
      <c r="AP140">
        <f t="shared" si="80"/>
        <v>0</v>
      </c>
      <c r="AQ140">
        <f t="shared" si="81"/>
        <v>1</v>
      </c>
      <c r="AR140">
        <f t="shared" si="82"/>
        <v>0</v>
      </c>
      <c r="AS140">
        <f t="shared" si="83"/>
        <v>0</v>
      </c>
    </row>
    <row r="141" spans="2:45" x14ac:dyDescent="0.3">
      <c r="B141">
        <v>140</v>
      </c>
      <c r="C141" s="1">
        <v>40683</v>
      </c>
      <c r="D141">
        <v>2</v>
      </c>
      <c r="E141">
        <v>0</v>
      </c>
      <c r="F141">
        <v>5</v>
      </c>
      <c r="G141">
        <v>5</v>
      </c>
      <c r="H141">
        <v>1</v>
      </c>
      <c r="I141">
        <v>909</v>
      </c>
      <c r="J141">
        <v>4008</v>
      </c>
      <c r="K141" s="8">
        <v>4917</v>
      </c>
      <c r="L141">
        <v>22.003347000000002</v>
      </c>
      <c r="M141">
        <v>26.452100000000002</v>
      </c>
      <c r="N141">
        <v>71.958299999999994</v>
      </c>
      <c r="O141">
        <v>8.3758710000000001</v>
      </c>
      <c r="P141">
        <v>0</v>
      </c>
      <c r="Q141">
        <v>1</v>
      </c>
      <c r="R141">
        <f t="shared" si="56"/>
        <v>0</v>
      </c>
      <c r="S141">
        <f t="shared" si="57"/>
        <v>0</v>
      </c>
      <c r="T141">
        <f t="shared" si="58"/>
        <v>0</v>
      </c>
      <c r="U141">
        <f t="shared" si="59"/>
        <v>0</v>
      </c>
      <c r="V141">
        <f t="shared" si="60"/>
        <v>1</v>
      </c>
      <c r="W141">
        <f t="shared" si="61"/>
        <v>0</v>
      </c>
      <c r="X141">
        <f t="shared" si="62"/>
        <v>0</v>
      </c>
      <c r="Y141">
        <f t="shared" si="63"/>
        <v>0</v>
      </c>
      <c r="Z141">
        <f t="shared" si="64"/>
        <v>0</v>
      </c>
      <c r="AA141">
        <f t="shared" si="65"/>
        <v>0</v>
      </c>
      <c r="AB141">
        <f t="shared" si="66"/>
        <v>0</v>
      </c>
      <c r="AC141">
        <f t="shared" si="67"/>
        <v>0</v>
      </c>
      <c r="AD141">
        <f t="shared" si="68"/>
        <v>0</v>
      </c>
      <c r="AE141">
        <f t="shared" si="69"/>
        <v>0</v>
      </c>
      <c r="AF141">
        <f t="shared" si="70"/>
        <v>0</v>
      </c>
      <c r="AG141">
        <f t="shared" si="71"/>
        <v>0</v>
      </c>
      <c r="AH141">
        <f t="shared" si="72"/>
        <v>0</v>
      </c>
      <c r="AI141">
        <f t="shared" si="73"/>
        <v>1</v>
      </c>
      <c r="AJ141">
        <f t="shared" si="74"/>
        <v>0</v>
      </c>
      <c r="AK141">
        <f t="shared" si="75"/>
        <v>1</v>
      </c>
      <c r="AL141">
        <f t="shared" si="76"/>
        <v>0</v>
      </c>
      <c r="AM141">
        <f t="shared" si="77"/>
        <v>0</v>
      </c>
      <c r="AN141">
        <f t="shared" si="78"/>
        <v>1</v>
      </c>
      <c r="AO141">
        <f t="shared" si="79"/>
        <v>0</v>
      </c>
      <c r="AP141">
        <f t="shared" si="80"/>
        <v>0</v>
      </c>
      <c r="AQ141">
        <f t="shared" si="81"/>
        <v>1</v>
      </c>
      <c r="AR141">
        <f t="shared" si="82"/>
        <v>0</v>
      </c>
      <c r="AS141">
        <f t="shared" si="83"/>
        <v>0</v>
      </c>
    </row>
    <row r="142" spans="2:45" x14ac:dyDescent="0.3">
      <c r="B142">
        <v>141</v>
      </c>
      <c r="C142" s="1">
        <v>40684</v>
      </c>
      <c r="D142">
        <v>2</v>
      </c>
      <c r="E142">
        <v>0</v>
      </c>
      <c r="F142">
        <v>5</v>
      </c>
      <c r="G142">
        <v>6</v>
      </c>
      <c r="H142">
        <v>1</v>
      </c>
      <c r="I142">
        <v>2258</v>
      </c>
      <c r="J142">
        <v>3547</v>
      </c>
      <c r="K142" s="8">
        <v>5805</v>
      </c>
      <c r="L142">
        <v>24.702500000000001</v>
      </c>
      <c r="M142">
        <v>28.598749999999999</v>
      </c>
      <c r="N142">
        <v>62.666699999999999</v>
      </c>
      <c r="O142">
        <v>8.0835500000000007</v>
      </c>
      <c r="P142">
        <v>0</v>
      </c>
      <c r="Q142">
        <v>0</v>
      </c>
      <c r="R142">
        <f t="shared" si="56"/>
        <v>0</v>
      </c>
      <c r="S142">
        <f t="shared" si="57"/>
        <v>0</v>
      </c>
      <c r="T142">
        <f t="shared" si="58"/>
        <v>0</v>
      </c>
      <c r="U142">
        <f t="shared" si="59"/>
        <v>0</v>
      </c>
      <c r="V142">
        <f t="shared" si="60"/>
        <v>1</v>
      </c>
      <c r="W142">
        <f t="shared" si="61"/>
        <v>0</v>
      </c>
      <c r="X142">
        <f t="shared" si="62"/>
        <v>0</v>
      </c>
      <c r="Y142">
        <f t="shared" si="63"/>
        <v>0</v>
      </c>
      <c r="Z142">
        <f t="shared" si="64"/>
        <v>0</v>
      </c>
      <c r="AA142">
        <f t="shared" si="65"/>
        <v>0</v>
      </c>
      <c r="AB142">
        <f t="shared" si="66"/>
        <v>0</v>
      </c>
      <c r="AC142">
        <f t="shared" si="67"/>
        <v>0</v>
      </c>
      <c r="AD142">
        <f t="shared" si="68"/>
        <v>0</v>
      </c>
      <c r="AE142">
        <f t="shared" si="69"/>
        <v>0</v>
      </c>
      <c r="AF142">
        <f t="shared" si="70"/>
        <v>0</v>
      </c>
      <c r="AG142">
        <f t="shared" si="71"/>
        <v>0</v>
      </c>
      <c r="AH142">
        <f t="shared" si="72"/>
        <v>0</v>
      </c>
      <c r="AI142">
        <f t="shared" si="73"/>
        <v>0</v>
      </c>
      <c r="AJ142">
        <f t="shared" si="74"/>
        <v>1</v>
      </c>
      <c r="AK142">
        <f t="shared" si="75"/>
        <v>1</v>
      </c>
      <c r="AL142">
        <f t="shared" si="76"/>
        <v>0</v>
      </c>
      <c r="AM142">
        <f t="shared" si="77"/>
        <v>0</v>
      </c>
      <c r="AN142">
        <f t="shared" si="78"/>
        <v>1</v>
      </c>
      <c r="AO142">
        <f t="shared" si="79"/>
        <v>0</v>
      </c>
      <c r="AP142">
        <f t="shared" si="80"/>
        <v>0</v>
      </c>
      <c r="AQ142">
        <f t="shared" si="81"/>
        <v>1</v>
      </c>
      <c r="AR142">
        <f t="shared" si="82"/>
        <v>0</v>
      </c>
      <c r="AS142">
        <f t="shared" si="83"/>
        <v>0</v>
      </c>
    </row>
    <row r="143" spans="2:45" x14ac:dyDescent="0.3">
      <c r="B143">
        <v>142</v>
      </c>
      <c r="C143" s="1">
        <v>40685</v>
      </c>
      <c r="D143">
        <v>2</v>
      </c>
      <c r="E143">
        <v>0</v>
      </c>
      <c r="F143">
        <v>5</v>
      </c>
      <c r="G143">
        <v>0</v>
      </c>
      <c r="H143">
        <v>1</v>
      </c>
      <c r="I143">
        <v>1576</v>
      </c>
      <c r="J143">
        <v>3084</v>
      </c>
      <c r="K143" s="8">
        <v>4660</v>
      </c>
      <c r="L143">
        <v>24.770847</v>
      </c>
      <c r="M143">
        <v>28.725000000000001</v>
      </c>
      <c r="N143">
        <v>74.958299999999994</v>
      </c>
      <c r="O143">
        <v>9.9165360000000007</v>
      </c>
      <c r="P143">
        <v>0</v>
      </c>
      <c r="Q143">
        <v>0</v>
      </c>
      <c r="R143">
        <f t="shared" si="56"/>
        <v>0</v>
      </c>
      <c r="S143">
        <f t="shared" si="57"/>
        <v>0</v>
      </c>
      <c r="T143">
        <f t="shared" si="58"/>
        <v>0</v>
      </c>
      <c r="U143">
        <f t="shared" si="59"/>
        <v>0</v>
      </c>
      <c r="V143">
        <f t="shared" si="60"/>
        <v>1</v>
      </c>
      <c r="W143">
        <f t="shared" si="61"/>
        <v>0</v>
      </c>
      <c r="X143">
        <f t="shared" si="62"/>
        <v>0</v>
      </c>
      <c r="Y143">
        <f t="shared" si="63"/>
        <v>0</v>
      </c>
      <c r="Z143">
        <f t="shared" si="64"/>
        <v>0</v>
      </c>
      <c r="AA143">
        <f t="shared" si="65"/>
        <v>0</v>
      </c>
      <c r="AB143">
        <f t="shared" si="66"/>
        <v>0</v>
      </c>
      <c r="AC143">
        <f t="shared" si="67"/>
        <v>0</v>
      </c>
      <c r="AD143">
        <f t="shared" si="68"/>
        <v>1</v>
      </c>
      <c r="AE143">
        <f t="shared" si="69"/>
        <v>0</v>
      </c>
      <c r="AF143">
        <f t="shared" si="70"/>
        <v>0</v>
      </c>
      <c r="AG143">
        <f t="shared" si="71"/>
        <v>0</v>
      </c>
      <c r="AH143">
        <f t="shared" si="72"/>
        <v>0</v>
      </c>
      <c r="AI143">
        <f t="shared" si="73"/>
        <v>0</v>
      </c>
      <c r="AJ143">
        <f t="shared" si="74"/>
        <v>0</v>
      </c>
      <c r="AK143">
        <f t="shared" si="75"/>
        <v>1</v>
      </c>
      <c r="AL143">
        <f t="shared" si="76"/>
        <v>0</v>
      </c>
      <c r="AM143">
        <f t="shared" si="77"/>
        <v>0</v>
      </c>
      <c r="AN143">
        <f t="shared" si="78"/>
        <v>1</v>
      </c>
      <c r="AO143">
        <f t="shared" si="79"/>
        <v>0</v>
      </c>
      <c r="AP143">
        <f t="shared" si="80"/>
        <v>0</v>
      </c>
      <c r="AQ143">
        <f t="shared" si="81"/>
        <v>1</v>
      </c>
      <c r="AR143">
        <f t="shared" si="82"/>
        <v>0</v>
      </c>
      <c r="AS143">
        <f t="shared" si="83"/>
        <v>0</v>
      </c>
    </row>
    <row r="144" spans="2:45" x14ac:dyDescent="0.3">
      <c r="B144">
        <v>143</v>
      </c>
      <c r="C144" s="1">
        <v>40686</v>
      </c>
      <c r="D144">
        <v>2</v>
      </c>
      <c r="E144">
        <v>0</v>
      </c>
      <c r="F144">
        <v>5</v>
      </c>
      <c r="G144">
        <v>1</v>
      </c>
      <c r="H144">
        <v>2</v>
      </c>
      <c r="I144">
        <v>836</v>
      </c>
      <c r="J144">
        <v>3438</v>
      </c>
      <c r="K144" s="8">
        <v>4274</v>
      </c>
      <c r="L144">
        <v>25.898347000000001</v>
      </c>
      <c r="M144">
        <v>29.514800000000001</v>
      </c>
      <c r="N144">
        <v>81</v>
      </c>
      <c r="O144">
        <v>15.667414000000001</v>
      </c>
      <c r="P144">
        <v>0</v>
      </c>
      <c r="Q144">
        <v>1</v>
      </c>
      <c r="R144">
        <f t="shared" si="56"/>
        <v>0</v>
      </c>
      <c r="S144">
        <f t="shared" si="57"/>
        <v>0</v>
      </c>
      <c r="T144">
        <f t="shared" si="58"/>
        <v>0</v>
      </c>
      <c r="U144">
        <f t="shared" si="59"/>
        <v>0</v>
      </c>
      <c r="V144">
        <f t="shared" si="60"/>
        <v>1</v>
      </c>
      <c r="W144">
        <f t="shared" si="61"/>
        <v>0</v>
      </c>
      <c r="X144">
        <f t="shared" si="62"/>
        <v>0</v>
      </c>
      <c r="Y144">
        <f t="shared" si="63"/>
        <v>0</v>
      </c>
      <c r="Z144">
        <f t="shared" si="64"/>
        <v>0</v>
      </c>
      <c r="AA144">
        <f t="shared" si="65"/>
        <v>0</v>
      </c>
      <c r="AB144">
        <f t="shared" si="66"/>
        <v>0</v>
      </c>
      <c r="AC144">
        <f t="shared" si="67"/>
        <v>0</v>
      </c>
      <c r="AD144">
        <f t="shared" si="68"/>
        <v>0</v>
      </c>
      <c r="AE144">
        <f t="shared" si="69"/>
        <v>1</v>
      </c>
      <c r="AF144">
        <f t="shared" si="70"/>
        <v>0</v>
      </c>
      <c r="AG144">
        <f t="shared" si="71"/>
        <v>0</v>
      </c>
      <c r="AH144">
        <f t="shared" si="72"/>
        <v>0</v>
      </c>
      <c r="AI144">
        <f t="shared" si="73"/>
        <v>0</v>
      </c>
      <c r="AJ144">
        <f t="shared" si="74"/>
        <v>0</v>
      </c>
      <c r="AK144">
        <f t="shared" si="75"/>
        <v>0</v>
      </c>
      <c r="AL144">
        <f t="shared" si="76"/>
        <v>1</v>
      </c>
      <c r="AM144">
        <f t="shared" si="77"/>
        <v>0</v>
      </c>
      <c r="AN144">
        <f t="shared" si="78"/>
        <v>1</v>
      </c>
      <c r="AO144">
        <f t="shared" si="79"/>
        <v>0</v>
      </c>
      <c r="AP144">
        <f t="shared" si="80"/>
        <v>0</v>
      </c>
      <c r="AQ144">
        <f t="shared" si="81"/>
        <v>1</v>
      </c>
      <c r="AR144">
        <f t="shared" si="82"/>
        <v>0</v>
      </c>
      <c r="AS144">
        <f t="shared" si="83"/>
        <v>0</v>
      </c>
    </row>
    <row r="145" spans="2:45" x14ac:dyDescent="0.3">
      <c r="B145">
        <v>144</v>
      </c>
      <c r="C145" s="1">
        <v>40687</v>
      </c>
      <c r="D145">
        <v>2</v>
      </c>
      <c r="E145">
        <v>0</v>
      </c>
      <c r="F145">
        <v>5</v>
      </c>
      <c r="G145">
        <v>2</v>
      </c>
      <c r="H145">
        <v>2</v>
      </c>
      <c r="I145">
        <v>659</v>
      </c>
      <c r="J145">
        <v>3833</v>
      </c>
      <c r="K145" s="8">
        <v>4492</v>
      </c>
      <c r="L145">
        <v>27.06</v>
      </c>
      <c r="M145">
        <v>30.240649999999999</v>
      </c>
      <c r="N145">
        <v>74.083299999999994</v>
      </c>
      <c r="O145">
        <v>13.875164</v>
      </c>
      <c r="P145">
        <v>0</v>
      </c>
      <c r="Q145">
        <v>1</v>
      </c>
      <c r="R145">
        <f t="shared" si="56"/>
        <v>0</v>
      </c>
      <c r="S145">
        <f t="shared" si="57"/>
        <v>0</v>
      </c>
      <c r="T145">
        <f t="shared" si="58"/>
        <v>0</v>
      </c>
      <c r="U145">
        <f t="shared" si="59"/>
        <v>0</v>
      </c>
      <c r="V145">
        <f t="shared" si="60"/>
        <v>1</v>
      </c>
      <c r="W145">
        <f t="shared" si="61"/>
        <v>0</v>
      </c>
      <c r="X145">
        <f t="shared" si="62"/>
        <v>0</v>
      </c>
      <c r="Y145">
        <f t="shared" si="63"/>
        <v>0</v>
      </c>
      <c r="Z145">
        <f t="shared" si="64"/>
        <v>0</v>
      </c>
      <c r="AA145">
        <f t="shared" si="65"/>
        <v>0</v>
      </c>
      <c r="AB145">
        <f t="shared" si="66"/>
        <v>0</v>
      </c>
      <c r="AC145">
        <f t="shared" si="67"/>
        <v>0</v>
      </c>
      <c r="AD145">
        <f t="shared" si="68"/>
        <v>0</v>
      </c>
      <c r="AE145">
        <f t="shared" si="69"/>
        <v>0</v>
      </c>
      <c r="AF145">
        <f t="shared" si="70"/>
        <v>1</v>
      </c>
      <c r="AG145">
        <f t="shared" si="71"/>
        <v>0</v>
      </c>
      <c r="AH145">
        <f t="shared" si="72"/>
        <v>0</v>
      </c>
      <c r="AI145">
        <f t="shared" si="73"/>
        <v>0</v>
      </c>
      <c r="AJ145">
        <f t="shared" si="74"/>
        <v>0</v>
      </c>
      <c r="AK145">
        <f t="shared" si="75"/>
        <v>0</v>
      </c>
      <c r="AL145">
        <f t="shared" si="76"/>
        <v>1</v>
      </c>
      <c r="AM145">
        <f t="shared" si="77"/>
        <v>0</v>
      </c>
      <c r="AN145">
        <f t="shared" si="78"/>
        <v>1</v>
      </c>
      <c r="AO145">
        <f t="shared" si="79"/>
        <v>0</v>
      </c>
      <c r="AP145">
        <f t="shared" si="80"/>
        <v>0</v>
      </c>
      <c r="AQ145">
        <f t="shared" si="81"/>
        <v>1</v>
      </c>
      <c r="AR145">
        <f t="shared" si="82"/>
        <v>0</v>
      </c>
      <c r="AS145">
        <f t="shared" si="83"/>
        <v>0</v>
      </c>
    </row>
    <row r="146" spans="2:45" x14ac:dyDescent="0.3">
      <c r="B146">
        <v>145</v>
      </c>
      <c r="C146" s="1">
        <v>40688</v>
      </c>
      <c r="D146">
        <v>2</v>
      </c>
      <c r="E146">
        <v>0</v>
      </c>
      <c r="F146">
        <v>5</v>
      </c>
      <c r="G146">
        <v>3</v>
      </c>
      <c r="H146">
        <v>1</v>
      </c>
      <c r="I146">
        <v>740</v>
      </c>
      <c r="J146">
        <v>4238</v>
      </c>
      <c r="K146" s="8">
        <v>4978</v>
      </c>
      <c r="L146">
        <v>27.094152999999999</v>
      </c>
      <c r="M146">
        <v>30.777100000000001</v>
      </c>
      <c r="N146">
        <v>69.625</v>
      </c>
      <c r="O146">
        <v>10.333610999999999</v>
      </c>
      <c r="P146">
        <v>0</v>
      </c>
      <c r="Q146">
        <v>1</v>
      </c>
      <c r="R146">
        <f t="shared" si="56"/>
        <v>0</v>
      </c>
      <c r="S146">
        <f t="shared" si="57"/>
        <v>0</v>
      </c>
      <c r="T146">
        <f t="shared" si="58"/>
        <v>0</v>
      </c>
      <c r="U146">
        <f t="shared" si="59"/>
        <v>0</v>
      </c>
      <c r="V146">
        <f t="shared" si="60"/>
        <v>1</v>
      </c>
      <c r="W146">
        <f t="shared" si="61"/>
        <v>0</v>
      </c>
      <c r="X146">
        <f t="shared" si="62"/>
        <v>0</v>
      </c>
      <c r="Y146">
        <f t="shared" si="63"/>
        <v>0</v>
      </c>
      <c r="Z146">
        <f t="shared" si="64"/>
        <v>0</v>
      </c>
      <c r="AA146">
        <f t="shared" si="65"/>
        <v>0</v>
      </c>
      <c r="AB146">
        <f t="shared" si="66"/>
        <v>0</v>
      </c>
      <c r="AC146">
        <f t="shared" si="67"/>
        <v>0</v>
      </c>
      <c r="AD146">
        <f t="shared" si="68"/>
        <v>0</v>
      </c>
      <c r="AE146">
        <f t="shared" si="69"/>
        <v>0</v>
      </c>
      <c r="AF146">
        <f t="shared" si="70"/>
        <v>0</v>
      </c>
      <c r="AG146">
        <f t="shared" si="71"/>
        <v>1</v>
      </c>
      <c r="AH146">
        <f t="shared" si="72"/>
        <v>0</v>
      </c>
      <c r="AI146">
        <f t="shared" si="73"/>
        <v>0</v>
      </c>
      <c r="AJ146">
        <f t="shared" si="74"/>
        <v>0</v>
      </c>
      <c r="AK146">
        <f t="shared" si="75"/>
        <v>1</v>
      </c>
      <c r="AL146">
        <f t="shared" si="76"/>
        <v>0</v>
      </c>
      <c r="AM146">
        <f t="shared" si="77"/>
        <v>0</v>
      </c>
      <c r="AN146">
        <f t="shared" si="78"/>
        <v>1</v>
      </c>
      <c r="AO146">
        <f t="shared" si="79"/>
        <v>0</v>
      </c>
      <c r="AP146">
        <f t="shared" si="80"/>
        <v>0</v>
      </c>
      <c r="AQ146">
        <f t="shared" si="81"/>
        <v>1</v>
      </c>
      <c r="AR146">
        <f t="shared" si="82"/>
        <v>0</v>
      </c>
      <c r="AS146">
        <f t="shared" si="83"/>
        <v>0</v>
      </c>
    </row>
    <row r="147" spans="2:45" x14ac:dyDescent="0.3">
      <c r="B147">
        <v>146</v>
      </c>
      <c r="C147" s="1">
        <v>40689</v>
      </c>
      <c r="D147">
        <v>2</v>
      </c>
      <c r="E147">
        <v>0</v>
      </c>
      <c r="F147">
        <v>5</v>
      </c>
      <c r="G147">
        <v>4</v>
      </c>
      <c r="H147">
        <v>1</v>
      </c>
      <c r="I147">
        <v>758</v>
      </c>
      <c r="J147">
        <v>3919</v>
      </c>
      <c r="K147" s="8">
        <v>4677</v>
      </c>
      <c r="L147">
        <v>29.041653</v>
      </c>
      <c r="M147">
        <v>32.734400000000001</v>
      </c>
      <c r="N147">
        <v>67.75</v>
      </c>
      <c r="O147">
        <v>13.376014</v>
      </c>
      <c r="P147">
        <v>0</v>
      </c>
      <c r="Q147">
        <v>1</v>
      </c>
      <c r="R147">
        <f t="shared" si="56"/>
        <v>0</v>
      </c>
      <c r="S147">
        <f t="shared" si="57"/>
        <v>0</v>
      </c>
      <c r="T147">
        <f t="shared" si="58"/>
        <v>0</v>
      </c>
      <c r="U147">
        <f t="shared" si="59"/>
        <v>0</v>
      </c>
      <c r="V147">
        <f t="shared" si="60"/>
        <v>1</v>
      </c>
      <c r="W147">
        <f t="shared" si="61"/>
        <v>0</v>
      </c>
      <c r="X147">
        <f t="shared" si="62"/>
        <v>0</v>
      </c>
      <c r="Y147">
        <f t="shared" si="63"/>
        <v>0</v>
      </c>
      <c r="Z147">
        <f t="shared" si="64"/>
        <v>0</v>
      </c>
      <c r="AA147">
        <f t="shared" si="65"/>
        <v>0</v>
      </c>
      <c r="AB147">
        <f t="shared" si="66"/>
        <v>0</v>
      </c>
      <c r="AC147">
        <f t="shared" si="67"/>
        <v>0</v>
      </c>
      <c r="AD147">
        <f t="shared" si="68"/>
        <v>0</v>
      </c>
      <c r="AE147">
        <f t="shared" si="69"/>
        <v>0</v>
      </c>
      <c r="AF147">
        <f t="shared" si="70"/>
        <v>0</v>
      </c>
      <c r="AG147">
        <f t="shared" si="71"/>
        <v>0</v>
      </c>
      <c r="AH147">
        <f t="shared" si="72"/>
        <v>1</v>
      </c>
      <c r="AI147">
        <f t="shared" si="73"/>
        <v>0</v>
      </c>
      <c r="AJ147">
        <f t="shared" si="74"/>
        <v>0</v>
      </c>
      <c r="AK147">
        <f t="shared" si="75"/>
        <v>1</v>
      </c>
      <c r="AL147">
        <f t="shared" si="76"/>
        <v>0</v>
      </c>
      <c r="AM147">
        <f t="shared" si="77"/>
        <v>0</v>
      </c>
      <c r="AN147">
        <f t="shared" si="78"/>
        <v>1</v>
      </c>
      <c r="AO147">
        <f t="shared" si="79"/>
        <v>0</v>
      </c>
      <c r="AP147">
        <f t="shared" si="80"/>
        <v>0</v>
      </c>
      <c r="AQ147">
        <f t="shared" si="81"/>
        <v>1</v>
      </c>
      <c r="AR147">
        <f t="shared" si="82"/>
        <v>0</v>
      </c>
      <c r="AS147">
        <f t="shared" si="83"/>
        <v>0</v>
      </c>
    </row>
    <row r="148" spans="2:45" x14ac:dyDescent="0.3">
      <c r="B148">
        <v>147</v>
      </c>
      <c r="C148" s="1">
        <v>40690</v>
      </c>
      <c r="D148">
        <v>2</v>
      </c>
      <c r="E148">
        <v>0</v>
      </c>
      <c r="F148">
        <v>5</v>
      </c>
      <c r="G148">
        <v>5</v>
      </c>
      <c r="H148">
        <v>1</v>
      </c>
      <c r="I148">
        <v>871</v>
      </c>
      <c r="J148">
        <v>3808</v>
      </c>
      <c r="K148" s="8">
        <v>4679</v>
      </c>
      <c r="L148">
        <v>27.948346999999998</v>
      </c>
      <c r="M148">
        <v>31.8504</v>
      </c>
      <c r="N148">
        <v>65.375</v>
      </c>
      <c r="O148">
        <v>16.125492999999999</v>
      </c>
      <c r="P148">
        <v>0</v>
      </c>
      <c r="Q148">
        <v>1</v>
      </c>
      <c r="R148">
        <f t="shared" si="56"/>
        <v>0</v>
      </c>
      <c r="S148">
        <f t="shared" si="57"/>
        <v>0</v>
      </c>
      <c r="T148">
        <f t="shared" si="58"/>
        <v>0</v>
      </c>
      <c r="U148">
        <f t="shared" si="59"/>
        <v>0</v>
      </c>
      <c r="V148">
        <f t="shared" si="60"/>
        <v>1</v>
      </c>
      <c r="W148">
        <f t="shared" si="61"/>
        <v>0</v>
      </c>
      <c r="X148">
        <f t="shared" si="62"/>
        <v>0</v>
      </c>
      <c r="Y148">
        <f t="shared" si="63"/>
        <v>0</v>
      </c>
      <c r="Z148">
        <f t="shared" si="64"/>
        <v>0</v>
      </c>
      <c r="AA148">
        <f t="shared" si="65"/>
        <v>0</v>
      </c>
      <c r="AB148">
        <f t="shared" si="66"/>
        <v>0</v>
      </c>
      <c r="AC148">
        <f t="shared" si="67"/>
        <v>0</v>
      </c>
      <c r="AD148">
        <f t="shared" si="68"/>
        <v>0</v>
      </c>
      <c r="AE148">
        <f t="shared" si="69"/>
        <v>0</v>
      </c>
      <c r="AF148">
        <f t="shared" si="70"/>
        <v>0</v>
      </c>
      <c r="AG148">
        <f t="shared" si="71"/>
        <v>0</v>
      </c>
      <c r="AH148">
        <f t="shared" si="72"/>
        <v>0</v>
      </c>
      <c r="AI148">
        <f t="shared" si="73"/>
        <v>1</v>
      </c>
      <c r="AJ148">
        <f t="shared" si="74"/>
        <v>0</v>
      </c>
      <c r="AK148">
        <f t="shared" si="75"/>
        <v>1</v>
      </c>
      <c r="AL148">
        <f t="shared" si="76"/>
        <v>0</v>
      </c>
      <c r="AM148">
        <f t="shared" si="77"/>
        <v>0</v>
      </c>
      <c r="AN148">
        <f t="shared" si="78"/>
        <v>1</v>
      </c>
      <c r="AO148">
        <f t="shared" si="79"/>
        <v>0</v>
      </c>
      <c r="AP148">
        <f t="shared" si="80"/>
        <v>0</v>
      </c>
      <c r="AQ148">
        <f t="shared" si="81"/>
        <v>1</v>
      </c>
      <c r="AR148">
        <f t="shared" si="82"/>
        <v>0</v>
      </c>
      <c r="AS148">
        <f t="shared" si="83"/>
        <v>0</v>
      </c>
    </row>
    <row r="149" spans="2:45" x14ac:dyDescent="0.3">
      <c r="B149">
        <v>148</v>
      </c>
      <c r="C149" s="1">
        <v>40691</v>
      </c>
      <c r="D149">
        <v>2</v>
      </c>
      <c r="E149">
        <v>0</v>
      </c>
      <c r="F149">
        <v>5</v>
      </c>
      <c r="G149">
        <v>6</v>
      </c>
      <c r="H149">
        <v>1</v>
      </c>
      <c r="I149">
        <v>2001</v>
      </c>
      <c r="J149">
        <v>2757</v>
      </c>
      <c r="K149" s="8">
        <v>4758</v>
      </c>
      <c r="L149">
        <v>26.889153</v>
      </c>
      <c r="M149">
        <v>30.618950000000002</v>
      </c>
      <c r="N149">
        <v>72.958299999999994</v>
      </c>
      <c r="O149">
        <v>15.416164</v>
      </c>
      <c r="P149">
        <v>0</v>
      </c>
      <c r="Q149">
        <v>0</v>
      </c>
      <c r="R149">
        <f t="shared" si="56"/>
        <v>0</v>
      </c>
      <c r="S149">
        <f t="shared" si="57"/>
        <v>0</v>
      </c>
      <c r="T149">
        <f t="shared" si="58"/>
        <v>0</v>
      </c>
      <c r="U149">
        <f t="shared" si="59"/>
        <v>0</v>
      </c>
      <c r="V149">
        <f t="shared" si="60"/>
        <v>1</v>
      </c>
      <c r="W149">
        <f t="shared" si="61"/>
        <v>0</v>
      </c>
      <c r="X149">
        <f t="shared" si="62"/>
        <v>0</v>
      </c>
      <c r="Y149">
        <f t="shared" si="63"/>
        <v>0</v>
      </c>
      <c r="Z149">
        <f t="shared" si="64"/>
        <v>0</v>
      </c>
      <c r="AA149">
        <f t="shared" si="65"/>
        <v>0</v>
      </c>
      <c r="AB149">
        <f t="shared" si="66"/>
        <v>0</v>
      </c>
      <c r="AC149">
        <f t="shared" si="67"/>
        <v>0</v>
      </c>
      <c r="AD149">
        <f t="shared" si="68"/>
        <v>0</v>
      </c>
      <c r="AE149">
        <f t="shared" si="69"/>
        <v>0</v>
      </c>
      <c r="AF149">
        <f t="shared" si="70"/>
        <v>0</v>
      </c>
      <c r="AG149">
        <f t="shared" si="71"/>
        <v>0</v>
      </c>
      <c r="AH149">
        <f t="shared" si="72"/>
        <v>0</v>
      </c>
      <c r="AI149">
        <f t="shared" si="73"/>
        <v>0</v>
      </c>
      <c r="AJ149">
        <f t="shared" si="74"/>
        <v>1</v>
      </c>
      <c r="AK149">
        <f t="shared" si="75"/>
        <v>1</v>
      </c>
      <c r="AL149">
        <f t="shared" si="76"/>
        <v>0</v>
      </c>
      <c r="AM149">
        <f t="shared" si="77"/>
        <v>0</v>
      </c>
      <c r="AN149">
        <f t="shared" si="78"/>
        <v>1</v>
      </c>
      <c r="AO149">
        <f t="shared" si="79"/>
        <v>0</v>
      </c>
      <c r="AP149">
        <f t="shared" si="80"/>
        <v>0</v>
      </c>
      <c r="AQ149">
        <f t="shared" si="81"/>
        <v>1</v>
      </c>
      <c r="AR149">
        <f t="shared" si="82"/>
        <v>0</v>
      </c>
      <c r="AS149">
        <f t="shared" si="83"/>
        <v>0</v>
      </c>
    </row>
    <row r="150" spans="2:45" x14ac:dyDescent="0.3">
      <c r="B150">
        <v>149</v>
      </c>
      <c r="C150" s="1">
        <v>40692</v>
      </c>
      <c r="D150">
        <v>2</v>
      </c>
      <c r="E150">
        <v>0</v>
      </c>
      <c r="F150">
        <v>5</v>
      </c>
      <c r="G150">
        <v>0</v>
      </c>
      <c r="H150">
        <v>1</v>
      </c>
      <c r="I150">
        <v>2355</v>
      </c>
      <c r="J150">
        <v>2433</v>
      </c>
      <c r="K150" s="8">
        <v>4788</v>
      </c>
      <c r="L150">
        <v>27.3675</v>
      </c>
      <c r="M150">
        <v>30.7775</v>
      </c>
      <c r="N150">
        <v>81.875</v>
      </c>
      <c r="O150">
        <v>14.333845999999999</v>
      </c>
      <c r="P150">
        <v>0</v>
      </c>
      <c r="Q150">
        <v>0</v>
      </c>
      <c r="R150">
        <f t="shared" si="56"/>
        <v>0</v>
      </c>
      <c r="S150">
        <f t="shared" si="57"/>
        <v>0</v>
      </c>
      <c r="T150">
        <f t="shared" si="58"/>
        <v>0</v>
      </c>
      <c r="U150">
        <f t="shared" si="59"/>
        <v>0</v>
      </c>
      <c r="V150">
        <f t="shared" si="60"/>
        <v>1</v>
      </c>
      <c r="W150">
        <f t="shared" si="61"/>
        <v>0</v>
      </c>
      <c r="X150">
        <f t="shared" si="62"/>
        <v>0</v>
      </c>
      <c r="Y150">
        <f t="shared" si="63"/>
        <v>0</v>
      </c>
      <c r="Z150">
        <f t="shared" si="64"/>
        <v>0</v>
      </c>
      <c r="AA150">
        <f t="shared" si="65"/>
        <v>0</v>
      </c>
      <c r="AB150">
        <f t="shared" si="66"/>
        <v>0</v>
      </c>
      <c r="AC150">
        <f t="shared" si="67"/>
        <v>0</v>
      </c>
      <c r="AD150">
        <f t="shared" si="68"/>
        <v>1</v>
      </c>
      <c r="AE150">
        <f t="shared" si="69"/>
        <v>0</v>
      </c>
      <c r="AF150">
        <f t="shared" si="70"/>
        <v>0</v>
      </c>
      <c r="AG150">
        <f t="shared" si="71"/>
        <v>0</v>
      </c>
      <c r="AH150">
        <f t="shared" si="72"/>
        <v>0</v>
      </c>
      <c r="AI150">
        <f t="shared" si="73"/>
        <v>0</v>
      </c>
      <c r="AJ150">
        <f t="shared" si="74"/>
        <v>0</v>
      </c>
      <c r="AK150">
        <f t="shared" si="75"/>
        <v>1</v>
      </c>
      <c r="AL150">
        <f t="shared" si="76"/>
        <v>0</v>
      </c>
      <c r="AM150">
        <f t="shared" si="77"/>
        <v>0</v>
      </c>
      <c r="AN150">
        <f t="shared" si="78"/>
        <v>1</v>
      </c>
      <c r="AO150">
        <f t="shared" si="79"/>
        <v>0</v>
      </c>
      <c r="AP150">
        <f t="shared" si="80"/>
        <v>0</v>
      </c>
      <c r="AQ150">
        <f t="shared" si="81"/>
        <v>1</v>
      </c>
      <c r="AR150">
        <f t="shared" si="82"/>
        <v>0</v>
      </c>
      <c r="AS150">
        <f t="shared" si="83"/>
        <v>0</v>
      </c>
    </row>
    <row r="151" spans="2:45" x14ac:dyDescent="0.3">
      <c r="B151">
        <v>150</v>
      </c>
      <c r="C151" s="1">
        <v>40693</v>
      </c>
      <c r="D151">
        <v>2</v>
      </c>
      <c r="E151">
        <v>0</v>
      </c>
      <c r="F151">
        <v>5</v>
      </c>
      <c r="G151">
        <v>1</v>
      </c>
      <c r="H151">
        <v>1</v>
      </c>
      <c r="I151">
        <v>1549</v>
      </c>
      <c r="J151">
        <v>2549</v>
      </c>
      <c r="K151" s="8">
        <v>4098</v>
      </c>
      <c r="L151">
        <v>30.066652999999999</v>
      </c>
      <c r="M151">
        <v>33.554600000000001</v>
      </c>
      <c r="N151">
        <v>68.5</v>
      </c>
      <c r="O151">
        <v>8.7920750000000005</v>
      </c>
      <c r="P151">
        <v>1</v>
      </c>
      <c r="Q151">
        <v>0</v>
      </c>
      <c r="R151">
        <f t="shared" si="56"/>
        <v>0</v>
      </c>
      <c r="S151">
        <f t="shared" si="57"/>
        <v>0</v>
      </c>
      <c r="T151">
        <f t="shared" si="58"/>
        <v>0</v>
      </c>
      <c r="U151">
        <f t="shared" si="59"/>
        <v>0</v>
      </c>
      <c r="V151">
        <f t="shared" si="60"/>
        <v>1</v>
      </c>
      <c r="W151">
        <f t="shared" si="61"/>
        <v>0</v>
      </c>
      <c r="X151">
        <f t="shared" si="62"/>
        <v>0</v>
      </c>
      <c r="Y151">
        <f t="shared" si="63"/>
        <v>0</v>
      </c>
      <c r="Z151">
        <f t="shared" si="64"/>
        <v>0</v>
      </c>
      <c r="AA151">
        <f t="shared" si="65"/>
        <v>0</v>
      </c>
      <c r="AB151">
        <f t="shared" si="66"/>
        <v>0</v>
      </c>
      <c r="AC151">
        <f t="shared" si="67"/>
        <v>0</v>
      </c>
      <c r="AD151">
        <f t="shared" si="68"/>
        <v>0</v>
      </c>
      <c r="AE151">
        <f t="shared" si="69"/>
        <v>1</v>
      </c>
      <c r="AF151">
        <f t="shared" si="70"/>
        <v>0</v>
      </c>
      <c r="AG151">
        <f t="shared" si="71"/>
        <v>0</v>
      </c>
      <c r="AH151">
        <f t="shared" si="72"/>
        <v>0</v>
      </c>
      <c r="AI151">
        <f t="shared" si="73"/>
        <v>0</v>
      </c>
      <c r="AJ151">
        <f t="shared" si="74"/>
        <v>0</v>
      </c>
      <c r="AK151">
        <f t="shared" si="75"/>
        <v>1</v>
      </c>
      <c r="AL151">
        <f t="shared" si="76"/>
        <v>0</v>
      </c>
      <c r="AM151">
        <f t="shared" si="77"/>
        <v>0</v>
      </c>
      <c r="AN151">
        <f t="shared" si="78"/>
        <v>1</v>
      </c>
      <c r="AO151">
        <f t="shared" si="79"/>
        <v>0</v>
      </c>
      <c r="AP151">
        <f t="shared" si="80"/>
        <v>0</v>
      </c>
      <c r="AQ151">
        <f t="shared" si="81"/>
        <v>1</v>
      </c>
      <c r="AR151">
        <f t="shared" si="82"/>
        <v>0</v>
      </c>
      <c r="AS151">
        <f t="shared" si="83"/>
        <v>0</v>
      </c>
    </row>
    <row r="152" spans="2:45" x14ac:dyDescent="0.3">
      <c r="B152">
        <v>151</v>
      </c>
      <c r="C152" s="1">
        <v>40694</v>
      </c>
      <c r="D152">
        <v>2</v>
      </c>
      <c r="E152">
        <v>0</v>
      </c>
      <c r="F152">
        <v>5</v>
      </c>
      <c r="G152">
        <v>2</v>
      </c>
      <c r="H152">
        <v>1</v>
      </c>
      <c r="I152">
        <v>673</v>
      </c>
      <c r="J152">
        <v>3309</v>
      </c>
      <c r="K152" s="8">
        <v>3982</v>
      </c>
      <c r="L152">
        <v>31.774999999999999</v>
      </c>
      <c r="M152">
        <v>36.269150000000003</v>
      </c>
      <c r="N152">
        <v>63.666699999999999</v>
      </c>
      <c r="O152">
        <v>7.4590430000000003</v>
      </c>
      <c r="P152">
        <v>0</v>
      </c>
      <c r="Q152">
        <v>1</v>
      </c>
      <c r="R152">
        <f t="shared" si="56"/>
        <v>0</v>
      </c>
      <c r="S152">
        <f t="shared" si="57"/>
        <v>0</v>
      </c>
      <c r="T152">
        <f t="shared" si="58"/>
        <v>0</v>
      </c>
      <c r="U152">
        <f t="shared" si="59"/>
        <v>0</v>
      </c>
      <c r="V152">
        <f t="shared" si="60"/>
        <v>1</v>
      </c>
      <c r="W152">
        <f t="shared" si="61"/>
        <v>0</v>
      </c>
      <c r="X152">
        <f t="shared" si="62"/>
        <v>0</v>
      </c>
      <c r="Y152">
        <f t="shared" si="63"/>
        <v>0</v>
      </c>
      <c r="Z152">
        <f t="shared" si="64"/>
        <v>0</v>
      </c>
      <c r="AA152">
        <f t="shared" si="65"/>
        <v>0</v>
      </c>
      <c r="AB152">
        <f t="shared" si="66"/>
        <v>0</v>
      </c>
      <c r="AC152">
        <f t="shared" si="67"/>
        <v>0</v>
      </c>
      <c r="AD152">
        <f t="shared" si="68"/>
        <v>0</v>
      </c>
      <c r="AE152">
        <f t="shared" si="69"/>
        <v>0</v>
      </c>
      <c r="AF152">
        <f t="shared" si="70"/>
        <v>1</v>
      </c>
      <c r="AG152">
        <f t="shared" si="71"/>
        <v>0</v>
      </c>
      <c r="AH152">
        <f t="shared" si="72"/>
        <v>0</v>
      </c>
      <c r="AI152">
        <f t="shared" si="73"/>
        <v>0</v>
      </c>
      <c r="AJ152">
        <f t="shared" si="74"/>
        <v>0</v>
      </c>
      <c r="AK152">
        <f t="shared" si="75"/>
        <v>1</v>
      </c>
      <c r="AL152">
        <f t="shared" si="76"/>
        <v>0</v>
      </c>
      <c r="AM152">
        <f t="shared" si="77"/>
        <v>0</v>
      </c>
      <c r="AN152">
        <f t="shared" si="78"/>
        <v>1</v>
      </c>
      <c r="AO152">
        <f t="shared" si="79"/>
        <v>0</v>
      </c>
      <c r="AP152">
        <f t="shared" si="80"/>
        <v>0</v>
      </c>
      <c r="AQ152">
        <f t="shared" si="81"/>
        <v>1</v>
      </c>
      <c r="AR152">
        <f t="shared" si="82"/>
        <v>0</v>
      </c>
      <c r="AS152">
        <f t="shared" si="83"/>
        <v>0</v>
      </c>
    </row>
    <row r="153" spans="2:45" x14ac:dyDescent="0.3">
      <c r="B153">
        <v>152</v>
      </c>
      <c r="C153" s="1">
        <v>40695</v>
      </c>
      <c r="D153">
        <v>2</v>
      </c>
      <c r="E153">
        <v>0</v>
      </c>
      <c r="F153">
        <v>6</v>
      </c>
      <c r="G153">
        <v>3</v>
      </c>
      <c r="H153">
        <v>2</v>
      </c>
      <c r="I153">
        <v>513</v>
      </c>
      <c r="J153">
        <v>3461</v>
      </c>
      <c r="K153" s="8">
        <v>3974</v>
      </c>
      <c r="L153">
        <v>31.330846999999999</v>
      </c>
      <c r="M153">
        <v>36.048349999999999</v>
      </c>
      <c r="N153">
        <v>67.708299999999994</v>
      </c>
      <c r="O153">
        <v>13.875164</v>
      </c>
      <c r="P153">
        <v>0</v>
      </c>
      <c r="Q153">
        <v>1</v>
      </c>
      <c r="R153">
        <f t="shared" si="56"/>
        <v>0</v>
      </c>
      <c r="S153">
        <f t="shared" si="57"/>
        <v>0</v>
      </c>
      <c r="T153">
        <f t="shared" si="58"/>
        <v>0</v>
      </c>
      <c r="U153">
        <f t="shared" si="59"/>
        <v>0</v>
      </c>
      <c r="V153">
        <f t="shared" si="60"/>
        <v>0</v>
      </c>
      <c r="W153">
        <f t="shared" si="61"/>
        <v>1</v>
      </c>
      <c r="X153">
        <f t="shared" si="62"/>
        <v>0</v>
      </c>
      <c r="Y153">
        <f t="shared" si="63"/>
        <v>0</v>
      </c>
      <c r="Z153">
        <f t="shared" si="64"/>
        <v>0</v>
      </c>
      <c r="AA153">
        <f t="shared" si="65"/>
        <v>0</v>
      </c>
      <c r="AB153">
        <f t="shared" si="66"/>
        <v>0</v>
      </c>
      <c r="AC153">
        <f t="shared" si="67"/>
        <v>0</v>
      </c>
      <c r="AD153">
        <f t="shared" si="68"/>
        <v>0</v>
      </c>
      <c r="AE153">
        <f t="shared" si="69"/>
        <v>0</v>
      </c>
      <c r="AF153">
        <f t="shared" si="70"/>
        <v>0</v>
      </c>
      <c r="AG153">
        <f t="shared" si="71"/>
        <v>1</v>
      </c>
      <c r="AH153">
        <f t="shared" si="72"/>
        <v>0</v>
      </c>
      <c r="AI153">
        <f t="shared" si="73"/>
        <v>0</v>
      </c>
      <c r="AJ153">
        <f t="shared" si="74"/>
        <v>0</v>
      </c>
      <c r="AK153">
        <f t="shared" si="75"/>
        <v>0</v>
      </c>
      <c r="AL153">
        <f t="shared" si="76"/>
        <v>1</v>
      </c>
      <c r="AM153">
        <f t="shared" si="77"/>
        <v>0</v>
      </c>
      <c r="AN153">
        <f t="shared" si="78"/>
        <v>1</v>
      </c>
      <c r="AO153">
        <f t="shared" si="79"/>
        <v>0</v>
      </c>
      <c r="AP153">
        <f t="shared" si="80"/>
        <v>0</v>
      </c>
      <c r="AQ153">
        <f t="shared" si="81"/>
        <v>1</v>
      </c>
      <c r="AR153">
        <f t="shared" si="82"/>
        <v>0</v>
      </c>
      <c r="AS153">
        <f t="shared" si="83"/>
        <v>0</v>
      </c>
    </row>
    <row r="154" spans="2:45" x14ac:dyDescent="0.3">
      <c r="B154">
        <v>153</v>
      </c>
      <c r="C154" s="1">
        <v>40696</v>
      </c>
      <c r="D154">
        <v>2</v>
      </c>
      <c r="E154">
        <v>0</v>
      </c>
      <c r="F154">
        <v>6</v>
      </c>
      <c r="G154">
        <v>4</v>
      </c>
      <c r="H154">
        <v>1</v>
      </c>
      <c r="I154">
        <v>736</v>
      </c>
      <c r="J154">
        <v>4232</v>
      </c>
      <c r="K154" s="8">
        <v>4968</v>
      </c>
      <c r="L154">
        <v>29.315000000000001</v>
      </c>
      <c r="M154">
        <v>32.197099999999999</v>
      </c>
      <c r="N154">
        <v>30.5</v>
      </c>
      <c r="O154">
        <v>19.583228999999999</v>
      </c>
      <c r="P154">
        <v>0</v>
      </c>
      <c r="Q154">
        <v>1</v>
      </c>
      <c r="R154">
        <f t="shared" si="56"/>
        <v>0</v>
      </c>
      <c r="S154">
        <f t="shared" si="57"/>
        <v>0</v>
      </c>
      <c r="T154">
        <f t="shared" si="58"/>
        <v>0</v>
      </c>
      <c r="U154">
        <f t="shared" si="59"/>
        <v>0</v>
      </c>
      <c r="V154">
        <f t="shared" si="60"/>
        <v>0</v>
      </c>
      <c r="W154">
        <f t="shared" si="61"/>
        <v>1</v>
      </c>
      <c r="X154">
        <f t="shared" si="62"/>
        <v>0</v>
      </c>
      <c r="Y154">
        <f t="shared" si="63"/>
        <v>0</v>
      </c>
      <c r="Z154">
        <f t="shared" si="64"/>
        <v>0</v>
      </c>
      <c r="AA154">
        <f t="shared" si="65"/>
        <v>0</v>
      </c>
      <c r="AB154">
        <f t="shared" si="66"/>
        <v>0</v>
      </c>
      <c r="AC154">
        <f t="shared" si="67"/>
        <v>0</v>
      </c>
      <c r="AD154">
        <f t="shared" si="68"/>
        <v>0</v>
      </c>
      <c r="AE154">
        <f t="shared" si="69"/>
        <v>0</v>
      </c>
      <c r="AF154">
        <f t="shared" si="70"/>
        <v>0</v>
      </c>
      <c r="AG154">
        <f t="shared" si="71"/>
        <v>0</v>
      </c>
      <c r="AH154">
        <f t="shared" si="72"/>
        <v>1</v>
      </c>
      <c r="AI154">
        <f t="shared" si="73"/>
        <v>0</v>
      </c>
      <c r="AJ154">
        <f t="shared" si="74"/>
        <v>0</v>
      </c>
      <c r="AK154">
        <f t="shared" si="75"/>
        <v>1</v>
      </c>
      <c r="AL154">
        <f t="shared" si="76"/>
        <v>0</v>
      </c>
      <c r="AM154">
        <f t="shared" si="77"/>
        <v>0</v>
      </c>
      <c r="AN154">
        <f t="shared" si="78"/>
        <v>1</v>
      </c>
      <c r="AO154">
        <f t="shared" si="79"/>
        <v>0</v>
      </c>
      <c r="AP154">
        <f t="shared" si="80"/>
        <v>0</v>
      </c>
      <c r="AQ154">
        <f t="shared" si="81"/>
        <v>1</v>
      </c>
      <c r="AR154">
        <f t="shared" si="82"/>
        <v>0</v>
      </c>
      <c r="AS154">
        <f t="shared" si="83"/>
        <v>0</v>
      </c>
    </row>
    <row r="155" spans="2:45" x14ac:dyDescent="0.3">
      <c r="B155">
        <v>154</v>
      </c>
      <c r="C155" s="1">
        <v>40697</v>
      </c>
      <c r="D155">
        <v>2</v>
      </c>
      <c r="E155">
        <v>0</v>
      </c>
      <c r="F155">
        <v>6</v>
      </c>
      <c r="G155">
        <v>5</v>
      </c>
      <c r="H155">
        <v>1</v>
      </c>
      <c r="I155">
        <v>898</v>
      </c>
      <c r="J155">
        <v>4414</v>
      </c>
      <c r="K155" s="8">
        <v>5312</v>
      </c>
      <c r="L155">
        <v>25.42</v>
      </c>
      <c r="M155">
        <v>29.356649999999998</v>
      </c>
      <c r="N155">
        <v>35.416699999999999</v>
      </c>
      <c r="O155">
        <v>16.959106999999999</v>
      </c>
      <c r="P155">
        <v>0</v>
      </c>
      <c r="Q155">
        <v>1</v>
      </c>
      <c r="R155">
        <f t="shared" si="56"/>
        <v>0</v>
      </c>
      <c r="S155">
        <f t="shared" si="57"/>
        <v>0</v>
      </c>
      <c r="T155">
        <f t="shared" si="58"/>
        <v>0</v>
      </c>
      <c r="U155">
        <f t="shared" si="59"/>
        <v>0</v>
      </c>
      <c r="V155">
        <f t="shared" si="60"/>
        <v>0</v>
      </c>
      <c r="W155">
        <f t="shared" si="61"/>
        <v>1</v>
      </c>
      <c r="X155">
        <f t="shared" si="62"/>
        <v>0</v>
      </c>
      <c r="Y155">
        <f t="shared" si="63"/>
        <v>0</v>
      </c>
      <c r="Z155">
        <f t="shared" si="64"/>
        <v>0</v>
      </c>
      <c r="AA155">
        <f t="shared" si="65"/>
        <v>0</v>
      </c>
      <c r="AB155">
        <f t="shared" si="66"/>
        <v>0</v>
      </c>
      <c r="AC155">
        <f t="shared" si="67"/>
        <v>0</v>
      </c>
      <c r="AD155">
        <f t="shared" si="68"/>
        <v>0</v>
      </c>
      <c r="AE155">
        <f t="shared" si="69"/>
        <v>0</v>
      </c>
      <c r="AF155">
        <f t="shared" si="70"/>
        <v>0</v>
      </c>
      <c r="AG155">
        <f t="shared" si="71"/>
        <v>0</v>
      </c>
      <c r="AH155">
        <f t="shared" si="72"/>
        <v>0</v>
      </c>
      <c r="AI155">
        <f t="shared" si="73"/>
        <v>1</v>
      </c>
      <c r="AJ155">
        <f t="shared" si="74"/>
        <v>0</v>
      </c>
      <c r="AK155">
        <f t="shared" si="75"/>
        <v>1</v>
      </c>
      <c r="AL155">
        <f t="shared" si="76"/>
        <v>0</v>
      </c>
      <c r="AM155">
        <f t="shared" si="77"/>
        <v>0</v>
      </c>
      <c r="AN155">
        <f t="shared" si="78"/>
        <v>1</v>
      </c>
      <c r="AO155">
        <f t="shared" si="79"/>
        <v>0</v>
      </c>
      <c r="AP155">
        <f t="shared" si="80"/>
        <v>0</v>
      </c>
      <c r="AQ155">
        <f t="shared" si="81"/>
        <v>1</v>
      </c>
      <c r="AR155">
        <f t="shared" si="82"/>
        <v>0</v>
      </c>
      <c r="AS155">
        <f t="shared" si="83"/>
        <v>0</v>
      </c>
    </row>
    <row r="156" spans="2:45" x14ac:dyDescent="0.3">
      <c r="B156">
        <v>155</v>
      </c>
      <c r="C156" s="1">
        <v>40698</v>
      </c>
      <c r="D156">
        <v>2</v>
      </c>
      <c r="E156">
        <v>0</v>
      </c>
      <c r="F156">
        <v>6</v>
      </c>
      <c r="G156">
        <v>6</v>
      </c>
      <c r="H156">
        <v>1</v>
      </c>
      <c r="I156">
        <v>1869</v>
      </c>
      <c r="J156">
        <v>3473</v>
      </c>
      <c r="K156" s="8">
        <v>5342</v>
      </c>
      <c r="L156">
        <v>26.035</v>
      </c>
      <c r="M156">
        <v>29.7348</v>
      </c>
      <c r="N156">
        <v>45.625</v>
      </c>
      <c r="O156">
        <v>8.2505140000000008</v>
      </c>
      <c r="P156">
        <v>0</v>
      </c>
      <c r="Q156">
        <v>0</v>
      </c>
      <c r="R156">
        <f t="shared" si="56"/>
        <v>0</v>
      </c>
      <c r="S156">
        <f t="shared" si="57"/>
        <v>0</v>
      </c>
      <c r="T156">
        <f t="shared" si="58"/>
        <v>0</v>
      </c>
      <c r="U156">
        <f t="shared" si="59"/>
        <v>0</v>
      </c>
      <c r="V156">
        <f t="shared" si="60"/>
        <v>0</v>
      </c>
      <c r="W156">
        <f t="shared" si="61"/>
        <v>1</v>
      </c>
      <c r="X156">
        <f t="shared" si="62"/>
        <v>0</v>
      </c>
      <c r="Y156">
        <f t="shared" si="63"/>
        <v>0</v>
      </c>
      <c r="Z156">
        <f t="shared" si="64"/>
        <v>0</v>
      </c>
      <c r="AA156">
        <f t="shared" si="65"/>
        <v>0</v>
      </c>
      <c r="AB156">
        <f t="shared" si="66"/>
        <v>0</v>
      </c>
      <c r="AC156">
        <f t="shared" si="67"/>
        <v>0</v>
      </c>
      <c r="AD156">
        <f t="shared" si="68"/>
        <v>0</v>
      </c>
      <c r="AE156">
        <f t="shared" si="69"/>
        <v>0</v>
      </c>
      <c r="AF156">
        <f t="shared" si="70"/>
        <v>0</v>
      </c>
      <c r="AG156">
        <f t="shared" si="71"/>
        <v>0</v>
      </c>
      <c r="AH156">
        <f t="shared" si="72"/>
        <v>0</v>
      </c>
      <c r="AI156">
        <f t="shared" si="73"/>
        <v>0</v>
      </c>
      <c r="AJ156">
        <f t="shared" si="74"/>
        <v>1</v>
      </c>
      <c r="AK156">
        <f t="shared" si="75"/>
        <v>1</v>
      </c>
      <c r="AL156">
        <f t="shared" si="76"/>
        <v>0</v>
      </c>
      <c r="AM156">
        <f t="shared" si="77"/>
        <v>0</v>
      </c>
      <c r="AN156">
        <f t="shared" si="78"/>
        <v>1</v>
      </c>
      <c r="AO156">
        <f t="shared" si="79"/>
        <v>0</v>
      </c>
      <c r="AP156">
        <f t="shared" si="80"/>
        <v>0</v>
      </c>
      <c r="AQ156">
        <f t="shared" si="81"/>
        <v>1</v>
      </c>
      <c r="AR156">
        <f t="shared" si="82"/>
        <v>0</v>
      </c>
      <c r="AS156">
        <f t="shared" si="83"/>
        <v>0</v>
      </c>
    </row>
    <row r="157" spans="2:45" x14ac:dyDescent="0.3">
      <c r="B157">
        <v>156</v>
      </c>
      <c r="C157" s="1">
        <v>40699</v>
      </c>
      <c r="D157">
        <v>2</v>
      </c>
      <c r="E157">
        <v>0</v>
      </c>
      <c r="F157">
        <v>6</v>
      </c>
      <c r="G157">
        <v>0</v>
      </c>
      <c r="H157">
        <v>2</v>
      </c>
      <c r="I157">
        <v>1685</v>
      </c>
      <c r="J157">
        <v>3221</v>
      </c>
      <c r="K157" s="8">
        <v>4906</v>
      </c>
      <c r="L157">
        <v>26.581652999999999</v>
      </c>
      <c r="M157">
        <v>30.840199999999999</v>
      </c>
      <c r="N157">
        <v>65.25</v>
      </c>
      <c r="O157">
        <v>9.2923639999999992</v>
      </c>
      <c r="P157">
        <v>0</v>
      </c>
      <c r="Q157">
        <v>0</v>
      </c>
      <c r="R157">
        <f t="shared" si="56"/>
        <v>0</v>
      </c>
      <c r="S157">
        <f t="shared" si="57"/>
        <v>0</v>
      </c>
      <c r="T157">
        <f t="shared" si="58"/>
        <v>0</v>
      </c>
      <c r="U157">
        <f t="shared" si="59"/>
        <v>0</v>
      </c>
      <c r="V157">
        <f t="shared" si="60"/>
        <v>0</v>
      </c>
      <c r="W157">
        <f t="shared" si="61"/>
        <v>1</v>
      </c>
      <c r="X157">
        <f t="shared" si="62"/>
        <v>0</v>
      </c>
      <c r="Y157">
        <f t="shared" si="63"/>
        <v>0</v>
      </c>
      <c r="Z157">
        <f t="shared" si="64"/>
        <v>0</v>
      </c>
      <c r="AA157">
        <f t="shared" si="65"/>
        <v>0</v>
      </c>
      <c r="AB157">
        <f t="shared" si="66"/>
        <v>0</v>
      </c>
      <c r="AC157">
        <f t="shared" si="67"/>
        <v>0</v>
      </c>
      <c r="AD157">
        <f t="shared" si="68"/>
        <v>1</v>
      </c>
      <c r="AE157">
        <f t="shared" si="69"/>
        <v>0</v>
      </c>
      <c r="AF157">
        <f t="shared" si="70"/>
        <v>0</v>
      </c>
      <c r="AG157">
        <f t="shared" si="71"/>
        <v>0</v>
      </c>
      <c r="AH157">
        <f t="shared" si="72"/>
        <v>0</v>
      </c>
      <c r="AI157">
        <f t="shared" si="73"/>
        <v>0</v>
      </c>
      <c r="AJ157">
        <f t="shared" si="74"/>
        <v>0</v>
      </c>
      <c r="AK157">
        <f t="shared" si="75"/>
        <v>0</v>
      </c>
      <c r="AL157">
        <f t="shared" si="76"/>
        <v>1</v>
      </c>
      <c r="AM157">
        <f t="shared" si="77"/>
        <v>0</v>
      </c>
      <c r="AN157">
        <f t="shared" si="78"/>
        <v>1</v>
      </c>
      <c r="AO157">
        <f t="shared" si="79"/>
        <v>0</v>
      </c>
      <c r="AP157">
        <f t="shared" si="80"/>
        <v>0</v>
      </c>
      <c r="AQ157">
        <f t="shared" si="81"/>
        <v>1</v>
      </c>
      <c r="AR157">
        <f t="shared" si="82"/>
        <v>0</v>
      </c>
      <c r="AS157">
        <f t="shared" si="83"/>
        <v>0</v>
      </c>
    </row>
    <row r="158" spans="2:45" x14ac:dyDescent="0.3">
      <c r="B158">
        <v>157</v>
      </c>
      <c r="C158" s="1">
        <v>40700</v>
      </c>
      <c r="D158">
        <v>2</v>
      </c>
      <c r="E158">
        <v>0</v>
      </c>
      <c r="F158">
        <v>6</v>
      </c>
      <c r="G158">
        <v>1</v>
      </c>
      <c r="H158">
        <v>1</v>
      </c>
      <c r="I158">
        <v>673</v>
      </c>
      <c r="J158">
        <v>3875</v>
      </c>
      <c r="K158" s="8">
        <v>4548</v>
      </c>
      <c r="L158">
        <v>27.811653</v>
      </c>
      <c r="M158">
        <v>31.0929</v>
      </c>
      <c r="N158">
        <v>60</v>
      </c>
      <c r="O158">
        <v>8.1670320000000007</v>
      </c>
      <c r="P158">
        <v>0</v>
      </c>
      <c r="Q158">
        <v>1</v>
      </c>
      <c r="R158">
        <f t="shared" si="56"/>
        <v>0</v>
      </c>
      <c r="S158">
        <f t="shared" si="57"/>
        <v>0</v>
      </c>
      <c r="T158">
        <f t="shared" si="58"/>
        <v>0</v>
      </c>
      <c r="U158">
        <f t="shared" si="59"/>
        <v>0</v>
      </c>
      <c r="V158">
        <f t="shared" si="60"/>
        <v>0</v>
      </c>
      <c r="W158">
        <f t="shared" si="61"/>
        <v>1</v>
      </c>
      <c r="X158">
        <f t="shared" si="62"/>
        <v>0</v>
      </c>
      <c r="Y158">
        <f t="shared" si="63"/>
        <v>0</v>
      </c>
      <c r="Z158">
        <f t="shared" si="64"/>
        <v>0</v>
      </c>
      <c r="AA158">
        <f t="shared" si="65"/>
        <v>0</v>
      </c>
      <c r="AB158">
        <f t="shared" si="66"/>
        <v>0</v>
      </c>
      <c r="AC158">
        <f t="shared" si="67"/>
        <v>0</v>
      </c>
      <c r="AD158">
        <f t="shared" si="68"/>
        <v>0</v>
      </c>
      <c r="AE158">
        <f t="shared" si="69"/>
        <v>1</v>
      </c>
      <c r="AF158">
        <f t="shared" si="70"/>
        <v>0</v>
      </c>
      <c r="AG158">
        <f t="shared" si="71"/>
        <v>0</v>
      </c>
      <c r="AH158">
        <f t="shared" si="72"/>
        <v>0</v>
      </c>
      <c r="AI158">
        <f t="shared" si="73"/>
        <v>0</v>
      </c>
      <c r="AJ158">
        <f t="shared" si="74"/>
        <v>0</v>
      </c>
      <c r="AK158">
        <f t="shared" si="75"/>
        <v>1</v>
      </c>
      <c r="AL158">
        <f t="shared" si="76"/>
        <v>0</v>
      </c>
      <c r="AM158">
        <f t="shared" si="77"/>
        <v>0</v>
      </c>
      <c r="AN158">
        <f t="shared" si="78"/>
        <v>1</v>
      </c>
      <c r="AO158">
        <f t="shared" si="79"/>
        <v>0</v>
      </c>
      <c r="AP158">
        <f t="shared" si="80"/>
        <v>0</v>
      </c>
      <c r="AQ158">
        <f t="shared" si="81"/>
        <v>1</v>
      </c>
      <c r="AR158">
        <f t="shared" si="82"/>
        <v>0</v>
      </c>
      <c r="AS158">
        <f t="shared" si="83"/>
        <v>0</v>
      </c>
    </row>
    <row r="159" spans="2:45" x14ac:dyDescent="0.3">
      <c r="B159">
        <v>158</v>
      </c>
      <c r="C159" s="1">
        <v>40701</v>
      </c>
      <c r="D159">
        <v>2</v>
      </c>
      <c r="E159">
        <v>0</v>
      </c>
      <c r="F159">
        <v>6</v>
      </c>
      <c r="G159">
        <v>2</v>
      </c>
      <c r="H159">
        <v>1</v>
      </c>
      <c r="I159">
        <v>763</v>
      </c>
      <c r="J159">
        <v>4070</v>
      </c>
      <c r="K159" s="8">
        <v>4833</v>
      </c>
      <c r="L159">
        <v>29.0075</v>
      </c>
      <c r="M159">
        <v>32.797499999999999</v>
      </c>
      <c r="N159">
        <v>59.791699999999999</v>
      </c>
      <c r="O159">
        <v>12.583136</v>
      </c>
      <c r="P159">
        <v>0</v>
      </c>
      <c r="Q159">
        <v>1</v>
      </c>
      <c r="R159">
        <f t="shared" si="56"/>
        <v>0</v>
      </c>
      <c r="S159">
        <f t="shared" si="57"/>
        <v>0</v>
      </c>
      <c r="T159">
        <f t="shared" si="58"/>
        <v>0</v>
      </c>
      <c r="U159">
        <f t="shared" si="59"/>
        <v>0</v>
      </c>
      <c r="V159">
        <f t="shared" si="60"/>
        <v>0</v>
      </c>
      <c r="W159">
        <f t="shared" si="61"/>
        <v>1</v>
      </c>
      <c r="X159">
        <f t="shared" si="62"/>
        <v>0</v>
      </c>
      <c r="Y159">
        <f t="shared" si="63"/>
        <v>0</v>
      </c>
      <c r="Z159">
        <f t="shared" si="64"/>
        <v>0</v>
      </c>
      <c r="AA159">
        <f t="shared" si="65"/>
        <v>0</v>
      </c>
      <c r="AB159">
        <f t="shared" si="66"/>
        <v>0</v>
      </c>
      <c r="AC159">
        <f t="shared" si="67"/>
        <v>0</v>
      </c>
      <c r="AD159">
        <f t="shared" si="68"/>
        <v>0</v>
      </c>
      <c r="AE159">
        <f t="shared" si="69"/>
        <v>0</v>
      </c>
      <c r="AF159">
        <f t="shared" si="70"/>
        <v>1</v>
      </c>
      <c r="AG159">
        <f t="shared" si="71"/>
        <v>0</v>
      </c>
      <c r="AH159">
        <f t="shared" si="72"/>
        <v>0</v>
      </c>
      <c r="AI159">
        <f t="shared" si="73"/>
        <v>0</v>
      </c>
      <c r="AJ159">
        <f t="shared" si="74"/>
        <v>0</v>
      </c>
      <c r="AK159">
        <f t="shared" si="75"/>
        <v>1</v>
      </c>
      <c r="AL159">
        <f t="shared" si="76"/>
        <v>0</v>
      </c>
      <c r="AM159">
        <f t="shared" si="77"/>
        <v>0</v>
      </c>
      <c r="AN159">
        <f t="shared" si="78"/>
        <v>1</v>
      </c>
      <c r="AO159">
        <f t="shared" si="79"/>
        <v>0</v>
      </c>
      <c r="AP159">
        <f t="shared" si="80"/>
        <v>0</v>
      </c>
      <c r="AQ159">
        <f t="shared" si="81"/>
        <v>1</v>
      </c>
      <c r="AR159">
        <f t="shared" si="82"/>
        <v>0</v>
      </c>
      <c r="AS159">
        <f t="shared" si="83"/>
        <v>0</v>
      </c>
    </row>
    <row r="160" spans="2:45" x14ac:dyDescent="0.3">
      <c r="B160">
        <v>159</v>
      </c>
      <c r="C160" s="1">
        <v>40702</v>
      </c>
      <c r="D160">
        <v>2</v>
      </c>
      <c r="E160">
        <v>0</v>
      </c>
      <c r="F160">
        <v>6</v>
      </c>
      <c r="G160">
        <v>3</v>
      </c>
      <c r="H160">
        <v>1</v>
      </c>
      <c r="I160">
        <v>676</v>
      </c>
      <c r="J160">
        <v>3725</v>
      </c>
      <c r="K160" s="8">
        <v>4401</v>
      </c>
      <c r="L160">
        <v>31.809152999999998</v>
      </c>
      <c r="M160">
        <v>36.363950000000003</v>
      </c>
      <c r="N160">
        <v>62.208300000000001</v>
      </c>
      <c r="O160">
        <v>9.1667389999999997</v>
      </c>
      <c r="P160">
        <v>0</v>
      </c>
      <c r="Q160">
        <v>1</v>
      </c>
      <c r="R160">
        <f t="shared" si="56"/>
        <v>0</v>
      </c>
      <c r="S160">
        <f t="shared" si="57"/>
        <v>0</v>
      </c>
      <c r="T160">
        <f t="shared" si="58"/>
        <v>0</v>
      </c>
      <c r="U160">
        <f t="shared" si="59"/>
        <v>0</v>
      </c>
      <c r="V160">
        <f t="shared" si="60"/>
        <v>0</v>
      </c>
      <c r="W160">
        <f t="shared" si="61"/>
        <v>1</v>
      </c>
      <c r="X160">
        <f t="shared" si="62"/>
        <v>0</v>
      </c>
      <c r="Y160">
        <f t="shared" si="63"/>
        <v>0</v>
      </c>
      <c r="Z160">
        <f t="shared" si="64"/>
        <v>0</v>
      </c>
      <c r="AA160">
        <f t="shared" si="65"/>
        <v>0</v>
      </c>
      <c r="AB160">
        <f t="shared" si="66"/>
        <v>0</v>
      </c>
      <c r="AC160">
        <f t="shared" si="67"/>
        <v>0</v>
      </c>
      <c r="AD160">
        <f t="shared" si="68"/>
        <v>0</v>
      </c>
      <c r="AE160">
        <f t="shared" si="69"/>
        <v>0</v>
      </c>
      <c r="AF160">
        <f t="shared" si="70"/>
        <v>0</v>
      </c>
      <c r="AG160">
        <f t="shared" si="71"/>
        <v>1</v>
      </c>
      <c r="AH160">
        <f t="shared" si="72"/>
        <v>0</v>
      </c>
      <c r="AI160">
        <f t="shared" si="73"/>
        <v>0</v>
      </c>
      <c r="AJ160">
        <f t="shared" si="74"/>
        <v>0</v>
      </c>
      <c r="AK160">
        <f t="shared" si="75"/>
        <v>1</v>
      </c>
      <c r="AL160">
        <f t="shared" si="76"/>
        <v>0</v>
      </c>
      <c r="AM160">
        <f t="shared" si="77"/>
        <v>0</v>
      </c>
      <c r="AN160">
        <f t="shared" si="78"/>
        <v>1</v>
      </c>
      <c r="AO160">
        <f t="shared" si="79"/>
        <v>0</v>
      </c>
      <c r="AP160">
        <f t="shared" si="80"/>
        <v>0</v>
      </c>
      <c r="AQ160">
        <f t="shared" si="81"/>
        <v>1</v>
      </c>
      <c r="AR160">
        <f t="shared" si="82"/>
        <v>0</v>
      </c>
      <c r="AS160">
        <f t="shared" si="83"/>
        <v>0</v>
      </c>
    </row>
    <row r="161" spans="2:45" x14ac:dyDescent="0.3">
      <c r="B161">
        <v>160</v>
      </c>
      <c r="C161" s="1">
        <v>40703</v>
      </c>
      <c r="D161">
        <v>2</v>
      </c>
      <c r="E161">
        <v>0</v>
      </c>
      <c r="F161">
        <v>6</v>
      </c>
      <c r="G161">
        <v>4</v>
      </c>
      <c r="H161">
        <v>2</v>
      </c>
      <c r="I161">
        <v>563</v>
      </c>
      <c r="J161">
        <v>3352</v>
      </c>
      <c r="K161" s="8">
        <v>3915</v>
      </c>
      <c r="L161">
        <v>33.141652999999998</v>
      </c>
      <c r="M161">
        <v>37.878950000000003</v>
      </c>
      <c r="N161">
        <v>56.833300000000001</v>
      </c>
      <c r="O161">
        <v>10.042161</v>
      </c>
      <c r="P161">
        <v>0</v>
      </c>
      <c r="Q161">
        <v>1</v>
      </c>
      <c r="R161">
        <f t="shared" si="56"/>
        <v>0</v>
      </c>
      <c r="S161">
        <f t="shared" si="57"/>
        <v>0</v>
      </c>
      <c r="T161">
        <f t="shared" si="58"/>
        <v>0</v>
      </c>
      <c r="U161">
        <f t="shared" si="59"/>
        <v>0</v>
      </c>
      <c r="V161">
        <f t="shared" si="60"/>
        <v>0</v>
      </c>
      <c r="W161">
        <f t="shared" si="61"/>
        <v>1</v>
      </c>
      <c r="X161">
        <f t="shared" si="62"/>
        <v>0</v>
      </c>
      <c r="Y161">
        <f t="shared" si="63"/>
        <v>0</v>
      </c>
      <c r="Z161">
        <f t="shared" si="64"/>
        <v>0</v>
      </c>
      <c r="AA161">
        <f t="shared" si="65"/>
        <v>0</v>
      </c>
      <c r="AB161">
        <f t="shared" si="66"/>
        <v>0</v>
      </c>
      <c r="AC161">
        <f t="shared" si="67"/>
        <v>0</v>
      </c>
      <c r="AD161">
        <f t="shared" si="68"/>
        <v>0</v>
      </c>
      <c r="AE161">
        <f t="shared" si="69"/>
        <v>0</v>
      </c>
      <c r="AF161">
        <f t="shared" si="70"/>
        <v>0</v>
      </c>
      <c r="AG161">
        <f t="shared" si="71"/>
        <v>0</v>
      </c>
      <c r="AH161">
        <f t="shared" si="72"/>
        <v>1</v>
      </c>
      <c r="AI161">
        <f t="shared" si="73"/>
        <v>0</v>
      </c>
      <c r="AJ161">
        <f t="shared" si="74"/>
        <v>0</v>
      </c>
      <c r="AK161">
        <f t="shared" si="75"/>
        <v>0</v>
      </c>
      <c r="AL161">
        <f t="shared" si="76"/>
        <v>1</v>
      </c>
      <c r="AM161">
        <f t="shared" si="77"/>
        <v>0</v>
      </c>
      <c r="AN161">
        <f t="shared" si="78"/>
        <v>1</v>
      </c>
      <c r="AO161">
        <f t="shared" si="79"/>
        <v>0</v>
      </c>
      <c r="AP161">
        <f t="shared" si="80"/>
        <v>0</v>
      </c>
      <c r="AQ161">
        <f t="shared" si="81"/>
        <v>1</v>
      </c>
      <c r="AR161">
        <f t="shared" si="82"/>
        <v>0</v>
      </c>
      <c r="AS161">
        <f t="shared" si="83"/>
        <v>0</v>
      </c>
    </row>
    <row r="162" spans="2:45" x14ac:dyDescent="0.3">
      <c r="B162">
        <v>161</v>
      </c>
      <c r="C162" s="1">
        <v>40704</v>
      </c>
      <c r="D162">
        <v>2</v>
      </c>
      <c r="E162">
        <v>0</v>
      </c>
      <c r="F162">
        <v>6</v>
      </c>
      <c r="G162">
        <v>5</v>
      </c>
      <c r="H162">
        <v>1</v>
      </c>
      <c r="I162">
        <v>815</v>
      </c>
      <c r="J162">
        <v>3771</v>
      </c>
      <c r="K162" s="8">
        <v>4586</v>
      </c>
      <c r="L162">
        <v>30.954999999999998</v>
      </c>
      <c r="M162">
        <v>35.1646</v>
      </c>
      <c r="N162">
        <v>60.5</v>
      </c>
      <c r="O162">
        <v>9.4171180000000003</v>
      </c>
      <c r="P162">
        <v>0</v>
      </c>
      <c r="Q162">
        <v>1</v>
      </c>
      <c r="R162">
        <f t="shared" si="56"/>
        <v>0</v>
      </c>
      <c r="S162">
        <f t="shared" si="57"/>
        <v>0</v>
      </c>
      <c r="T162">
        <f t="shared" si="58"/>
        <v>0</v>
      </c>
      <c r="U162">
        <f t="shared" si="59"/>
        <v>0</v>
      </c>
      <c r="V162">
        <f t="shared" si="60"/>
        <v>0</v>
      </c>
      <c r="W162">
        <f t="shared" si="61"/>
        <v>1</v>
      </c>
      <c r="X162">
        <f t="shared" si="62"/>
        <v>0</v>
      </c>
      <c r="Y162">
        <f t="shared" si="63"/>
        <v>0</v>
      </c>
      <c r="Z162">
        <f t="shared" si="64"/>
        <v>0</v>
      </c>
      <c r="AA162">
        <f t="shared" si="65"/>
        <v>0</v>
      </c>
      <c r="AB162">
        <f t="shared" si="66"/>
        <v>0</v>
      </c>
      <c r="AC162">
        <f t="shared" si="67"/>
        <v>0</v>
      </c>
      <c r="AD162">
        <f t="shared" si="68"/>
        <v>0</v>
      </c>
      <c r="AE162">
        <f t="shared" si="69"/>
        <v>0</v>
      </c>
      <c r="AF162">
        <f t="shared" si="70"/>
        <v>0</v>
      </c>
      <c r="AG162">
        <f t="shared" si="71"/>
        <v>0</v>
      </c>
      <c r="AH162">
        <f t="shared" si="72"/>
        <v>0</v>
      </c>
      <c r="AI162">
        <f t="shared" si="73"/>
        <v>1</v>
      </c>
      <c r="AJ162">
        <f t="shared" si="74"/>
        <v>0</v>
      </c>
      <c r="AK162">
        <f t="shared" si="75"/>
        <v>1</v>
      </c>
      <c r="AL162">
        <f t="shared" si="76"/>
        <v>0</v>
      </c>
      <c r="AM162">
        <f t="shared" si="77"/>
        <v>0</v>
      </c>
      <c r="AN162">
        <f t="shared" si="78"/>
        <v>1</v>
      </c>
      <c r="AO162">
        <f t="shared" si="79"/>
        <v>0</v>
      </c>
      <c r="AP162">
        <f t="shared" si="80"/>
        <v>0</v>
      </c>
      <c r="AQ162">
        <f t="shared" si="81"/>
        <v>1</v>
      </c>
      <c r="AR162">
        <f t="shared" si="82"/>
        <v>0</v>
      </c>
      <c r="AS162">
        <f t="shared" si="83"/>
        <v>0</v>
      </c>
    </row>
    <row r="163" spans="2:45" x14ac:dyDescent="0.3">
      <c r="B163">
        <v>162</v>
      </c>
      <c r="C163" s="1">
        <v>40705</v>
      </c>
      <c r="D163">
        <v>2</v>
      </c>
      <c r="E163">
        <v>0</v>
      </c>
      <c r="F163">
        <v>6</v>
      </c>
      <c r="G163">
        <v>6</v>
      </c>
      <c r="H163">
        <v>1</v>
      </c>
      <c r="I163">
        <v>1729</v>
      </c>
      <c r="J163">
        <v>3237</v>
      </c>
      <c r="K163" s="8">
        <v>4966</v>
      </c>
      <c r="L163">
        <v>29.725000000000001</v>
      </c>
      <c r="M163">
        <v>33.901899999999998</v>
      </c>
      <c r="N163">
        <v>65.458299999999994</v>
      </c>
      <c r="O163">
        <v>10.37495</v>
      </c>
      <c r="P163">
        <v>0</v>
      </c>
      <c r="Q163">
        <v>0</v>
      </c>
      <c r="R163">
        <f t="shared" si="56"/>
        <v>0</v>
      </c>
      <c r="S163">
        <f t="shared" si="57"/>
        <v>0</v>
      </c>
      <c r="T163">
        <f t="shared" si="58"/>
        <v>0</v>
      </c>
      <c r="U163">
        <f t="shared" si="59"/>
        <v>0</v>
      </c>
      <c r="V163">
        <f t="shared" si="60"/>
        <v>0</v>
      </c>
      <c r="W163">
        <f t="shared" si="61"/>
        <v>1</v>
      </c>
      <c r="X163">
        <f t="shared" si="62"/>
        <v>0</v>
      </c>
      <c r="Y163">
        <f t="shared" si="63"/>
        <v>0</v>
      </c>
      <c r="Z163">
        <f t="shared" si="64"/>
        <v>0</v>
      </c>
      <c r="AA163">
        <f t="shared" si="65"/>
        <v>0</v>
      </c>
      <c r="AB163">
        <f t="shared" si="66"/>
        <v>0</v>
      </c>
      <c r="AC163">
        <f t="shared" si="67"/>
        <v>0</v>
      </c>
      <c r="AD163">
        <f t="shared" si="68"/>
        <v>0</v>
      </c>
      <c r="AE163">
        <f t="shared" si="69"/>
        <v>0</v>
      </c>
      <c r="AF163">
        <f t="shared" si="70"/>
        <v>0</v>
      </c>
      <c r="AG163">
        <f t="shared" si="71"/>
        <v>0</v>
      </c>
      <c r="AH163">
        <f t="shared" si="72"/>
        <v>0</v>
      </c>
      <c r="AI163">
        <f t="shared" si="73"/>
        <v>0</v>
      </c>
      <c r="AJ163">
        <f t="shared" si="74"/>
        <v>1</v>
      </c>
      <c r="AK163">
        <f t="shared" si="75"/>
        <v>1</v>
      </c>
      <c r="AL163">
        <f t="shared" si="76"/>
        <v>0</v>
      </c>
      <c r="AM163">
        <f t="shared" si="77"/>
        <v>0</v>
      </c>
      <c r="AN163">
        <f t="shared" si="78"/>
        <v>1</v>
      </c>
      <c r="AO163">
        <f t="shared" si="79"/>
        <v>0</v>
      </c>
      <c r="AP163">
        <f t="shared" si="80"/>
        <v>0</v>
      </c>
      <c r="AQ163">
        <f t="shared" si="81"/>
        <v>1</v>
      </c>
      <c r="AR163">
        <f t="shared" si="82"/>
        <v>0</v>
      </c>
      <c r="AS163">
        <f t="shared" si="83"/>
        <v>0</v>
      </c>
    </row>
    <row r="164" spans="2:45" x14ac:dyDescent="0.3">
      <c r="B164">
        <v>163</v>
      </c>
      <c r="C164" s="1">
        <v>40706</v>
      </c>
      <c r="D164">
        <v>2</v>
      </c>
      <c r="E164">
        <v>0</v>
      </c>
      <c r="F164">
        <v>6</v>
      </c>
      <c r="G164">
        <v>0</v>
      </c>
      <c r="H164">
        <v>1</v>
      </c>
      <c r="I164">
        <v>1467</v>
      </c>
      <c r="J164">
        <v>2993</v>
      </c>
      <c r="K164" s="8">
        <v>4460</v>
      </c>
      <c r="L164">
        <v>28.392499999999998</v>
      </c>
      <c r="M164">
        <v>32.166249999999998</v>
      </c>
      <c r="N164">
        <v>74.791700000000006</v>
      </c>
      <c r="O164">
        <v>10.958989000000001</v>
      </c>
      <c r="P164">
        <v>0</v>
      </c>
      <c r="Q164">
        <v>0</v>
      </c>
      <c r="R164">
        <f t="shared" si="56"/>
        <v>0</v>
      </c>
      <c r="S164">
        <f t="shared" si="57"/>
        <v>0</v>
      </c>
      <c r="T164">
        <f t="shared" si="58"/>
        <v>0</v>
      </c>
      <c r="U164">
        <f t="shared" si="59"/>
        <v>0</v>
      </c>
      <c r="V164">
        <f t="shared" si="60"/>
        <v>0</v>
      </c>
      <c r="W164">
        <f t="shared" si="61"/>
        <v>1</v>
      </c>
      <c r="X164">
        <f t="shared" si="62"/>
        <v>0</v>
      </c>
      <c r="Y164">
        <f t="shared" si="63"/>
        <v>0</v>
      </c>
      <c r="Z164">
        <f t="shared" si="64"/>
        <v>0</v>
      </c>
      <c r="AA164">
        <f t="shared" si="65"/>
        <v>0</v>
      </c>
      <c r="AB164">
        <f t="shared" si="66"/>
        <v>0</v>
      </c>
      <c r="AC164">
        <f t="shared" si="67"/>
        <v>0</v>
      </c>
      <c r="AD164">
        <f t="shared" si="68"/>
        <v>1</v>
      </c>
      <c r="AE164">
        <f t="shared" si="69"/>
        <v>0</v>
      </c>
      <c r="AF164">
        <f t="shared" si="70"/>
        <v>0</v>
      </c>
      <c r="AG164">
        <f t="shared" si="71"/>
        <v>0</v>
      </c>
      <c r="AH164">
        <f t="shared" si="72"/>
        <v>0</v>
      </c>
      <c r="AI164">
        <f t="shared" si="73"/>
        <v>0</v>
      </c>
      <c r="AJ164">
        <f t="shared" si="74"/>
        <v>0</v>
      </c>
      <c r="AK164">
        <f t="shared" si="75"/>
        <v>1</v>
      </c>
      <c r="AL164">
        <f t="shared" si="76"/>
        <v>0</v>
      </c>
      <c r="AM164">
        <f t="shared" si="77"/>
        <v>0</v>
      </c>
      <c r="AN164">
        <f t="shared" si="78"/>
        <v>1</v>
      </c>
      <c r="AO164">
        <f t="shared" si="79"/>
        <v>0</v>
      </c>
      <c r="AP164">
        <f t="shared" si="80"/>
        <v>0</v>
      </c>
      <c r="AQ164">
        <f t="shared" si="81"/>
        <v>1</v>
      </c>
      <c r="AR164">
        <f t="shared" si="82"/>
        <v>0</v>
      </c>
      <c r="AS164">
        <f t="shared" si="83"/>
        <v>0</v>
      </c>
    </row>
    <row r="165" spans="2:45" x14ac:dyDescent="0.3">
      <c r="B165">
        <v>164</v>
      </c>
      <c r="C165" s="1">
        <v>40707</v>
      </c>
      <c r="D165">
        <v>2</v>
      </c>
      <c r="E165">
        <v>0</v>
      </c>
      <c r="F165">
        <v>6</v>
      </c>
      <c r="G165">
        <v>1</v>
      </c>
      <c r="H165">
        <v>1</v>
      </c>
      <c r="I165">
        <v>863</v>
      </c>
      <c r="J165">
        <v>4157</v>
      </c>
      <c r="K165" s="8">
        <v>5020</v>
      </c>
      <c r="L165">
        <v>26.035</v>
      </c>
      <c r="M165">
        <v>30.082699999999999</v>
      </c>
      <c r="N165">
        <v>49.458300000000001</v>
      </c>
      <c r="O165">
        <v>20.458449999999999</v>
      </c>
      <c r="P165">
        <v>0</v>
      </c>
      <c r="Q165">
        <v>1</v>
      </c>
      <c r="R165">
        <f t="shared" si="56"/>
        <v>0</v>
      </c>
      <c r="S165">
        <f t="shared" si="57"/>
        <v>0</v>
      </c>
      <c r="T165">
        <f t="shared" si="58"/>
        <v>0</v>
      </c>
      <c r="U165">
        <f t="shared" si="59"/>
        <v>0</v>
      </c>
      <c r="V165">
        <f t="shared" si="60"/>
        <v>0</v>
      </c>
      <c r="W165">
        <f t="shared" si="61"/>
        <v>1</v>
      </c>
      <c r="X165">
        <f t="shared" si="62"/>
        <v>0</v>
      </c>
      <c r="Y165">
        <f t="shared" si="63"/>
        <v>0</v>
      </c>
      <c r="Z165">
        <f t="shared" si="64"/>
        <v>0</v>
      </c>
      <c r="AA165">
        <f t="shared" si="65"/>
        <v>0</v>
      </c>
      <c r="AB165">
        <f t="shared" si="66"/>
        <v>0</v>
      </c>
      <c r="AC165">
        <f t="shared" si="67"/>
        <v>0</v>
      </c>
      <c r="AD165">
        <f t="shared" si="68"/>
        <v>0</v>
      </c>
      <c r="AE165">
        <f t="shared" si="69"/>
        <v>1</v>
      </c>
      <c r="AF165">
        <f t="shared" si="70"/>
        <v>0</v>
      </c>
      <c r="AG165">
        <f t="shared" si="71"/>
        <v>0</v>
      </c>
      <c r="AH165">
        <f t="shared" si="72"/>
        <v>0</v>
      </c>
      <c r="AI165">
        <f t="shared" si="73"/>
        <v>0</v>
      </c>
      <c r="AJ165">
        <f t="shared" si="74"/>
        <v>0</v>
      </c>
      <c r="AK165">
        <f t="shared" si="75"/>
        <v>1</v>
      </c>
      <c r="AL165">
        <f t="shared" si="76"/>
        <v>0</v>
      </c>
      <c r="AM165">
        <f t="shared" si="77"/>
        <v>0</v>
      </c>
      <c r="AN165">
        <f t="shared" si="78"/>
        <v>1</v>
      </c>
      <c r="AO165">
        <f t="shared" si="79"/>
        <v>0</v>
      </c>
      <c r="AP165">
        <f t="shared" si="80"/>
        <v>0</v>
      </c>
      <c r="AQ165">
        <f t="shared" si="81"/>
        <v>1</v>
      </c>
      <c r="AR165">
        <f t="shared" si="82"/>
        <v>0</v>
      </c>
      <c r="AS165">
        <f t="shared" si="83"/>
        <v>0</v>
      </c>
    </row>
    <row r="166" spans="2:45" x14ac:dyDescent="0.3">
      <c r="B166">
        <v>165</v>
      </c>
      <c r="C166" s="1">
        <v>40708</v>
      </c>
      <c r="D166">
        <v>2</v>
      </c>
      <c r="E166">
        <v>0</v>
      </c>
      <c r="F166">
        <v>6</v>
      </c>
      <c r="G166">
        <v>2</v>
      </c>
      <c r="H166">
        <v>1</v>
      </c>
      <c r="I166">
        <v>727</v>
      </c>
      <c r="J166">
        <v>4164</v>
      </c>
      <c r="K166" s="8">
        <v>4891</v>
      </c>
      <c r="L166">
        <v>24.770847</v>
      </c>
      <c r="M166">
        <v>29.577300000000001</v>
      </c>
      <c r="N166">
        <v>50.708300000000001</v>
      </c>
      <c r="O166">
        <v>18.041961000000001</v>
      </c>
      <c r="P166">
        <v>0</v>
      </c>
      <c r="Q166">
        <v>1</v>
      </c>
      <c r="R166">
        <f t="shared" si="56"/>
        <v>0</v>
      </c>
      <c r="S166">
        <f t="shared" si="57"/>
        <v>0</v>
      </c>
      <c r="T166">
        <f t="shared" si="58"/>
        <v>0</v>
      </c>
      <c r="U166">
        <f t="shared" si="59"/>
        <v>0</v>
      </c>
      <c r="V166">
        <f t="shared" si="60"/>
        <v>0</v>
      </c>
      <c r="W166">
        <f t="shared" si="61"/>
        <v>1</v>
      </c>
      <c r="X166">
        <f t="shared" si="62"/>
        <v>0</v>
      </c>
      <c r="Y166">
        <f t="shared" si="63"/>
        <v>0</v>
      </c>
      <c r="Z166">
        <f t="shared" si="64"/>
        <v>0</v>
      </c>
      <c r="AA166">
        <f t="shared" si="65"/>
        <v>0</v>
      </c>
      <c r="AB166">
        <f t="shared" si="66"/>
        <v>0</v>
      </c>
      <c r="AC166">
        <f t="shared" si="67"/>
        <v>0</v>
      </c>
      <c r="AD166">
        <f t="shared" si="68"/>
        <v>0</v>
      </c>
      <c r="AE166">
        <f t="shared" si="69"/>
        <v>0</v>
      </c>
      <c r="AF166">
        <f t="shared" si="70"/>
        <v>1</v>
      </c>
      <c r="AG166">
        <f t="shared" si="71"/>
        <v>0</v>
      </c>
      <c r="AH166">
        <f t="shared" si="72"/>
        <v>0</v>
      </c>
      <c r="AI166">
        <f t="shared" si="73"/>
        <v>0</v>
      </c>
      <c r="AJ166">
        <f t="shared" si="74"/>
        <v>0</v>
      </c>
      <c r="AK166">
        <f t="shared" si="75"/>
        <v>1</v>
      </c>
      <c r="AL166">
        <f t="shared" si="76"/>
        <v>0</v>
      </c>
      <c r="AM166">
        <f t="shared" si="77"/>
        <v>0</v>
      </c>
      <c r="AN166">
        <f t="shared" si="78"/>
        <v>1</v>
      </c>
      <c r="AO166">
        <f t="shared" si="79"/>
        <v>0</v>
      </c>
      <c r="AP166">
        <f t="shared" si="80"/>
        <v>0</v>
      </c>
      <c r="AQ166">
        <f t="shared" si="81"/>
        <v>1</v>
      </c>
      <c r="AR166">
        <f t="shared" si="82"/>
        <v>0</v>
      </c>
      <c r="AS166">
        <f t="shared" si="83"/>
        <v>0</v>
      </c>
    </row>
    <row r="167" spans="2:45" x14ac:dyDescent="0.3">
      <c r="B167">
        <v>166</v>
      </c>
      <c r="C167" s="1">
        <v>40709</v>
      </c>
      <c r="D167">
        <v>2</v>
      </c>
      <c r="E167">
        <v>0</v>
      </c>
      <c r="F167">
        <v>6</v>
      </c>
      <c r="G167">
        <v>3</v>
      </c>
      <c r="H167">
        <v>1</v>
      </c>
      <c r="I167">
        <v>769</v>
      </c>
      <c r="J167">
        <v>4411</v>
      </c>
      <c r="K167" s="8">
        <v>5180</v>
      </c>
      <c r="L167">
        <v>25.693346999999999</v>
      </c>
      <c r="M167">
        <v>29.387699999999999</v>
      </c>
      <c r="N167">
        <v>47.166699999999999</v>
      </c>
      <c r="O167">
        <v>11.250104</v>
      </c>
      <c r="P167">
        <v>0</v>
      </c>
      <c r="Q167">
        <v>1</v>
      </c>
      <c r="R167">
        <f t="shared" si="56"/>
        <v>0</v>
      </c>
      <c r="S167">
        <f t="shared" si="57"/>
        <v>0</v>
      </c>
      <c r="T167">
        <f t="shared" si="58"/>
        <v>0</v>
      </c>
      <c r="U167">
        <f t="shared" si="59"/>
        <v>0</v>
      </c>
      <c r="V167">
        <f t="shared" si="60"/>
        <v>0</v>
      </c>
      <c r="W167">
        <f t="shared" si="61"/>
        <v>1</v>
      </c>
      <c r="X167">
        <f t="shared" si="62"/>
        <v>0</v>
      </c>
      <c r="Y167">
        <f t="shared" si="63"/>
        <v>0</v>
      </c>
      <c r="Z167">
        <f t="shared" si="64"/>
        <v>0</v>
      </c>
      <c r="AA167">
        <f t="shared" si="65"/>
        <v>0</v>
      </c>
      <c r="AB167">
        <f t="shared" si="66"/>
        <v>0</v>
      </c>
      <c r="AC167">
        <f t="shared" si="67"/>
        <v>0</v>
      </c>
      <c r="AD167">
        <f t="shared" si="68"/>
        <v>0</v>
      </c>
      <c r="AE167">
        <f t="shared" si="69"/>
        <v>0</v>
      </c>
      <c r="AF167">
        <f t="shared" si="70"/>
        <v>0</v>
      </c>
      <c r="AG167">
        <f t="shared" si="71"/>
        <v>1</v>
      </c>
      <c r="AH167">
        <f t="shared" si="72"/>
        <v>0</v>
      </c>
      <c r="AI167">
        <f t="shared" si="73"/>
        <v>0</v>
      </c>
      <c r="AJ167">
        <f t="shared" si="74"/>
        <v>0</v>
      </c>
      <c r="AK167">
        <f t="shared" si="75"/>
        <v>1</v>
      </c>
      <c r="AL167">
        <f t="shared" si="76"/>
        <v>0</v>
      </c>
      <c r="AM167">
        <f t="shared" si="77"/>
        <v>0</v>
      </c>
      <c r="AN167">
        <f t="shared" si="78"/>
        <v>1</v>
      </c>
      <c r="AO167">
        <f t="shared" si="79"/>
        <v>0</v>
      </c>
      <c r="AP167">
        <f t="shared" si="80"/>
        <v>0</v>
      </c>
      <c r="AQ167">
        <f t="shared" si="81"/>
        <v>1</v>
      </c>
      <c r="AR167">
        <f t="shared" si="82"/>
        <v>0</v>
      </c>
      <c r="AS167">
        <f t="shared" si="83"/>
        <v>0</v>
      </c>
    </row>
    <row r="168" spans="2:45" x14ac:dyDescent="0.3">
      <c r="B168">
        <v>167</v>
      </c>
      <c r="C168" s="1">
        <v>40710</v>
      </c>
      <c r="D168">
        <v>2</v>
      </c>
      <c r="E168">
        <v>0</v>
      </c>
      <c r="F168">
        <v>6</v>
      </c>
      <c r="G168">
        <v>4</v>
      </c>
      <c r="H168">
        <v>2</v>
      </c>
      <c r="I168">
        <v>545</v>
      </c>
      <c r="J168">
        <v>3222</v>
      </c>
      <c r="K168" s="8">
        <v>3767</v>
      </c>
      <c r="L168">
        <v>25.761652999999999</v>
      </c>
      <c r="M168">
        <v>29.767299999999999</v>
      </c>
      <c r="N168">
        <v>68.833299999999994</v>
      </c>
      <c r="O168">
        <v>13.833557000000001</v>
      </c>
      <c r="P168">
        <v>0</v>
      </c>
      <c r="Q168">
        <v>1</v>
      </c>
      <c r="R168">
        <f t="shared" si="56"/>
        <v>0</v>
      </c>
      <c r="S168">
        <f t="shared" si="57"/>
        <v>0</v>
      </c>
      <c r="T168">
        <f t="shared" si="58"/>
        <v>0</v>
      </c>
      <c r="U168">
        <f t="shared" si="59"/>
        <v>0</v>
      </c>
      <c r="V168">
        <f t="shared" si="60"/>
        <v>0</v>
      </c>
      <c r="W168">
        <f t="shared" si="61"/>
        <v>1</v>
      </c>
      <c r="X168">
        <f t="shared" si="62"/>
        <v>0</v>
      </c>
      <c r="Y168">
        <f t="shared" si="63"/>
        <v>0</v>
      </c>
      <c r="Z168">
        <f t="shared" si="64"/>
        <v>0</v>
      </c>
      <c r="AA168">
        <f t="shared" si="65"/>
        <v>0</v>
      </c>
      <c r="AB168">
        <f t="shared" si="66"/>
        <v>0</v>
      </c>
      <c r="AC168">
        <f t="shared" si="67"/>
        <v>0</v>
      </c>
      <c r="AD168">
        <f t="shared" si="68"/>
        <v>0</v>
      </c>
      <c r="AE168">
        <f t="shared" si="69"/>
        <v>0</v>
      </c>
      <c r="AF168">
        <f t="shared" si="70"/>
        <v>0</v>
      </c>
      <c r="AG168">
        <f t="shared" si="71"/>
        <v>0</v>
      </c>
      <c r="AH168">
        <f t="shared" si="72"/>
        <v>1</v>
      </c>
      <c r="AI168">
        <f t="shared" si="73"/>
        <v>0</v>
      </c>
      <c r="AJ168">
        <f t="shared" si="74"/>
        <v>0</v>
      </c>
      <c r="AK168">
        <f t="shared" si="75"/>
        <v>0</v>
      </c>
      <c r="AL168">
        <f t="shared" si="76"/>
        <v>1</v>
      </c>
      <c r="AM168">
        <f t="shared" si="77"/>
        <v>0</v>
      </c>
      <c r="AN168">
        <f t="shared" si="78"/>
        <v>1</v>
      </c>
      <c r="AO168">
        <f t="shared" si="79"/>
        <v>0</v>
      </c>
      <c r="AP168">
        <f t="shared" si="80"/>
        <v>0</v>
      </c>
      <c r="AQ168">
        <f t="shared" si="81"/>
        <v>1</v>
      </c>
      <c r="AR168">
        <f t="shared" si="82"/>
        <v>0</v>
      </c>
      <c r="AS168">
        <f t="shared" si="83"/>
        <v>0</v>
      </c>
    </row>
    <row r="169" spans="2:45" x14ac:dyDescent="0.3">
      <c r="B169">
        <v>168</v>
      </c>
      <c r="C169" s="1">
        <v>40711</v>
      </c>
      <c r="D169">
        <v>2</v>
      </c>
      <c r="E169">
        <v>0</v>
      </c>
      <c r="F169">
        <v>6</v>
      </c>
      <c r="G169">
        <v>5</v>
      </c>
      <c r="H169">
        <v>1</v>
      </c>
      <c r="I169">
        <v>863</v>
      </c>
      <c r="J169">
        <v>3981</v>
      </c>
      <c r="K169" s="8">
        <v>4844</v>
      </c>
      <c r="L169">
        <v>26.615846999999999</v>
      </c>
      <c r="M169">
        <v>30.01915</v>
      </c>
      <c r="N169">
        <v>73.583299999999994</v>
      </c>
      <c r="O169">
        <v>9.5829430000000002</v>
      </c>
      <c r="P169">
        <v>0</v>
      </c>
      <c r="Q169">
        <v>1</v>
      </c>
      <c r="R169">
        <f t="shared" si="56"/>
        <v>0</v>
      </c>
      <c r="S169">
        <f t="shared" si="57"/>
        <v>0</v>
      </c>
      <c r="T169">
        <f t="shared" si="58"/>
        <v>0</v>
      </c>
      <c r="U169">
        <f t="shared" si="59"/>
        <v>0</v>
      </c>
      <c r="V169">
        <f t="shared" si="60"/>
        <v>0</v>
      </c>
      <c r="W169">
        <f t="shared" si="61"/>
        <v>1</v>
      </c>
      <c r="X169">
        <f t="shared" si="62"/>
        <v>0</v>
      </c>
      <c r="Y169">
        <f t="shared" si="63"/>
        <v>0</v>
      </c>
      <c r="Z169">
        <f t="shared" si="64"/>
        <v>0</v>
      </c>
      <c r="AA169">
        <f t="shared" si="65"/>
        <v>0</v>
      </c>
      <c r="AB169">
        <f t="shared" si="66"/>
        <v>0</v>
      </c>
      <c r="AC169">
        <f t="shared" si="67"/>
        <v>0</v>
      </c>
      <c r="AD169">
        <f t="shared" si="68"/>
        <v>0</v>
      </c>
      <c r="AE169">
        <f t="shared" si="69"/>
        <v>0</v>
      </c>
      <c r="AF169">
        <f t="shared" si="70"/>
        <v>0</v>
      </c>
      <c r="AG169">
        <f t="shared" si="71"/>
        <v>0</v>
      </c>
      <c r="AH169">
        <f t="shared" si="72"/>
        <v>0</v>
      </c>
      <c r="AI169">
        <f t="shared" si="73"/>
        <v>1</v>
      </c>
      <c r="AJ169">
        <f t="shared" si="74"/>
        <v>0</v>
      </c>
      <c r="AK169">
        <f t="shared" si="75"/>
        <v>1</v>
      </c>
      <c r="AL169">
        <f t="shared" si="76"/>
        <v>0</v>
      </c>
      <c r="AM169">
        <f t="shared" si="77"/>
        <v>0</v>
      </c>
      <c r="AN169">
        <f t="shared" si="78"/>
        <v>1</v>
      </c>
      <c r="AO169">
        <f t="shared" si="79"/>
        <v>0</v>
      </c>
      <c r="AP169">
        <f t="shared" si="80"/>
        <v>0</v>
      </c>
      <c r="AQ169">
        <f t="shared" si="81"/>
        <v>1</v>
      </c>
      <c r="AR169">
        <f t="shared" si="82"/>
        <v>0</v>
      </c>
      <c r="AS169">
        <f t="shared" si="83"/>
        <v>0</v>
      </c>
    </row>
    <row r="170" spans="2:45" x14ac:dyDescent="0.3">
      <c r="B170">
        <v>169</v>
      </c>
      <c r="C170" s="1">
        <v>40712</v>
      </c>
      <c r="D170">
        <v>2</v>
      </c>
      <c r="E170">
        <v>0</v>
      </c>
      <c r="F170">
        <v>6</v>
      </c>
      <c r="G170">
        <v>6</v>
      </c>
      <c r="H170">
        <v>1</v>
      </c>
      <c r="I170">
        <v>1807</v>
      </c>
      <c r="J170">
        <v>3312</v>
      </c>
      <c r="K170" s="8">
        <v>5119</v>
      </c>
      <c r="L170">
        <v>28.563347</v>
      </c>
      <c r="M170">
        <v>32.197699999999998</v>
      </c>
      <c r="N170">
        <v>67.041700000000006</v>
      </c>
      <c r="O170">
        <v>8.0003360000000008</v>
      </c>
      <c r="P170">
        <v>0</v>
      </c>
      <c r="Q170">
        <v>0</v>
      </c>
      <c r="R170">
        <f t="shared" si="56"/>
        <v>0</v>
      </c>
      <c r="S170">
        <f t="shared" si="57"/>
        <v>0</v>
      </c>
      <c r="T170">
        <f t="shared" si="58"/>
        <v>0</v>
      </c>
      <c r="U170">
        <f t="shared" si="59"/>
        <v>0</v>
      </c>
      <c r="V170">
        <f t="shared" si="60"/>
        <v>0</v>
      </c>
      <c r="W170">
        <f t="shared" si="61"/>
        <v>1</v>
      </c>
      <c r="X170">
        <f t="shared" si="62"/>
        <v>0</v>
      </c>
      <c r="Y170">
        <f t="shared" si="63"/>
        <v>0</v>
      </c>
      <c r="Z170">
        <f t="shared" si="64"/>
        <v>0</v>
      </c>
      <c r="AA170">
        <f t="shared" si="65"/>
        <v>0</v>
      </c>
      <c r="AB170">
        <f t="shared" si="66"/>
        <v>0</v>
      </c>
      <c r="AC170">
        <f t="shared" si="67"/>
        <v>0</v>
      </c>
      <c r="AD170">
        <f t="shared" si="68"/>
        <v>0</v>
      </c>
      <c r="AE170">
        <f t="shared" si="69"/>
        <v>0</v>
      </c>
      <c r="AF170">
        <f t="shared" si="70"/>
        <v>0</v>
      </c>
      <c r="AG170">
        <f t="shared" si="71"/>
        <v>0</v>
      </c>
      <c r="AH170">
        <f t="shared" si="72"/>
        <v>0</v>
      </c>
      <c r="AI170">
        <f t="shared" si="73"/>
        <v>0</v>
      </c>
      <c r="AJ170">
        <f t="shared" si="74"/>
        <v>1</v>
      </c>
      <c r="AK170">
        <f t="shared" si="75"/>
        <v>1</v>
      </c>
      <c r="AL170">
        <f t="shared" si="76"/>
        <v>0</v>
      </c>
      <c r="AM170">
        <f t="shared" si="77"/>
        <v>0</v>
      </c>
      <c r="AN170">
        <f t="shared" si="78"/>
        <v>1</v>
      </c>
      <c r="AO170">
        <f t="shared" si="79"/>
        <v>0</v>
      </c>
      <c r="AP170">
        <f t="shared" si="80"/>
        <v>0</v>
      </c>
      <c r="AQ170">
        <f t="shared" si="81"/>
        <v>1</v>
      </c>
      <c r="AR170">
        <f t="shared" si="82"/>
        <v>0</v>
      </c>
      <c r="AS170">
        <f t="shared" si="83"/>
        <v>0</v>
      </c>
    </row>
    <row r="171" spans="2:45" x14ac:dyDescent="0.3">
      <c r="B171">
        <v>170</v>
      </c>
      <c r="C171" s="1">
        <v>40713</v>
      </c>
      <c r="D171">
        <v>2</v>
      </c>
      <c r="E171">
        <v>0</v>
      </c>
      <c r="F171">
        <v>6</v>
      </c>
      <c r="G171">
        <v>0</v>
      </c>
      <c r="H171">
        <v>2</v>
      </c>
      <c r="I171">
        <v>1639</v>
      </c>
      <c r="J171">
        <v>3105</v>
      </c>
      <c r="K171" s="8">
        <v>4744</v>
      </c>
      <c r="L171">
        <v>28.665846999999999</v>
      </c>
      <c r="M171">
        <v>32.292299999999997</v>
      </c>
      <c r="N171">
        <v>66.666700000000006</v>
      </c>
      <c r="O171">
        <v>6.8339999999999996</v>
      </c>
      <c r="P171">
        <v>0</v>
      </c>
      <c r="Q171">
        <v>0</v>
      </c>
      <c r="R171">
        <f t="shared" si="56"/>
        <v>0</v>
      </c>
      <c r="S171">
        <f t="shared" si="57"/>
        <v>0</v>
      </c>
      <c r="T171">
        <f t="shared" si="58"/>
        <v>0</v>
      </c>
      <c r="U171">
        <f t="shared" si="59"/>
        <v>0</v>
      </c>
      <c r="V171">
        <f t="shared" si="60"/>
        <v>0</v>
      </c>
      <c r="W171">
        <f t="shared" si="61"/>
        <v>1</v>
      </c>
      <c r="X171">
        <f t="shared" si="62"/>
        <v>0</v>
      </c>
      <c r="Y171">
        <f t="shared" si="63"/>
        <v>0</v>
      </c>
      <c r="Z171">
        <f t="shared" si="64"/>
        <v>0</v>
      </c>
      <c r="AA171">
        <f t="shared" si="65"/>
        <v>0</v>
      </c>
      <c r="AB171">
        <f t="shared" si="66"/>
        <v>0</v>
      </c>
      <c r="AC171">
        <f t="shared" si="67"/>
        <v>0</v>
      </c>
      <c r="AD171">
        <f t="shared" si="68"/>
        <v>1</v>
      </c>
      <c r="AE171">
        <f t="shared" si="69"/>
        <v>0</v>
      </c>
      <c r="AF171">
        <f t="shared" si="70"/>
        <v>0</v>
      </c>
      <c r="AG171">
        <f t="shared" si="71"/>
        <v>0</v>
      </c>
      <c r="AH171">
        <f t="shared" si="72"/>
        <v>0</v>
      </c>
      <c r="AI171">
        <f t="shared" si="73"/>
        <v>0</v>
      </c>
      <c r="AJ171">
        <f t="shared" si="74"/>
        <v>0</v>
      </c>
      <c r="AK171">
        <f t="shared" si="75"/>
        <v>0</v>
      </c>
      <c r="AL171">
        <f t="shared" si="76"/>
        <v>1</v>
      </c>
      <c r="AM171">
        <f t="shared" si="77"/>
        <v>0</v>
      </c>
      <c r="AN171">
        <f t="shared" si="78"/>
        <v>1</v>
      </c>
      <c r="AO171">
        <f t="shared" si="79"/>
        <v>0</v>
      </c>
      <c r="AP171">
        <f t="shared" si="80"/>
        <v>0</v>
      </c>
      <c r="AQ171">
        <f t="shared" si="81"/>
        <v>1</v>
      </c>
      <c r="AR171">
        <f t="shared" si="82"/>
        <v>0</v>
      </c>
      <c r="AS171">
        <f t="shared" si="83"/>
        <v>0</v>
      </c>
    </row>
    <row r="172" spans="2:45" x14ac:dyDescent="0.3">
      <c r="B172">
        <v>171</v>
      </c>
      <c r="C172" s="1">
        <v>40714</v>
      </c>
      <c r="D172">
        <v>2</v>
      </c>
      <c r="E172">
        <v>0</v>
      </c>
      <c r="F172">
        <v>6</v>
      </c>
      <c r="G172">
        <v>1</v>
      </c>
      <c r="H172">
        <v>2</v>
      </c>
      <c r="I172">
        <v>699</v>
      </c>
      <c r="J172">
        <v>3311</v>
      </c>
      <c r="K172" s="8">
        <v>4010</v>
      </c>
      <c r="L172">
        <v>26.035</v>
      </c>
      <c r="M172">
        <v>29.767299999999999</v>
      </c>
      <c r="N172">
        <v>74.625</v>
      </c>
      <c r="O172">
        <v>10.416824999999999</v>
      </c>
      <c r="P172">
        <v>0</v>
      </c>
      <c r="Q172">
        <v>1</v>
      </c>
      <c r="R172">
        <f t="shared" si="56"/>
        <v>0</v>
      </c>
      <c r="S172">
        <f t="shared" si="57"/>
        <v>0</v>
      </c>
      <c r="T172">
        <f t="shared" si="58"/>
        <v>0</v>
      </c>
      <c r="U172">
        <f t="shared" si="59"/>
        <v>0</v>
      </c>
      <c r="V172">
        <f t="shared" si="60"/>
        <v>0</v>
      </c>
      <c r="W172">
        <f t="shared" si="61"/>
        <v>1</v>
      </c>
      <c r="X172">
        <f t="shared" si="62"/>
        <v>0</v>
      </c>
      <c r="Y172">
        <f t="shared" si="63"/>
        <v>0</v>
      </c>
      <c r="Z172">
        <f t="shared" si="64"/>
        <v>0</v>
      </c>
      <c r="AA172">
        <f t="shared" si="65"/>
        <v>0</v>
      </c>
      <c r="AB172">
        <f t="shared" si="66"/>
        <v>0</v>
      </c>
      <c r="AC172">
        <f t="shared" si="67"/>
        <v>0</v>
      </c>
      <c r="AD172">
        <f t="shared" si="68"/>
        <v>0</v>
      </c>
      <c r="AE172">
        <f t="shared" si="69"/>
        <v>1</v>
      </c>
      <c r="AF172">
        <f t="shared" si="70"/>
        <v>0</v>
      </c>
      <c r="AG172">
        <f t="shared" si="71"/>
        <v>0</v>
      </c>
      <c r="AH172">
        <f t="shared" si="72"/>
        <v>0</v>
      </c>
      <c r="AI172">
        <f t="shared" si="73"/>
        <v>0</v>
      </c>
      <c r="AJ172">
        <f t="shared" si="74"/>
        <v>0</v>
      </c>
      <c r="AK172">
        <f t="shared" si="75"/>
        <v>0</v>
      </c>
      <c r="AL172">
        <f t="shared" si="76"/>
        <v>1</v>
      </c>
      <c r="AM172">
        <f t="shared" si="77"/>
        <v>0</v>
      </c>
      <c r="AN172">
        <f t="shared" si="78"/>
        <v>1</v>
      </c>
      <c r="AO172">
        <f t="shared" si="79"/>
        <v>0</v>
      </c>
      <c r="AP172">
        <f t="shared" si="80"/>
        <v>0</v>
      </c>
      <c r="AQ172">
        <f t="shared" si="81"/>
        <v>1</v>
      </c>
      <c r="AR172">
        <f t="shared" si="82"/>
        <v>0</v>
      </c>
      <c r="AS172">
        <f t="shared" si="83"/>
        <v>0</v>
      </c>
    </row>
    <row r="173" spans="2:45" x14ac:dyDescent="0.3">
      <c r="B173">
        <v>172</v>
      </c>
      <c r="C173" s="1">
        <v>40715</v>
      </c>
      <c r="D173">
        <v>3</v>
      </c>
      <c r="E173">
        <v>0</v>
      </c>
      <c r="F173">
        <v>6</v>
      </c>
      <c r="G173">
        <v>2</v>
      </c>
      <c r="H173">
        <v>2</v>
      </c>
      <c r="I173">
        <v>774</v>
      </c>
      <c r="J173">
        <v>4061</v>
      </c>
      <c r="K173" s="8">
        <v>4835</v>
      </c>
      <c r="L173">
        <v>27.914152999999999</v>
      </c>
      <c r="M173">
        <v>31.882300000000001</v>
      </c>
      <c r="N173">
        <v>77.041700000000006</v>
      </c>
      <c r="O173">
        <v>11.458674999999999</v>
      </c>
      <c r="P173">
        <v>0</v>
      </c>
      <c r="Q173">
        <v>1</v>
      </c>
      <c r="R173">
        <f t="shared" si="56"/>
        <v>0</v>
      </c>
      <c r="S173">
        <f t="shared" si="57"/>
        <v>0</v>
      </c>
      <c r="T173">
        <f t="shared" si="58"/>
        <v>0</v>
      </c>
      <c r="U173">
        <f t="shared" si="59"/>
        <v>0</v>
      </c>
      <c r="V173">
        <f t="shared" si="60"/>
        <v>0</v>
      </c>
      <c r="W173">
        <f t="shared" si="61"/>
        <v>1</v>
      </c>
      <c r="X173">
        <f t="shared" si="62"/>
        <v>0</v>
      </c>
      <c r="Y173">
        <f t="shared" si="63"/>
        <v>0</v>
      </c>
      <c r="Z173">
        <f t="shared" si="64"/>
        <v>0</v>
      </c>
      <c r="AA173">
        <f t="shared" si="65"/>
        <v>0</v>
      </c>
      <c r="AB173">
        <f t="shared" si="66"/>
        <v>0</v>
      </c>
      <c r="AC173">
        <f t="shared" si="67"/>
        <v>0</v>
      </c>
      <c r="AD173">
        <f t="shared" si="68"/>
        <v>0</v>
      </c>
      <c r="AE173">
        <f t="shared" si="69"/>
        <v>0</v>
      </c>
      <c r="AF173">
        <f t="shared" si="70"/>
        <v>1</v>
      </c>
      <c r="AG173">
        <f t="shared" si="71"/>
        <v>0</v>
      </c>
      <c r="AH173">
        <f t="shared" si="72"/>
        <v>0</v>
      </c>
      <c r="AI173">
        <f t="shared" si="73"/>
        <v>0</v>
      </c>
      <c r="AJ173">
        <f t="shared" si="74"/>
        <v>0</v>
      </c>
      <c r="AK173">
        <f t="shared" si="75"/>
        <v>0</v>
      </c>
      <c r="AL173">
        <f t="shared" si="76"/>
        <v>1</v>
      </c>
      <c r="AM173">
        <f t="shared" si="77"/>
        <v>0</v>
      </c>
      <c r="AN173">
        <f t="shared" si="78"/>
        <v>1</v>
      </c>
      <c r="AO173">
        <f t="shared" si="79"/>
        <v>0</v>
      </c>
      <c r="AP173">
        <f t="shared" si="80"/>
        <v>0</v>
      </c>
      <c r="AQ173">
        <f t="shared" si="81"/>
        <v>0</v>
      </c>
      <c r="AR173">
        <f t="shared" si="82"/>
        <v>1</v>
      </c>
      <c r="AS173">
        <f t="shared" si="83"/>
        <v>0</v>
      </c>
    </row>
    <row r="174" spans="2:45" x14ac:dyDescent="0.3">
      <c r="B174">
        <v>173</v>
      </c>
      <c r="C174" s="1">
        <v>40716</v>
      </c>
      <c r="D174">
        <v>3</v>
      </c>
      <c r="E174">
        <v>0</v>
      </c>
      <c r="F174">
        <v>6</v>
      </c>
      <c r="G174">
        <v>3</v>
      </c>
      <c r="H174">
        <v>1</v>
      </c>
      <c r="I174">
        <v>661</v>
      </c>
      <c r="J174">
        <v>3846</v>
      </c>
      <c r="K174" s="8">
        <v>4507</v>
      </c>
      <c r="L174">
        <v>30.066652999999999</v>
      </c>
      <c r="M174">
        <v>34.691450000000003</v>
      </c>
      <c r="N174">
        <v>70.75</v>
      </c>
      <c r="O174">
        <v>11.541554</v>
      </c>
      <c r="P174">
        <v>0</v>
      </c>
      <c r="Q174">
        <v>1</v>
      </c>
      <c r="R174">
        <f t="shared" si="56"/>
        <v>0</v>
      </c>
      <c r="S174">
        <f t="shared" si="57"/>
        <v>0</v>
      </c>
      <c r="T174">
        <f t="shared" si="58"/>
        <v>0</v>
      </c>
      <c r="U174">
        <f t="shared" si="59"/>
        <v>0</v>
      </c>
      <c r="V174">
        <f t="shared" si="60"/>
        <v>0</v>
      </c>
      <c r="W174">
        <f t="shared" si="61"/>
        <v>1</v>
      </c>
      <c r="X174">
        <f t="shared" si="62"/>
        <v>0</v>
      </c>
      <c r="Y174">
        <f t="shared" si="63"/>
        <v>0</v>
      </c>
      <c r="Z174">
        <f t="shared" si="64"/>
        <v>0</v>
      </c>
      <c r="AA174">
        <f t="shared" si="65"/>
        <v>0</v>
      </c>
      <c r="AB174">
        <f t="shared" si="66"/>
        <v>0</v>
      </c>
      <c r="AC174">
        <f t="shared" si="67"/>
        <v>0</v>
      </c>
      <c r="AD174">
        <f t="shared" si="68"/>
        <v>0</v>
      </c>
      <c r="AE174">
        <f t="shared" si="69"/>
        <v>0</v>
      </c>
      <c r="AF174">
        <f t="shared" si="70"/>
        <v>0</v>
      </c>
      <c r="AG174">
        <f t="shared" si="71"/>
        <v>1</v>
      </c>
      <c r="AH174">
        <f t="shared" si="72"/>
        <v>0</v>
      </c>
      <c r="AI174">
        <f t="shared" si="73"/>
        <v>0</v>
      </c>
      <c r="AJ174">
        <f t="shared" si="74"/>
        <v>0</v>
      </c>
      <c r="AK174">
        <f t="shared" si="75"/>
        <v>1</v>
      </c>
      <c r="AL174">
        <f t="shared" si="76"/>
        <v>0</v>
      </c>
      <c r="AM174">
        <f t="shared" si="77"/>
        <v>0</v>
      </c>
      <c r="AN174">
        <f t="shared" si="78"/>
        <v>1</v>
      </c>
      <c r="AO174">
        <f t="shared" si="79"/>
        <v>0</v>
      </c>
      <c r="AP174">
        <f t="shared" si="80"/>
        <v>0</v>
      </c>
      <c r="AQ174">
        <f t="shared" si="81"/>
        <v>0</v>
      </c>
      <c r="AR174">
        <f t="shared" si="82"/>
        <v>1</v>
      </c>
      <c r="AS174">
        <f t="shared" si="83"/>
        <v>0</v>
      </c>
    </row>
    <row r="175" spans="2:45" x14ac:dyDescent="0.3">
      <c r="B175">
        <v>174</v>
      </c>
      <c r="C175" s="1">
        <v>40717</v>
      </c>
      <c r="D175">
        <v>3</v>
      </c>
      <c r="E175">
        <v>0</v>
      </c>
      <c r="F175">
        <v>6</v>
      </c>
      <c r="G175">
        <v>4</v>
      </c>
      <c r="H175">
        <v>2</v>
      </c>
      <c r="I175">
        <v>746</v>
      </c>
      <c r="J175">
        <v>4044</v>
      </c>
      <c r="K175" s="8">
        <v>4790</v>
      </c>
      <c r="L175">
        <v>29.861653</v>
      </c>
      <c r="M175">
        <v>34.691650000000003</v>
      </c>
      <c r="N175">
        <v>70.333299999999994</v>
      </c>
      <c r="O175">
        <v>15.999867999999999</v>
      </c>
      <c r="P175">
        <v>0</v>
      </c>
      <c r="Q175">
        <v>1</v>
      </c>
      <c r="R175">
        <f t="shared" si="56"/>
        <v>0</v>
      </c>
      <c r="S175">
        <f t="shared" si="57"/>
        <v>0</v>
      </c>
      <c r="T175">
        <f t="shared" si="58"/>
        <v>0</v>
      </c>
      <c r="U175">
        <f t="shared" si="59"/>
        <v>0</v>
      </c>
      <c r="V175">
        <f t="shared" si="60"/>
        <v>0</v>
      </c>
      <c r="W175">
        <f t="shared" si="61"/>
        <v>1</v>
      </c>
      <c r="X175">
        <f t="shared" si="62"/>
        <v>0</v>
      </c>
      <c r="Y175">
        <f t="shared" si="63"/>
        <v>0</v>
      </c>
      <c r="Z175">
        <f t="shared" si="64"/>
        <v>0</v>
      </c>
      <c r="AA175">
        <f t="shared" si="65"/>
        <v>0</v>
      </c>
      <c r="AB175">
        <f t="shared" si="66"/>
        <v>0</v>
      </c>
      <c r="AC175">
        <f t="shared" si="67"/>
        <v>0</v>
      </c>
      <c r="AD175">
        <f t="shared" si="68"/>
        <v>0</v>
      </c>
      <c r="AE175">
        <f t="shared" si="69"/>
        <v>0</v>
      </c>
      <c r="AF175">
        <f t="shared" si="70"/>
        <v>0</v>
      </c>
      <c r="AG175">
        <f t="shared" si="71"/>
        <v>0</v>
      </c>
      <c r="AH175">
        <f t="shared" si="72"/>
        <v>1</v>
      </c>
      <c r="AI175">
        <f t="shared" si="73"/>
        <v>0</v>
      </c>
      <c r="AJ175">
        <f t="shared" si="74"/>
        <v>0</v>
      </c>
      <c r="AK175">
        <f t="shared" si="75"/>
        <v>0</v>
      </c>
      <c r="AL175">
        <f t="shared" si="76"/>
        <v>1</v>
      </c>
      <c r="AM175">
        <f t="shared" si="77"/>
        <v>0</v>
      </c>
      <c r="AN175">
        <f t="shared" si="78"/>
        <v>1</v>
      </c>
      <c r="AO175">
        <f t="shared" si="79"/>
        <v>0</v>
      </c>
      <c r="AP175">
        <f t="shared" si="80"/>
        <v>0</v>
      </c>
      <c r="AQ175">
        <f t="shared" si="81"/>
        <v>0</v>
      </c>
      <c r="AR175">
        <f t="shared" si="82"/>
        <v>1</v>
      </c>
      <c r="AS175">
        <f t="shared" si="83"/>
        <v>0</v>
      </c>
    </row>
    <row r="176" spans="2:45" x14ac:dyDescent="0.3">
      <c r="B176">
        <v>175</v>
      </c>
      <c r="C176" s="1">
        <v>40718</v>
      </c>
      <c r="D176">
        <v>3</v>
      </c>
      <c r="E176">
        <v>0</v>
      </c>
      <c r="F176">
        <v>6</v>
      </c>
      <c r="G176">
        <v>5</v>
      </c>
      <c r="H176">
        <v>1</v>
      </c>
      <c r="I176">
        <v>969</v>
      </c>
      <c r="J176">
        <v>4022</v>
      </c>
      <c r="K176" s="8">
        <v>4991</v>
      </c>
      <c r="L176">
        <v>29.690847000000002</v>
      </c>
      <c r="M176">
        <v>32.829149999999998</v>
      </c>
      <c r="N176">
        <v>57.333300000000001</v>
      </c>
      <c r="O176">
        <v>14.875674999999999</v>
      </c>
      <c r="P176">
        <v>0</v>
      </c>
      <c r="Q176">
        <v>1</v>
      </c>
      <c r="R176">
        <f t="shared" si="56"/>
        <v>0</v>
      </c>
      <c r="S176">
        <f t="shared" si="57"/>
        <v>0</v>
      </c>
      <c r="T176">
        <f t="shared" si="58"/>
        <v>0</v>
      </c>
      <c r="U176">
        <f t="shared" si="59"/>
        <v>0</v>
      </c>
      <c r="V176">
        <f t="shared" si="60"/>
        <v>0</v>
      </c>
      <c r="W176">
        <f t="shared" si="61"/>
        <v>1</v>
      </c>
      <c r="X176">
        <f t="shared" si="62"/>
        <v>0</v>
      </c>
      <c r="Y176">
        <f t="shared" si="63"/>
        <v>0</v>
      </c>
      <c r="Z176">
        <f t="shared" si="64"/>
        <v>0</v>
      </c>
      <c r="AA176">
        <f t="shared" si="65"/>
        <v>0</v>
      </c>
      <c r="AB176">
        <f t="shared" si="66"/>
        <v>0</v>
      </c>
      <c r="AC176">
        <f t="shared" si="67"/>
        <v>0</v>
      </c>
      <c r="AD176">
        <f t="shared" si="68"/>
        <v>0</v>
      </c>
      <c r="AE176">
        <f t="shared" si="69"/>
        <v>0</v>
      </c>
      <c r="AF176">
        <f t="shared" si="70"/>
        <v>0</v>
      </c>
      <c r="AG176">
        <f t="shared" si="71"/>
        <v>0</v>
      </c>
      <c r="AH176">
        <f t="shared" si="72"/>
        <v>0</v>
      </c>
      <c r="AI176">
        <f t="shared" si="73"/>
        <v>1</v>
      </c>
      <c r="AJ176">
        <f t="shared" si="74"/>
        <v>0</v>
      </c>
      <c r="AK176">
        <f t="shared" si="75"/>
        <v>1</v>
      </c>
      <c r="AL176">
        <f t="shared" si="76"/>
        <v>0</v>
      </c>
      <c r="AM176">
        <f t="shared" si="77"/>
        <v>0</v>
      </c>
      <c r="AN176">
        <f t="shared" si="78"/>
        <v>1</v>
      </c>
      <c r="AO176">
        <f t="shared" si="79"/>
        <v>0</v>
      </c>
      <c r="AP176">
        <f t="shared" si="80"/>
        <v>0</v>
      </c>
      <c r="AQ176">
        <f t="shared" si="81"/>
        <v>0</v>
      </c>
      <c r="AR176">
        <f t="shared" si="82"/>
        <v>1</v>
      </c>
      <c r="AS176">
        <f t="shared" si="83"/>
        <v>0</v>
      </c>
    </row>
    <row r="177" spans="2:45" x14ac:dyDescent="0.3">
      <c r="B177">
        <v>176</v>
      </c>
      <c r="C177" s="1">
        <v>40719</v>
      </c>
      <c r="D177">
        <v>3</v>
      </c>
      <c r="E177">
        <v>0</v>
      </c>
      <c r="F177">
        <v>6</v>
      </c>
      <c r="G177">
        <v>6</v>
      </c>
      <c r="H177">
        <v>1</v>
      </c>
      <c r="I177">
        <v>1782</v>
      </c>
      <c r="J177">
        <v>3420</v>
      </c>
      <c r="K177" s="8">
        <v>5202</v>
      </c>
      <c r="L177">
        <v>28.495000000000001</v>
      </c>
      <c r="M177">
        <v>32.165649999999999</v>
      </c>
      <c r="N177">
        <v>48.333300000000001</v>
      </c>
      <c r="O177">
        <v>14.041257</v>
      </c>
      <c r="P177">
        <v>0</v>
      </c>
      <c r="Q177">
        <v>0</v>
      </c>
      <c r="R177">
        <f t="shared" si="56"/>
        <v>0</v>
      </c>
      <c r="S177">
        <f t="shared" si="57"/>
        <v>0</v>
      </c>
      <c r="T177">
        <f t="shared" si="58"/>
        <v>0</v>
      </c>
      <c r="U177">
        <f t="shared" si="59"/>
        <v>0</v>
      </c>
      <c r="V177">
        <f t="shared" si="60"/>
        <v>0</v>
      </c>
      <c r="W177">
        <f t="shared" si="61"/>
        <v>1</v>
      </c>
      <c r="X177">
        <f t="shared" si="62"/>
        <v>0</v>
      </c>
      <c r="Y177">
        <f t="shared" si="63"/>
        <v>0</v>
      </c>
      <c r="Z177">
        <f t="shared" si="64"/>
        <v>0</v>
      </c>
      <c r="AA177">
        <f t="shared" si="65"/>
        <v>0</v>
      </c>
      <c r="AB177">
        <f t="shared" si="66"/>
        <v>0</v>
      </c>
      <c r="AC177">
        <f t="shared" si="67"/>
        <v>0</v>
      </c>
      <c r="AD177">
        <f t="shared" si="68"/>
        <v>0</v>
      </c>
      <c r="AE177">
        <f t="shared" si="69"/>
        <v>0</v>
      </c>
      <c r="AF177">
        <f t="shared" si="70"/>
        <v>0</v>
      </c>
      <c r="AG177">
        <f t="shared" si="71"/>
        <v>0</v>
      </c>
      <c r="AH177">
        <f t="shared" si="72"/>
        <v>0</v>
      </c>
      <c r="AI177">
        <f t="shared" si="73"/>
        <v>0</v>
      </c>
      <c r="AJ177">
        <f t="shared" si="74"/>
        <v>1</v>
      </c>
      <c r="AK177">
        <f t="shared" si="75"/>
        <v>1</v>
      </c>
      <c r="AL177">
        <f t="shared" si="76"/>
        <v>0</v>
      </c>
      <c r="AM177">
        <f t="shared" si="77"/>
        <v>0</v>
      </c>
      <c r="AN177">
        <f t="shared" si="78"/>
        <v>1</v>
      </c>
      <c r="AO177">
        <f t="shared" si="79"/>
        <v>0</v>
      </c>
      <c r="AP177">
        <f t="shared" si="80"/>
        <v>0</v>
      </c>
      <c r="AQ177">
        <f t="shared" si="81"/>
        <v>0</v>
      </c>
      <c r="AR177">
        <f t="shared" si="82"/>
        <v>1</v>
      </c>
      <c r="AS177">
        <f t="shared" si="83"/>
        <v>0</v>
      </c>
    </row>
    <row r="178" spans="2:45" x14ac:dyDescent="0.3">
      <c r="B178">
        <v>177</v>
      </c>
      <c r="C178" s="1">
        <v>40720</v>
      </c>
      <c r="D178">
        <v>3</v>
      </c>
      <c r="E178">
        <v>0</v>
      </c>
      <c r="F178">
        <v>6</v>
      </c>
      <c r="G178">
        <v>0</v>
      </c>
      <c r="H178">
        <v>1</v>
      </c>
      <c r="I178">
        <v>1920</v>
      </c>
      <c r="J178">
        <v>3385</v>
      </c>
      <c r="K178" s="8">
        <v>5305</v>
      </c>
      <c r="L178">
        <v>27.88</v>
      </c>
      <c r="M178">
        <v>31.881450000000001</v>
      </c>
      <c r="N178">
        <v>51.333300000000001</v>
      </c>
      <c r="O178">
        <v>6.3337310999999996</v>
      </c>
      <c r="P178">
        <v>0</v>
      </c>
      <c r="Q178">
        <v>0</v>
      </c>
      <c r="R178">
        <f t="shared" si="56"/>
        <v>0</v>
      </c>
      <c r="S178">
        <f t="shared" si="57"/>
        <v>0</v>
      </c>
      <c r="T178">
        <f t="shared" si="58"/>
        <v>0</v>
      </c>
      <c r="U178">
        <f t="shared" si="59"/>
        <v>0</v>
      </c>
      <c r="V178">
        <f t="shared" si="60"/>
        <v>0</v>
      </c>
      <c r="W178">
        <f t="shared" si="61"/>
        <v>1</v>
      </c>
      <c r="X178">
        <f t="shared" si="62"/>
        <v>0</v>
      </c>
      <c r="Y178">
        <f t="shared" si="63"/>
        <v>0</v>
      </c>
      <c r="Z178">
        <f t="shared" si="64"/>
        <v>0</v>
      </c>
      <c r="AA178">
        <f t="shared" si="65"/>
        <v>0</v>
      </c>
      <c r="AB178">
        <f t="shared" si="66"/>
        <v>0</v>
      </c>
      <c r="AC178">
        <f t="shared" si="67"/>
        <v>0</v>
      </c>
      <c r="AD178">
        <f t="shared" si="68"/>
        <v>1</v>
      </c>
      <c r="AE178">
        <f t="shared" si="69"/>
        <v>0</v>
      </c>
      <c r="AF178">
        <f t="shared" si="70"/>
        <v>0</v>
      </c>
      <c r="AG178">
        <f t="shared" si="71"/>
        <v>0</v>
      </c>
      <c r="AH178">
        <f t="shared" si="72"/>
        <v>0</v>
      </c>
      <c r="AI178">
        <f t="shared" si="73"/>
        <v>0</v>
      </c>
      <c r="AJ178">
        <f t="shared" si="74"/>
        <v>0</v>
      </c>
      <c r="AK178">
        <f t="shared" si="75"/>
        <v>1</v>
      </c>
      <c r="AL178">
        <f t="shared" si="76"/>
        <v>0</v>
      </c>
      <c r="AM178">
        <f t="shared" si="77"/>
        <v>0</v>
      </c>
      <c r="AN178">
        <f t="shared" si="78"/>
        <v>1</v>
      </c>
      <c r="AO178">
        <f t="shared" si="79"/>
        <v>0</v>
      </c>
      <c r="AP178">
        <f t="shared" si="80"/>
        <v>0</v>
      </c>
      <c r="AQ178">
        <f t="shared" si="81"/>
        <v>0</v>
      </c>
      <c r="AR178">
        <f t="shared" si="82"/>
        <v>1</v>
      </c>
      <c r="AS178">
        <f t="shared" si="83"/>
        <v>0</v>
      </c>
    </row>
    <row r="179" spans="2:45" x14ac:dyDescent="0.3">
      <c r="B179">
        <v>178</v>
      </c>
      <c r="C179" s="1">
        <v>40721</v>
      </c>
      <c r="D179">
        <v>3</v>
      </c>
      <c r="E179">
        <v>0</v>
      </c>
      <c r="F179">
        <v>6</v>
      </c>
      <c r="G179">
        <v>1</v>
      </c>
      <c r="H179">
        <v>2</v>
      </c>
      <c r="I179">
        <v>854</v>
      </c>
      <c r="J179">
        <v>3854</v>
      </c>
      <c r="K179" s="8">
        <v>4708</v>
      </c>
      <c r="L179">
        <v>27.982500000000002</v>
      </c>
      <c r="M179">
        <v>31.850200000000001</v>
      </c>
      <c r="N179">
        <v>65.833299999999994</v>
      </c>
      <c r="O179">
        <v>7.2083959999999996</v>
      </c>
      <c r="P179">
        <v>0</v>
      </c>
      <c r="Q179">
        <v>1</v>
      </c>
      <c r="R179">
        <f t="shared" si="56"/>
        <v>0</v>
      </c>
      <c r="S179">
        <f t="shared" si="57"/>
        <v>0</v>
      </c>
      <c r="T179">
        <f t="shared" si="58"/>
        <v>0</v>
      </c>
      <c r="U179">
        <f t="shared" si="59"/>
        <v>0</v>
      </c>
      <c r="V179">
        <f t="shared" si="60"/>
        <v>0</v>
      </c>
      <c r="W179">
        <f t="shared" si="61"/>
        <v>1</v>
      </c>
      <c r="X179">
        <f t="shared" si="62"/>
        <v>0</v>
      </c>
      <c r="Y179">
        <f t="shared" si="63"/>
        <v>0</v>
      </c>
      <c r="Z179">
        <f t="shared" si="64"/>
        <v>0</v>
      </c>
      <c r="AA179">
        <f t="shared" si="65"/>
        <v>0</v>
      </c>
      <c r="AB179">
        <f t="shared" si="66"/>
        <v>0</v>
      </c>
      <c r="AC179">
        <f t="shared" si="67"/>
        <v>0</v>
      </c>
      <c r="AD179">
        <f t="shared" si="68"/>
        <v>0</v>
      </c>
      <c r="AE179">
        <f t="shared" si="69"/>
        <v>1</v>
      </c>
      <c r="AF179">
        <f t="shared" si="70"/>
        <v>0</v>
      </c>
      <c r="AG179">
        <f t="shared" si="71"/>
        <v>0</v>
      </c>
      <c r="AH179">
        <f t="shared" si="72"/>
        <v>0</v>
      </c>
      <c r="AI179">
        <f t="shared" si="73"/>
        <v>0</v>
      </c>
      <c r="AJ179">
        <f t="shared" si="74"/>
        <v>0</v>
      </c>
      <c r="AK179">
        <f t="shared" si="75"/>
        <v>0</v>
      </c>
      <c r="AL179">
        <f t="shared" si="76"/>
        <v>1</v>
      </c>
      <c r="AM179">
        <f t="shared" si="77"/>
        <v>0</v>
      </c>
      <c r="AN179">
        <f t="shared" si="78"/>
        <v>1</v>
      </c>
      <c r="AO179">
        <f t="shared" si="79"/>
        <v>0</v>
      </c>
      <c r="AP179">
        <f t="shared" si="80"/>
        <v>0</v>
      </c>
      <c r="AQ179">
        <f t="shared" si="81"/>
        <v>0</v>
      </c>
      <c r="AR179">
        <f t="shared" si="82"/>
        <v>1</v>
      </c>
      <c r="AS179">
        <f t="shared" si="83"/>
        <v>0</v>
      </c>
    </row>
    <row r="180" spans="2:45" x14ac:dyDescent="0.3">
      <c r="B180">
        <v>179</v>
      </c>
      <c r="C180" s="1">
        <v>40722</v>
      </c>
      <c r="D180">
        <v>3</v>
      </c>
      <c r="E180">
        <v>0</v>
      </c>
      <c r="F180">
        <v>6</v>
      </c>
      <c r="G180">
        <v>2</v>
      </c>
      <c r="H180">
        <v>1</v>
      </c>
      <c r="I180">
        <v>732</v>
      </c>
      <c r="J180">
        <v>3916</v>
      </c>
      <c r="K180" s="8">
        <v>4648</v>
      </c>
      <c r="L180">
        <v>30.510846999999998</v>
      </c>
      <c r="M180">
        <v>34.627899999999997</v>
      </c>
      <c r="N180">
        <v>63.416699999999999</v>
      </c>
      <c r="O180">
        <v>9.6669610000000006</v>
      </c>
      <c r="P180">
        <v>0</v>
      </c>
      <c r="Q180">
        <v>1</v>
      </c>
      <c r="R180">
        <f t="shared" si="56"/>
        <v>0</v>
      </c>
      <c r="S180">
        <f t="shared" si="57"/>
        <v>0</v>
      </c>
      <c r="T180">
        <f t="shared" si="58"/>
        <v>0</v>
      </c>
      <c r="U180">
        <f t="shared" si="59"/>
        <v>0</v>
      </c>
      <c r="V180">
        <f t="shared" si="60"/>
        <v>0</v>
      </c>
      <c r="W180">
        <f t="shared" si="61"/>
        <v>1</v>
      </c>
      <c r="X180">
        <f t="shared" si="62"/>
        <v>0</v>
      </c>
      <c r="Y180">
        <f t="shared" si="63"/>
        <v>0</v>
      </c>
      <c r="Z180">
        <f t="shared" si="64"/>
        <v>0</v>
      </c>
      <c r="AA180">
        <f t="shared" si="65"/>
        <v>0</v>
      </c>
      <c r="AB180">
        <f t="shared" si="66"/>
        <v>0</v>
      </c>
      <c r="AC180">
        <f t="shared" si="67"/>
        <v>0</v>
      </c>
      <c r="AD180">
        <f t="shared" si="68"/>
        <v>0</v>
      </c>
      <c r="AE180">
        <f t="shared" si="69"/>
        <v>0</v>
      </c>
      <c r="AF180">
        <f t="shared" si="70"/>
        <v>1</v>
      </c>
      <c r="AG180">
        <f t="shared" si="71"/>
        <v>0</v>
      </c>
      <c r="AH180">
        <f t="shared" si="72"/>
        <v>0</v>
      </c>
      <c r="AI180">
        <f t="shared" si="73"/>
        <v>0</v>
      </c>
      <c r="AJ180">
        <f t="shared" si="74"/>
        <v>0</v>
      </c>
      <c r="AK180">
        <f t="shared" si="75"/>
        <v>1</v>
      </c>
      <c r="AL180">
        <f t="shared" si="76"/>
        <v>0</v>
      </c>
      <c r="AM180">
        <f t="shared" si="77"/>
        <v>0</v>
      </c>
      <c r="AN180">
        <f t="shared" si="78"/>
        <v>1</v>
      </c>
      <c r="AO180">
        <f t="shared" si="79"/>
        <v>0</v>
      </c>
      <c r="AP180">
        <f t="shared" si="80"/>
        <v>0</v>
      </c>
      <c r="AQ180">
        <f t="shared" si="81"/>
        <v>0</v>
      </c>
      <c r="AR180">
        <f t="shared" si="82"/>
        <v>1</v>
      </c>
      <c r="AS180">
        <f t="shared" si="83"/>
        <v>0</v>
      </c>
    </row>
    <row r="181" spans="2:45" x14ac:dyDescent="0.3">
      <c r="B181">
        <v>180</v>
      </c>
      <c r="C181" s="1">
        <v>40723</v>
      </c>
      <c r="D181">
        <v>3</v>
      </c>
      <c r="E181">
        <v>0</v>
      </c>
      <c r="F181">
        <v>6</v>
      </c>
      <c r="G181">
        <v>3</v>
      </c>
      <c r="H181">
        <v>1</v>
      </c>
      <c r="I181">
        <v>848</v>
      </c>
      <c r="J181">
        <v>4377</v>
      </c>
      <c r="K181" s="8">
        <v>5225</v>
      </c>
      <c r="L181">
        <v>29.861653</v>
      </c>
      <c r="M181">
        <v>32.734400000000001</v>
      </c>
      <c r="N181">
        <v>49.791699999999999</v>
      </c>
      <c r="O181">
        <v>17.542007000000002</v>
      </c>
      <c r="P181">
        <v>0</v>
      </c>
      <c r="Q181">
        <v>1</v>
      </c>
      <c r="R181">
        <f t="shared" si="56"/>
        <v>0</v>
      </c>
      <c r="S181">
        <f t="shared" si="57"/>
        <v>0</v>
      </c>
      <c r="T181">
        <f t="shared" si="58"/>
        <v>0</v>
      </c>
      <c r="U181">
        <f t="shared" si="59"/>
        <v>0</v>
      </c>
      <c r="V181">
        <f t="shared" si="60"/>
        <v>0</v>
      </c>
      <c r="W181">
        <f t="shared" si="61"/>
        <v>1</v>
      </c>
      <c r="X181">
        <f t="shared" si="62"/>
        <v>0</v>
      </c>
      <c r="Y181">
        <f t="shared" si="63"/>
        <v>0</v>
      </c>
      <c r="Z181">
        <f t="shared" si="64"/>
        <v>0</v>
      </c>
      <c r="AA181">
        <f t="shared" si="65"/>
        <v>0</v>
      </c>
      <c r="AB181">
        <f t="shared" si="66"/>
        <v>0</v>
      </c>
      <c r="AC181">
        <f t="shared" si="67"/>
        <v>0</v>
      </c>
      <c r="AD181">
        <f t="shared" si="68"/>
        <v>0</v>
      </c>
      <c r="AE181">
        <f t="shared" si="69"/>
        <v>0</v>
      </c>
      <c r="AF181">
        <f t="shared" si="70"/>
        <v>0</v>
      </c>
      <c r="AG181">
        <f t="shared" si="71"/>
        <v>1</v>
      </c>
      <c r="AH181">
        <f t="shared" si="72"/>
        <v>0</v>
      </c>
      <c r="AI181">
        <f t="shared" si="73"/>
        <v>0</v>
      </c>
      <c r="AJ181">
        <f t="shared" si="74"/>
        <v>0</v>
      </c>
      <c r="AK181">
        <f t="shared" si="75"/>
        <v>1</v>
      </c>
      <c r="AL181">
        <f t="shared" si="76"/>
        <v>0</v>
      </c>
      <c r="AM181">
        <f t="shared" si="77"/>
        <v>0</v>
      </c>
      <c r="AN181">
        <f t="shared" si="78"/>
        <v>1</v>
      </c>
      <c r="AO181">
        <f t="shared" si="79"/>
        <v>0</v>
      </c>
      <c r="AP181">
        <f t="shared" si="80"/>
        <v>0</v>
      </c>
      <c r="AQ181">
        <f t="shared" si="81"/>
        <v>0</v>
      </c>
      <c r="AR181">
        <f t="shared" si="82"/>
        <v>1</v>
      </c>
      <c r="AS181">
        <f t="shared" si="83"/>
        <v>0</v>
      </c>
    </row>
    <row r="182" spans="2:45" x14ac:dyDescent="0.3">
      <c r="B182">
        <v>181</v>
      </c>
      <c r="C182" s="1">
        <v>40724</v>
      </c>
      <c r="D182">
        <v>3</v>
      </c>
      <c r="E182">
        <v>0</v>
      </c>
      <c r="F182">
        <v>6</v>
      </c>
      <c r="G182">
        <v>4</v>
      </c>
      <c r="H182">
        <v>1</v>
      </c>
      <c r="I182">
        <v>1027</v>
      </c>
      <c r="J182">
        <v>4488</v>
      </c>
      <c r="K182" s="8">
        <v>5515</v>
      </c>
      <c r="L182">
        <v>28.563347</v>
      </c>
      <c r="M182">
        <v>31.8504</v>
      </c>
      <c r="N182">
        <v>43.416699999999999</v>
      </c>
      <c r="O182">
        <v>12.415903999999999</v>
      </c>
      <c r="P182">
        <v>0</v>
      </c>
      <c r="Q182">
        <v>1</v>
      </c>
      <c r="R182">
        <f t="shared" si="56"/>
        <v>0</v>
      </c>
      <c r="S182">
        <f t="shared" si="57"/>
        <v>0</v>
      </c>
      <c r="T182">
        <f t="shared" si="58"/>
        <v>0</v>
      </c>
      <c r="U182">
        <f t="shared" si="59"/>
        <v>0</v>
      </c>
      <c r="V182">
        <f t="shared" si="60"/>
        <v>0</v>
      </c>
      <c r="W182">
        <f t="shared" si="61"/>
        <v>1</v>
      </c>
      <c r="X182">
        <f t="shared" si="62"/>
        <v>0</v>
      </c>
      <c r="Y182">
        <f t="shared" si="63"/>
        <v>0</v>
      </c>
      <c r="Z182">
        <f t="shared" si="64"/>
        <v>0</v>
      </c>
      <c r="AA182">
        <f t="shared" si="65"/>
        <v>0</v>
      </c>
      <c r="AB182">
        <f t="shared" si="66"/>
        <v>0</v>
      </c>
      <c r="AC182">
        <f t="shared" si="67"/>
        <v>0</v>
      </c>
      <c r="AD182">
        <f t="shared" si="68"/>
        <v>0</v>
      </c>
      <c r="AE182">
        <f t="shared" si="69"/>
        <v>0</v>
      </c>
      <c r="AF182">
        <f t="shared" si="70"/>
        <v>0</v>
      </c>
      <c r="AG182">
        <f t="shared" si="71"/>
        <v>0</v>
      </c>
      <c r="AH182">
        <f t="shared" si="72"/>
        <v>1</v>
      </c>
      <c r="AI182">
        <f t="shared" si="73"/>
        <v>0</v>
      </c>
      <c r="AJ182">
        <f t="shared" si="74"/>
        <v>0</v>
      </c>
      <c r="AK182">
        <f t="shared" si="75"/>
        <v>1</v>
      </c>
      <c r="AL182">
        <f t="shared" si="76"/>
        <v>0</v>
      </c>
      <c r="AM182">
        <f t="shared" si="77"/>
        <v>0</v>
      </c>
      <c r="AN182">
        <f t="shared" si="78"/>
        <v>1</v>
      </c>
      <c r="AO182">
        <f t="shared" si="79"/>
        <v>0</v>
      </c>
      <c r="AP182">
        <f t="shared" si="80"/>
        <v>0</v>
      </c>
      <c r="AQ182">
        <f t="shared" si="81"/>
        <v>0</v>
      </c>
      <c r="AR182">
        <f t="shared" si="82"/>
        <v>1</v>
      </c>
      <c r="AS182">
        <f t="shared" si="83"/>
        <v>0</v>
      </c>
    </row>
    <row r="183" spans="2:45" x14ac:dyDescent="0.3">
      <c r="B183">
        <v>182</v>
      </c>
      <c r="C183" s="1">
        <v>40725</v>
      </c>
      <c r="D183">
        <v>3</v>
      </c>
      <c r="E183">
        <v>0</v>
      </c>
      <c r="F183">
        <v>7</v>
      </c>
      <c r="G183">
        <v>5</v>
      </c>
      <c r="H183">
        <v>1</v>
      </c>
      <c r="I183">
        <v>1246</v>
      </c>
      <c r="J183">
        <v>4116</v>
      </c>
      <c r="K183" s="8">
        <v>5362</v>
      </c>
      <c r="L183">
        <v>29.622499999999999</v>
      </c>
      <c r="M183">
        <v>32.6081</v>
      </c>
      <c r="N183">
        <v>39.625</v>
      </c>
      <c r="O183">
        <v>6.8747360000000004</v>
      </c>
      <c r="P183">
        <v>0</v>
      </c>
      <c r="Q183">
        <v>1</v>
      </c>
      <c r="R183">
        <f t="shared" si="56"/>
        <v>0</v>
      </c>
      <c r="S183">
        <f t="shared" si="57"/>
        <v>0</v>
      </c>
      <c r="T183">
        <f t="shared" si="58"/>
        <v>0</v>
      </c>
      <c r="U183">
        <f t="shared" si="59"/>
        <v>0</v>
      </c>
      <c r="V183">
        <f t="shared" si="60"/>
        <v>0</v>
      </c>
      <c r="W183">
        <f t="shared" si="61"/>
        <v>0</v>
      </c>
      <c r="X183">
        <f t="shared" si="62"/>
        <v>1</v>
      </c>
      <c r="Y183">
        <f t="shared" si="63"/>
        <v>0</v>
      </c>
      <c r="Z183">
        <f t="shared" si="64"/>
        <v>0</v>
      </c>
      <c r="AA183">
        <f t="shared" si="65"/>
        <v>0</v>
      </c>
      <c r="AB183">
        <f t="shared" si="66"/>
        <v>0</v>
      </c>
      <c r="AC183">
        <f t="shared" si="67"/>
        <v>0</v>
      </c>
      <c r="AD183">
        <f t="shared" si="68"/>
        <v>0</v>
      </c>
      <c r="AE183">
        <f t="shared" si="69"/>
        <v>0</v>
      </c>
      <c r="AF183">
        <f t="shared" si="70"/>
        <v>0</v>
      </c>
      <c r="AG183">
        <f t="shared" si="71"/>
        <v>0</v>
      </c>
      <c r="AH183">
        <f t="shared" si="72"/>
        <v>0</v>
      </c>
      <c r="AI183">
        <f t="shared" si="73"/>
        <v>1</v>
      </c>
      <c r="AJ183">
        <f t="shared" si="74"/>
        <v>0</v>
      </c>
      <c r="AK183">
        <f t="shared" si="75"/>
        <v>1</v>
      </c>
      <c r="AL183">
        <f t="shared" si="76"/>
        <v>0</v>
      </c>
      <c r="AM183">
        <f t="shared" si="77"/>
        <v>0</v>
      </c>
      <c r="AN183">
        <f t="shared" si="78"/>
        <v>1</v>
      </c>
      <c r="AO183">
        <f t="shared" si="79"/>
        <v>0</v>
      </c>
      <c r="AP183">
        <f t="shared" si="80"/>
        <v>0</v>
      </c>
      <c r="AQ183">
        <f t="shared" si="81"/>
        <v>0</v>
      </c>
      <c r="AR183">
        <f t="shared" si="82"/>
        <v>1</v>
      </c>
      <c r="AS183">
        <f t="shared" si="83"/>
        <v>0</v>
      </c>
    </row>
    <row r="184" spans="2:45" x14ac:dyDescent="0.3">
      <c r="B184">
        <v>183</v>
      </c>
      <c r="C184" s="1">
        <v>40726</v>
      </c>
      <c r="D184">
        <v>3</v>
      </c>
      <c r="E184">
        <v>0</v>
      </c>
      <c r="F184">
        <v>7</v>
      </c>
      <c r="G184">
        <v>6</v>
      </c>
      <c r="H184">
        <v>1</v>
      </c>
      <c r="I184">
        <v>2204</v>
      </c>
      <c r="J184">
        <v>2915</v>
      </c>
      <c r="K184" s="8">
        <v>5119</v>
      </c>
      <c r="L184">
        <v>30.271653000000001</v>
      </c>
      <c r="M184">
        <v>33.365400000000001</v>
      </c>
      <c r="N184">
        <v>44.458300000000001</v>
      </c>
      <c r="O184">
        <v>7.7091539999999998</v>
      </c>
      <c r="P184">
        <v>0</v>
      </c>
      <c r="Q184">
        <v>0</v>
      </c>
      <c r="R184">
        <f t="shared" si="56"/>
        <v>0</v>
      </c>
      <c r="S184">
        <f t="shared" si="57"/>
        <v>0</v>
      </c>
      <c r="T184">
        <f t="shared" si="58"/>
        <v>0</v>
      </c>
      <c r="U184">
        <f t="shared" si="59"/>
        <v>0</v>
      </c>
      <c r="V184">
        <f t="shared" si="60"/>
        <v>0</v>
      </c>
      <c r="W184">
        <f t="shared" si="61"/>
        <v>0</v>
      </c>
      <c r="X184">
        <f t="shared" si="62"/>
        <v>1</v>
      </c>
      <c r="Y184">
        <f t="shared" si="63"/>
        <v>0</v>
      </c>
      <c r="Z184">
        <f t="shared" si="64"/>
        <v>0</v>
      </c>
      <c r="AA184">
        <f t="shared" si="65"/>
        <v>0</v>
      </c>
      <c r="AB184">
        <f t="shared" si="66"/>
        <v>0</v>
      </c>
      <c r="AC184">
        <f t="shared" si="67"/>
        <v>0</v>
      </c>
      <c r="AD184">
        <f t="shared" si="68"/>
        <v>0</v>
      </c>
      <c r="AE184">
        <f t="shared" si="69"/>
        <v>0</v>
      </c>
      <c r="AF184">
        <f t="shared" si="70"/>
        <v>0</v>
      </c>
      <c r="AG184">
        <f t="shared" si="71"/>
        <v>0</v>
      </c>
      <c r="AH184">
        <f t="shared" si="72"/>
        <v>0</v>
      </c>
      <c r="AI184">
        <f t="shared" si="73"/>
        <v>0</v>
      </c>
      <c r="AJ184">
        <f t="shared" si="74"/>
        <v>1</v>
      </c>
      <c r="AK184">
        <f t="shared" si="75"/>
        <v>1</v>
      </c>
      <c r="AL184">
        <f t="shared" si="76"/>
        <v>0</v>
      </c>
      <c r="AM184">
        <f t="shared" si="77"/>
        <v>0</v>
      </c>
      <c r="AN184">
        <f t="shared" si="78"/>
        <v>1</v>
      </c>
      <c r="AO184">
        <f t="shared" si="79"/>
        <v>0</v>
      </c>
      <c r="AP184">
        <f t="shared" si="80"/>
        <v>0</v>
      </c>
      <c r="AQ184">
        <f t="shared" si="81"/>
        <v>0</v>
      </c>
      <c r="AR184">
        <f t="shared" si="82"/>
        <v>1</v>
      </c>
      <c r="AS184">
        <f t="shared" si="83"/>
        <v>0</v>
      </c>
    </row>
    <row r="185" spans="2:45" x14ac:dyDescent="0.3">
      <c r="B185">
        <v>184</v>
      </c>
      <c r="C185" s="1">
        <v>40727</v>
      </c>
      <c r="D185">
        <v>3</v>
      </c>
      <c r="E185">
        <v>0</v>
      </c>
      <c r="F185">
        <v>7</v>
      </c>
      <c r="G185">
        <v>0</v>
      </c>
      <c r="H185">
        <v>2</v>
      </c>
      <c r="I185">
        <v>2282</v>
      </c>
      <c r="J185">
        <v>2367</v>
      </c>
      <c r="K185" s="8">
        <v>4649</v>
      </c>
      <c r="L185">
        <v>29.383347000000001</v>
      </c>
      <c r="M185">
        <v>33.428750000000001</v>
      </c>
      <c r="N185">
        <v>68.25</v>
      </c>
      <c r="O185">
        <v>15.333486000000001</v>
      </c>
      <c r="P185">
        <v>0</v>
      </c>
      <c r="Q185">
        <v>0</v>
      </c>
      <c r="R185">
        <f t="shared" si="56"/>
        <v>0</v>
      </c>
      <c r="S185">
        <f t="shared" si="57"/>
        <v>0</v>
      </c>
      <c r="T185">
        <f t="shared" si="58"/>
        <v>0</v>
      </c>
      <c r="U185">
        <f t="shared" si="59"/>
        <v>0</v>
      </c>
      <c r="V185">
        <f t="shared" si="60"/>
        <v>0</v>
      </c>
      <c r="W185">
        <f t="shared" si="61"/>
        <v>0</v>
      </c>
      <c r="X185">
        <f t="shared" si="62"/>
        <v>1</v>
      </c>
      <c r="Y185">
        <f t="shared" si="63"/>
        <v>0</v>
      </c>
      <c r="Z185">
        <f t="shared" si="64"/>
        <v>0</v>
      </c>
      <c r="AA185">
        <f t="shared" si="65"/>
        <v>0</v>
      </c>
      <c r="AB185">
        <f t="shared" si="66"/>
        <v>0</v>
      </c>
      <c r="AC185">
        <f t="shared" si="67"/>
        <v>0</v>
      </c>
      <c r="AD185">
        <f t="shared" si="68"/>
        <v>1</v>
      </c>
      <c r="AE185">
        <f t="shared" si="69"/>
        <v>0</v>
      </c>
      <c r="AF185">
        <f t="shared" si="70"/>
        <v>0</v>
      </c>
      <c r="AG185">
        <f t="shared" si="71"/>
        <v>0</v>
      </c>
      <c r="AH185">
        <f t="shared" si="72"/>
        <v>0</v>
      </c>
      <c r="AI185">
        <f t="shared" si="73"/>
        <v>0</v>
      </c>
      <c r="AJ185">
        <f t="shared" si="74"/>
        <v>0</v>
      </c>
      <c r="AK185">
        <f t="shared" si="75"/>
        <v>0</v>
      </c>
      <c r="AL185">
        <f t="shared" si="76"/>
        <v>1</v>
      </c>
      <c r="AM185">
        <f t="shared" si="77"/>
        <v>0</v>
      </c>
      <c r="AN185">
        <f t="shared" si="78"/>
        <v>1</v>
      </c>
      <c r="AO185">
        <f t="shared" si="79"/>
        <v>0</v>
      </c>
      <c r="AP185">
        <f t="shared" si="80"/>
        <v>0</v>
      </c>
      <c r="AQ185">
        <f t="shared" si="81"/>
        <v>0</v>
      </c>
      <c r="AR185">
        <f t="shared" si="82"/>
        <v>1</v>
      </c>
      <c r="AS185">
        <f t="shared" si="83"/>
        <v>0</v>
      </c>
    </row>
    <row r="186" spans="2:45" x14ac:dyDescent="0.3">
      <c r="B186">
        <v>185</v>
      </c>
      <c r="C186" s="1">
        <v>40728</v>
      </c>
      <c r="D186">
        <v>3</v>
      </c>
      <c r="E186">
        <v>0</v>
      </c>
      <c r="F186">
        <v>7</v>
      </c>
      <c r="G186">
        <v>1</v>
      </c>
      <c r="H186">
        <v>2</v>
      </c>
      <c r="I186">
        <v>3065</v>
      </c>
      <c r="J186">
        <v>2978</v>
      </c>
      <c r="K186" s="8">
        <v>6043</v>
      </c>
      <c r="L186">
        <v>29.793347000000001</v>
      </c>
      <c r="M186">
        <v>33.270850000000003</v>
      </c>
      <c r="N186">
        <v>63.791699999999999</v>
      </c>
      <c r="O186">
        <v>5.4591063999999996</v>
      </c>
      <c r="P186">
        <v>1</v>
      </c>
      <c r="Q186">
        <v>0</v>
      </c>
      <c r="R186">
        <f t="shared" si="56"/>
        <v>0</v>
      </c>
      <c r="S186">
        <f t="shared" si="57"/>
        <v>0</v>
      </c>
      <c r="T186">
        <f t="shared" si="58"/>
        <v>0</v>
      </c>
      <c r="U186">
        <f t="shared" si="59"/>
        <v>0</v>
      </c>
      <c r="V186">
        <f t="shared" si="60"/>
        <v>0</v>
      </c>
      <c r="W186">
        <f t="shared" si="61"/>
        <v>0</v>
      </c>
      <c r="X186">
        <f t="shared" si="62"/>
        <v>1</v>
      </c>
      <c r="Y186">
        <f t="shared" si="63"/>
        <v>0</v>
      </c>
      <c r="Z186">
        <f t="shared" si="64"/>
        <v>0</v>
      </c>
      <c r="AA186">
        <f t="shared" si="65"/>
        <v>0</v>
      </c>
      <c r="AB186">
        <f t="shared" si="66"/>
        <v>0</v>
      </c>
      <c r="AC186">
        <f t="shared" si="67"/>
        <v>0</v>
      </c>
      <c r="AD186">
        <f t="shared" si="68"/>
        <v>0</v>
      </c>
      <c r="AE186">
        <f t="shared" si="69"/>
        <v>1</v>
      </c>
      <c r="AF186">
        <f t="shared" si="70"/>
        <v>0</v>
      </c>
      <c r="AG186">
        <f t="shared" si="71"/>
        <v>0</v>
      </c>
      <c r="AH186">
        <f t="shared" si="72"/>
        <v>0</v>
      </c>
      <c r="AI186">
        <f t="shared" si="73"/>
        <v>0</v>
      </c>
      <c r="AJ186">
        <f t="shared" si="74"/>
        <v>0</v>
      </c>
      <c r="AK186">
        <f t="shared" si="75"/>
        <v>0</v>
      </c>
      <c r="AL186">
        <f t="shared" si="76"/>
        <v>1</v>
      </c>
      <c r="AM186">
        <f t="shared" si="77"/>
        <v>0</v>
      </c>
      <c r="AN186">
        <f t="shared" si="78"/>
        <v>1</v>
      </c>
      <c r="AO186">
        <f t="shared" si="79"/>
        <v>0</v>
      </c>
      <c r="AP186">
        <f t="shared" si="80"/>
        <v>0</v>
      </c>
      <c r="AQ186">
        <f t="shared" si="81"/>
        <v>0</v>
      </c>
      <c r="AR186">
        <f t="shared" si="82"/>
        <v>1</v>
      </c>
      <c r="AS186">
        <f t="shared" si="83"/>
        <v>0</v>
      </c>
    </row>
    <row r="187" spans="2:45" x14ac:dyDescent="0.3">
      <c r="B187">
        <v>186</v>
      </c>
      <c r="C187" s="1">
        <v>40729</v>
      </c>
      <c r="D187">
        <v>3</v>
      </c>
      <c r="E187">
        <v>0</v>
      </c>
      <c r="F187">
        <v>7</v>
      </c>
      <c r="G187">
        <v>2</v>
      </c>
      <c r="H187">
        <v>1</v>
      </c>
      <c r="I187">
        <v>1031</v>
      </c>
      <c r="J187">
        <v>3634</v>
      </c>
      <c r="K187" s="8">
        <v>4665</v>
      </c>
      <c r="L187">
        <v>30.613347000000001</v>
      </c>
      <c r="M187">
        <v>34.816899999999997</v>
      </c>
      <c r="N187">
        <v>59.041699999999999</v>
      </c>
      <c r="O187">
        <v>8.4592860000000005</v>
      </c>
      <c r="P187">
        <v>0</v>
      </c>
      <c r="Q187">
        <v>1</v>
      </c>
      <c r="R187">
        <f t="shared" si="56"/>
        <v>0</v>
      </c>
      <c r="S187">
        <f t="shared" si="57"/>
        <v>0</v>
      </c>
      <c r="T187">
        <f t="shared" si="58"/>
        <v>0</v>
      </c>
      <c r="U187">
        <f t="shared" si="59"/>
        <v>0</v>
      </c>
      <c r="V187">
        <f t="shared" si="60"/>
        <v>0</v>
      </c>
      <c r="W187">
        <f t="shared" si="61"/>
        <v>0</v>
      </c>
      <c r="X187">
        <f t="shared" si="62"/>
        <v>1</v>
      </c>
      <c r="Y187">
        <f t="shared" si="63"/>
        <v>0</v>
      </c>
      <c r="Z187">
        <f t="shared" si="64"/>
        <v>0</v>
      </c>
      <c r="AA187">
        <f t="shared" si="65"/>
        <v>0</v>
      </c>
      <c r="AB187">
        <f t="shared" si="66"/>
        <v>0</v>
      </c>
      <c r="AC187">
        <f t="shared" si="67"/>
        <v>0</v>
      </c>
      <c r="AD187">
        <f t="shared" si="68"/>
        <v>0</v>
      </c>
      <c r="AE187">
        <f t="shared" si="69"/>
        <v>0</v>
      </c>
      <c r="AF187">
        <f t="shared" si="70"/>
        <v>1</v>
      </c>
      <c r="AG187">
        <f t="shared" si="71"/>
        <v>0</v>
      </c>
      <c r="AH187">
        <f t="shared" si="72"/>
        <v>0</v>
      </c>
      <c r="AI187">
        <f t="shared" si="73"/>
        <v>0</v>
      </c>
      <c r="AJ187">
        <f t="shared" si="74"/>
        <v>0</v>
      </c>
      <c r="AK187">
        <f t="shared" si="75"/>
        <v>1</v>
      </c>
      <c r="AL187">
        <f t="shared" si="76"/>
        <v>0</v>
      </c>
      <c r="AM187">
        <f t="shared" si="77"/>
        <v>0</v>
      </c>
      <c r="AN187">
        <f t="shared" si="78"/>
        <v>1</v>
      </c>
      <c r="AO187">
        <f t="shared" si="79"/>
        <v>0</v>
      </c>
      <c r="AP187">
        <f t="shared" si="80"/>
        <v>0</v>
      </c>
      <c r="AQ187">
        <f t="shared" si="81"/>
        <v>0</v>
      </c>
      <c r="AR187">
        <f t="shared" si="82"/>
        <v>1</v>
      </c>
      <c r="AS187">
        <f t="shared" si="83"/>
        <v>0</v>
      </c>
    </row>
    <row r="188" spans="2:45" x14ac:dyDescent="0.3">
      <c r="B188">
        <v>187</v>
      </c>
      <c r="C188" s="1">
        <v>40730</v>
      </c>
      <c r="D188">
        <v>3</v>
      </c>
      <c r="E188">
        <v>0</v>
      </c>
      <c r="F188">
        <v>7</v>
      </c>
      <c r="G188">
        <v>3</v>
      </c>
      <c r="H188">
        <v>1</v>
      </c>
      <c r="I188">
        <v>784</v>
      </c>
      <c r="J188">
        <v>3845</v>
      </c>
      <c r="K188" s="8">
        <v>4629</v>
      </c>
      <c r="L188">
        <v>29.52</v>
      </c>
      <c r="M188">
        <v>34.281649999999999</v>
      </c>
      <c r="N188">
        <v>74.333299999999994</v>
      </c>
      <c r="O188">
        <v>10.042161</v>
      </c>
      <c r="P188">
        <v>0</v>
      </c>
      <c r="Q188">
        <v>1</v>
      </c>
      <c r="R188">
        <f t="shared" si="56"/>
        <v>0</v>
      </c>
      <c r="S188">
        <f t="shared" si="57"/>
        <v>0</v>
      </c>
      <c r="T188">
        <f t="shared" si="58"/>
        <v>0</v>
      </c>
      <c r="U188">
        <f t="shared" si="59"/>
        <v>0</v>
      </c>
      <c r="V188">
        <f t="shared" si="60"/>
        <v>0</v>
      </c>
      <c r="W188">
        <f t="shared" si="61"/>
        <v>0</v>
      </c>
      <c r="X188">
        <f t="shared" si="62"/>
        <v>1</v>
      </c>
      <c r="Y188">
        <f t="shared" si="63"/>
        <v>0</v>
      </c>
      <c r="Z188">
        <f t="shared" si="64"/>
        <v>0</v>
      </c>
      <c r="AA188">
        <f t="shared" si="65"/>
        <v>0</v>
      </c>
      <c r="AB188">
        <f t="shared" si="66"/>
        <v>0</v>
      </c>
      <c r="AC188">
        <f t="shared" si="67"/>
        <v>0</v>
      </c>
      <c r="AD188">
        <f t="shared" si="68"/>
        <v>0</v>
      </c>
      <c r="AE188">
        <f t="shared" si="69"/>
        <v>0</v>
      </c>
      <c r="AF188">
        <f t="shared" si="70"/>
        <v>0</v>
      </c>
      <c r="AG188">
        <f t="shared" si="71"/>
        <v>1</v>
      </c>
      <c r="AH188">
        <f t="shared" si="72"/>
        <v>0</v>
      </c>
      <c r="AI188">
        <f t="shared" si="73"/>
        <v>0</v>
      </c>
      <c r="AJ188">
        <f t="shared" si="74"/>
        <v>0</v>
      </c>
      <c r="AK188">
        <f t="shared" si="75"/>
        <v>1</v>
      </c>
      <c r="AL188">
        <f t="shared" si="76"/>
        <v>0</v>
      </c>
      <c r="AM188">
        <f t="shared" si="77"/>
        <v>0</v>
      </c>
      <c r="AN188">
        <f t="shared" si="78"/>
        <v>1</v>
      </c>
      <c r="AO188">
        <f t="shared" si="79"/>
        <v>0</v>
      </c>
      <c r="AP188">
        <f t="shared" si="80"/>
        <v>0</v>
      </c>
      <c r="AQ188">
        <f t="shared" si="81"/>
        <v>0</v>
      </c>
      <c r="AR188">
        <f t="shared" si="82"/>
        <v>1</v>
      </c>
      <c r="AS188">
        <f t="shared" si="83"/>
        <v>0</v>
      </c>
    </row>
    <row r="189" spans="2:45" x14ac:dyDescent="0.3">
      <c r="B189">
        <v>188</v>
      </c>
      <c r="C189" s="1">
        <v>40731</v>
      </c>
      <c r="D189">
        <v>3</v>
      </c>
      <c r="E189">
        <v>0</v>
      </c>
      <c r="F189">
        <v>7</v>
      </c>
      <c r="G189">
        <v>4</v>
      </c>
      <c r="H189">
        <v>1</v>
      </c>
      <c r="I189">
        <v>754</v>
      </c>
      <c r="J189">
        <v>3838</v>
      </c>
      <c r="K189" s="8">
        <v>4592</v>
      </c>
      <c r="L189">
        <v>30.75</v>
      </c>
      <c r="M189">
        <v>34.34355</v>
      </c>
      <c r="N189">
        <v>65.125</v>
      </c>
      <c r="O189">
        <v>10.666399999999999</v>
      </c>
      <c r="P189">
        <v>0</v>
      </c>
      <c r="Q189">
        <v>1</v>
      </c>
      <c r="R189">
        <f t="shared" si="56"/>
        <v>0</v>
      </c>
      <c r="S189">
        <f t="shared" si="57"/>
        <v>0</v>
      </c>
      <c r="T189">
        <f t="shared" si="58"/>
        <v>0</v>
      </c>
      <c r="U189">
        <f t="shared" si="59"/>
        <v>0</v>
      </c>
      <c r="V189">
        <f t="shared" si="60"/>
        <v>0</v>
      </c>
      <c r="W189">
        <f t="shared" si="61"/>
        <v>0</v>
      </c>
      <c r="X189">
        <f t="shared" si="62"/>
        <v>1</v>
      </c>
      <c r="Y189">
        <f t="shared" si="63"/>
        <v>0</v>
      </c>
      <c r="Z189">
        <f t="shared" si="64"/>
        <v>0</v>
      </c>
      <c r="AA189">
        <f t="shared" si="65"/>
        <v>0</v>
      </c>
      <c r="AB189">
        <f t="shared" si="66"/>
        <v>0</v>
      </c>
      <c r="AC189">
        <f t="shared" si="67"/>
        <v>0</v>
      </c>
      <c r="AD189">
        <f t="shared" si="68"/>
        <v>0</v>
      </c>
      <c r="AE189">
        <f t="shared" si="69"/>
        <v>0</v>
      </c>
      <c r="AF189">
        <f t="shared" si="70"/>
        <v>0</v>
      </c>
      <c r="AG189">
        <f t="shared" si="71"/>
        <v>0</v>
      </c>
      <c r="AH189">
        <f t="shared" si="72"/>
        <v>1</v>
      </c>
      <c r="AI189">
        <f t="shared" si="73"/>
        <v>0</v>
      </c>
      <c r="AJ189">
        <f t="shared" si="74"/>
        <v>0</v>
      </c>
      <c r="AK189">
        <f t="shared" si="75"/>
        <v>1</v>
      </c>
      <c r="AL189">
        <f t="shared" si="76"/>
        <v>0</v>
      </c>
      <c r="AM189">
        <f t="shared" si="77"/>
        <v>0</v>
      </c>
      <c r="AN189">
        <f t="shared" si="78"/>
        <v>1</v>
      </c>
      <c r="AO189">
        <f t="shared" si="79"/>
        <v>0</v>
      </c>
      <c r="AP189">
        <f t="shared" si="80"/>
        <v>0</v>
      </c>
      <c r="AQ189">
        <f t="shared" si="81"/>
        <v>0</v>
      </c>
      <c r="AR189">
        <f t="shared" si="82"/>
        <v>1</v>
      </c>
      <c r="AS189">
        <f t="shared" si="83"/>
        <v>0</v>
      </c>
    </row>
    <row r="190" spans="2:45" x14ac:dyDescent="0.3">
      <c r="B190">
        <v>189</v>
      </c>
      <c r="C190" s="1">
        <v>40732</v>
      </c>
      <c r="D190">
        <v>3</v>
      </c>
      <c r="E190">
        <v>0</v>
      </c>
      <c r="F190">
        <v>7</v>
      </c>
      <c r="G190">
        <v>5</v>
      </c>
      <c r="H190">
        <v>2</v>
      </c>
      <c r="I190">
        <v>692</v>
      </c>
      <c r="J190">
        <v>3348</v>
      </c>
      <c r="K190" s="8">
        <v>4040</v>
      </c>
      <c r="L190">
        <v>29.075847</v>
      </c>
      <c r="M190">
        <v>33.524149999999999</v>
      </c>
      <c r="N190">
        <v>75.791700000000006</v>
      </c>
      <c r="O190">
        <v>15.083643</v>
      </c>
      <c r="P190">
        <v>0</v>
      </c>
      <c r="Q190">
        <v>1</v>
      </c>
      <c r="R190">
        <f t="shared" si="56"/>
        <v>0</v>
      </c>
      <c r="S190">
        <f t="shared" si="57"/>
        <v>0</v>
      </c>
      <c r="T190">
        <f t="shared" si="58"/>
        <v>0</v>
      </c>
      <c r="U190">
        <f t="shared" si="59"/>
        <v>0</v>
      </c>
      <c r="V190">
        <f t="shared" si="60"/>
        <v>0</v>
      </c>
      <c r="W190">
        <f t="shared" si="61"/>
        <v>0</v>
      </c>
      <c r="X190">
        <f t="shared" si="62"/>
        <v>1</v>
      </c>
      <c r="Y190">
        <f t="shared" si="63"/>
        <v>0</v>
      </c>
      <c r="Z190">
        <f t="shared" si="64"/>
        <v>0</v>
      </c>
      <c r="AA190">
        <f t="shared" si="65"/>
        <v>0</v>
      </c>
      <c r="AB190">
        <f t="shared" si="66"/>
        <v>0</v>
      </c>
      <c r="AC190">
        <f t="shared" si="67"/>
        <v>0</v>
      </c>
      <c r="AD190">
        <f t="shared" si="68"/>
        <v>0</v>
      </c>
      <c r="AE190">
        <f t="shared" si="69"/>
        <v>0</v>
      </c>
      <c r="AF190">
        <f t="shared" si="70"/>
        <v>0</v>
      </c>
      <c r="AG190">
        <f t="shared" si="71"/>
        <v>0</v>
      </c>
      <c r="AH190">
        <f t="shared" si="72"/>
        <v>0</v>
      </c>
      <c r="AI190">
        <f t="shared" si="73"/>
        <v>1</v>
      </c>
      <c r="AJ190">
        <f t="shared" si="74"/>
        <v>0</v>
      </c>
      <c r="AK190">
        <f t="shared" si="75"/>
        <v>0</v>
      </c>
      <c r="AL190">
        <f t="shared" si="76"/>
        <v>1</v>
      </c>
      <c r="AM190">
        <f t="shared" si="77"/>
        <v>0</v>
      </c>
      <c r="AN190">
        <f t="shared" si="78"/>
        <v>1</v>
      </c>
      <c r="AO190">
        <f t="shared" si="79"/>
        <v>0</v>
      </c>
      <c r="AP190">
        <f t="shared" si="80"/>
        <v>0</v>
      </c>
      <c r="AQ190">
        <f t="shared" si="81"/>
        <v>0</v>
      </c>
      <c r="AR190">
        <f t="shared" si="82"/>
        <v>1</v>
      </c>
      <c r="AS190">
        <f t="shared" si="83"/>
        <v>0</v>
      </c>
    </row>
    <row r="191" spans="2:45" x14ac:dyDescent="0.3">
      <c r="B191">
        <v>190</v>
      </c>
      <c r="C191" s="1">
        <v>40733</v>
      </c>
      <c r="D191">
        <v>3</v>
      </c>
      <c r="E191">
        <v>0</v>
      </c>
      <c r="F191">
        <v>7</v>
      </c>
      <c r="G191">
        <v>6</v>
      </c>
      <c r="H191">
        <v>1</v>
      </c>
      <c r="I191">
        <v>1988</v>
      </c>
      <c r="J191">
        <v>3348</v>
      </c>
      <c r="K191" s="8">
        <v>5336</v>
      </c>
      <c r="L191">
        <v>30.066652999999999</v>
      </c>
      <c r="M191">
        <v>33.207900000000002</v>
      </c>
      <c r="N191">
        <v>60.916699999999999</v>
      </c>
      <c r="O191">
        <v>11.250104</v>
      </c>
      <c r="P191">
        <v>0</v>
      </c>
      <c r="Q191">
        <v>0</v>
      </c>
      <c r="R191">
        <f t="shared" si="56"/>
        <v>0</v>
      </c>
      <c r="S191">
        <f t="shared" si="57"/>
        <v>0</v>
      </c>
      <c r="T191">
        <f t="shared" si="58"/>
        <v>0</v>
      </c>
      <c r="U191">
        <f t="shared" si="59"/>
        <v>0</v>
      </c>
      <c r="V191">
        <f t="shared" si="60"/>
        <v>0</v>
      </c>
      <c r="W191">
        <f t="shared" si="61"/>
        <v>0</v>
      </c>
      <c r="X191">
        <f t="shared" si="62"/>
        <v>1</v>
      </c>
      <c r="Y191">
        <f t="shared" si="63"/>
        <v>0</v>
      </c>
      <c r="Z191">
        <f t="shared" si="64"/>
        <v>0</v>
      </c>
      <c r="AA191">
        <f t="shared" si="65"/>
        <v>0</v>
      </c>
      <c r="AB191">
        <f t="shared" si="66"/>
        <v>0</v>
      </c>
      <c r="AC191">
        <f t="shared" si="67"/>
        <v>0</v>
      </c>
      <c r="AD191">
        <f t="shared" si="68"/>
        <v>0</v>
      </c>
      <c r="AE191">
        <f t="shared" si="69"/>
        <v>0</v>
      </c>
      <c r="AF191">
        <f t="shared" si="70"/>
        <v>0</v>
      </c>
      <c r="AG191">
        <f t="shared" si="71"/>
        <v>0</v>
      </c>
      <c r="AH191">
        <f t="shared" si="72"/>
        <v>0</v>
      </c>
      <c r="AI191">
        <f t="shared" si="73"/>
        <v>0</v>
      </c>
      <c r="AJ191">
        <f t="shared" si="74"/>
        <v>1</v>
      </c>
      <c r="AK191">
        <f t="shared" si="75"/>
        <v>1</v>
      </c>
      <c r="AL191">
        <f t="shared" si="76"/>
        <v>0</v>
      </c>
      <c r="AM191">
        <f t="shared" si="77"/>
        <v>0</v>
      </c>
      <c r="AN191">
        <f t="shared" si="78"/>
        <v>1</v>
      </c>
      <c r="AO191">
        <f t="shared" si="79"/>
        <v>0</v>
      </c>
      <c r="AP191">
        <f t="shared" si="80"/>
        <v>0</v>
      </c>
      <c r="AQ191">
        <f t="shared" si="81"/>
        <v>0</v>
      </c>
      <c r="AR191">
        <f t="shared" si="82"/>
        <v>1</v>
      </c>
      <c r="AS191">
        <f t="shared" si="83"/>
        <v>0</v>
      </c>
    </row>
    <row r="192" spans="2:45" x14ac:dyDescent="0.3">
      <c r="B192">
        <v>191</v>
      </c>
      <c r="C192" s="1">
        <v>40734</v>
      </c>
      <c r="D192">
        <v>3</v>
      </c>
      <c r="E192">
        <v>0</v>
      </c>
      <c r="F192">
        <v>7</v>
      </c>
      <c r="G192">
        <v>0</v>
      </c>
      <c r="H192">
        <v>1</v>
      </c>
      <c r="I192">
        <v>1743</v>
      </c>
      <c r="J192">
        <v>3138</v>
      </c>
      <c r="K192" s="8">
        <v>4881</v>
      </c>
      <c r="L192">
        <v>30.647500000000001</v>
      </c>
      <c r="M192">
        <v>34.501249999999999</v>
      </c>
      <c r="N192">
        <v>57.833300000000001</v>
      </c>
      <c r="O192">
        <v>12.292557</v>
      </c>
      <c r="P192">
        <v>0</v>
      </c>
      <c r="Q192">
        <v>0</v>
      </c>
      <c r="R192">
        <f t="shared" si="56"/>
        <v>0</v>
      </c>
      <c r="S192">
        <f t="shared" si="57"/>
        <v>0</v>
      </c>
      <c r="T192">
        <f t="shared" si="58"/>
        <v>0</v>
      </c>
      <c r="U192">
        <f t="shared" si="59"/>
        <v>0</v>
      </c>
      <c r="V192">
        <f t="shared" si="60"/>
        <v>0</v>
      </c>
      <c r="W192">
        <f t="shared" si="61"/>
        <v>0</v>
      </c>
      <c r="X192">
        <f t="shared" si="62"/>
        <v>1</v>
      </c>
      <c r="Y192">
        <f t="shared" si="63"/>
        <v>0</v>
      </c>
      <c r="Z192">
        <f t="shared" si="64"/>
        <v>0</v>
      </c>
      <c r="AA192">
        <f t="shared" si="65"/>
        <v>0</v>
      </c>
      <c r="AB192">
        <f t="shared" si="66"/>
        <v>0</v>
      </c>
      <c r="AC192">
        <f t="shared" si="67"/>
        <v>0</v>
      </c>
      <c r="AD192">
        <f t="shared" si="68"/>
        <v>1</v>
      </c>
      <c r="AE192">
        <f t="shared" si="69"/>
        <v>0</v>
      </c>
      <c r="AF192">
        <f t="shared" si="70"/>
        <v>0</v>
      </c>
      <c r="AG192">
        <f t="shared" si="71"/>
        <v>0</v>
      </c>
      <c r="AH192">
        <f t="shared" si="72"/>
        <v>0</v>
      </c>
      <c r="AI192">
        <f t="shared" si="73"/>
        <v>0</v>
      </c>
      <c r="AJ192">
        <f t="shared" si="74"/>
        <v>0</v>
      </c>
      <c r="AK192">
        <f t="shared" si="75"/>
        <v>1</v>
      </c>
      <c r="AL192">
        <f t="shared" si="76"/>
        <v>0</v>
      </c>
      <c r="AM192">
        <f t="shared" si="77"/>
        <v>0</v>
      </c>
      <c r="AN192">
        <f t="shared" si="78"/>
        <v>1</v>
      </c>
      <c r="AO192">
        <f t="shared" si="79"/>
        <v>0</v>
      </c>
      <c r="AP192">
        <f t="shared" si="80"/>
        <v>0</v>
      </c>
      <c r="AQ192">
        <f t="shared" si="81"/>
        <v>0</v>
      </c>
      <c r="AR192">
        <f t="shared" si="82"/>
        <v>1</v>
      </c>
      <c r="AS192">
        <f t="shared" si="83"/>
        <v>0</v>
      </c>
    </row>
    <row r="193" spans="2:45" x14ac:dyDescent="0.3">
      <c r="B193">
        <v>192</v>
      </c>
      <c r="C193" s="1">
        <v>40735</v>
      </c>
      <c r="D193">
        <v>3</v>
      </c>
      <c r="E193">
        <v>0</v>
      </c>
      <c r="F193">
        <v>7</v>
      </c>
      <c r="G193">
        <v>1</v>
      </c>
      <c r="H193">
        <v>1</v>
      </c>
      <c r="I193">
        <v>723</v>
      </c>
      <c r="J193">
        <v>3363</v>
      </c>
      <c r="K193" s="8">
        <v>4086</v>
      </c>
      <c r="L193">
        <v>31.262499999999999</v>
      </c>
      <c r="M193">
        <v>36.490200000000002</v>
      </c>
      <c r="N193">
        <v>63.583300000000001</v>
      </c>
      <c r="O193">
        <v>18.916578999999999</v>
      </c>
      <c r="P193">
        <v>0</v>
      </c>
      <c r="Q193">
        <v>1</v>
      </c>
      <c r="R193">
        <f t="shared" si="56"/>
        <v>0</v>
      </c>
      <c r="S193">
        <f t="shared" si="57"/>
        <v>0</v>
      </c>
      <c r="T193">
        <f t="shared" si="58"/>
        <v>0</v>
      </c>
      <c r="U193">
        <f t="shared" si="59"/>
        <v>0</v>
      </c>
      <c r="V193">
        <f t="shared" si="60"/>
        <v>0</v>
      </c>
      <c r="W193">
        <f t="shared" si="61"/>
        <v>0</v>
      </c>
      <c r="X193">
        <f t="shared" si="62"/>
        <v>1</v>
      </c>
      <c r="Y193">
        <f t="shared" si="63"/>
        <v>0</v>
      </c>
      <c r="Z193">
        <f t="shared" si="64"/>
        <v>0</v>
      </c>
      <c r="AA193">
        <f t="shared" si="65"/>
        <v>0</v>
      </c>
      <c r="AB193">
        <f t="shared" si="66"/>
        <v>0</v>
      </c>
      <c r="AC193">
        <f t="shared" si="67"/>
        <v>0</v>
      </c>
      <c r="AD193">
        <f t="shared" si="68"/>
        <v>0</v>
      </c>
      <c r="AE193">
        <f t="shared" si="69"/>
        <v>1</v>
      </c>
      <c r="AF193">
        <f t="shared" si="70"/>
        <v>0</v>
      </c>
      <c r="AG193">
        <f t="shared" si="71"/>
        <v>0</v>
      </c>
      <c r="AH193">
        <f t="shared" si="72"/>
        <v>0</v>
      </c>
      <c r="AI193">
        <f t="shared" si="73"/>
        <v>0</v>
      </c>
      <c r="AJ193">
        <f t="shared" si="74"/>
        <v>0</v>
      </c>
      <c r="AK193">
        <f t="shared" si="75"/>
        <v>1</v>
      </c>
      <c r="AL193">
        <f t="shared" si="76"/>
        <v>0</v>
      </c>
      <c r="AM193">
        <f t="shared" si="77"/>
        <v>0</v>
      </c>
      <c r="AN193">
        <f t="shared" si="78"/>
        <v>1</v>
      </c>
      <c r="AO193">
        <f t="shared" si="79"/>
        <v>0</v>
      </c>
      <c r="AP193">
        <f t="shared" si="80"/>
        <v>0</v>
      </c>
      <c r="AQ193">
        <f t="shared" si="81"/>
        <v>0</v>
      </c>
      <c r="AR193">
        <f t="shared" si="82"/>
        <v>1</v>
      </c>
      <c r="AS193">
        <f t="shared" si="83"/>
        <v>0</v>
      </c>
    </row>
    <row r="194" spans="2:45" x14ac:dyDescent="0.3">
      <c r="B194">
        <v>193</v>
      </c>
      <c r="C194" s="1">
        <v>40736</v>
      </c>
      <c r="D194">
        <v>3</v>
      </c>
      <c r="E194">
        <v>0</v>
      </c>
      <c r="F194">
        <v>7</v>
      </c>
      <c r="G194">
        <v>2</v>
      </c>
      <c r="H194">
        <v>1</v>
      </c>
      <c r="I194">
        <v>662</v>
      </c>
      <c r="J194">
        <v>3596</v>
      </c>
      <c r="K194" s="8">
        <v>4258</v>
      </c>
      <c r="L194">
        <v>32.560847000000003</v>
      </c>
      <c r="M194">
        <v>36.963749999999997</v>
      </c>
      <c r="N194">
        <v>55.916699999999999</v>
      </c>
      <c r="O194">
        <v>13.417018000000001</v>
      </c>
      <c r="P194">
        <v>0</v>
      </c>
      <c r="Q194">
        <v>1</v>
      </c>
      <c r="R194">
        <f t="shared" si="56"/>
        <v>0</v>
      </c>
      <c r="S194">
        <f t="shared" si="57"/>
        <v>0</v>
      </c>
      <c r="T194">
        <f t="shared" si="58"/>
        <v>0</v>
      </c>
      <c r="U194">
        <f t="shared" si="59"/>
        <v>0</v>
      </c>
      <c r="V194">
        <f t="shared" si="60"/>
        <v>0</v>
      </c>
      <c r="W194">
        <f t="shared" si="61"/>
        <v>0</v>
      </c>
      <c r="X194">
        <f t="shared" si="62"/>
        <v>1</v>
      </c>
      <c r="Y194">
        <f t="shared" si="63"/>
        <v>0</v>
      </c>
      <c r="Z194">
        <f t="shared" si="64"/>
        <v>0</v>
      </c>
      <c r="AA194">
        <f t="shared" si="65"/>
        <v>0</v>
      </c>
      <c r="AB194">
        <f t="shared" si="66"/>
        <v>0</v>
      </c>
      <c r="AC194">
        <f t="shared" si="67"/>
        <v>0</v>
      </c>
      <c r="AD194">
        <f t="shared" si="68"/>
        <v>0</v>
      </c>
      <c r="AE194">
        <f t="shared" si="69"/>
        <v>0</v>
      </c>
      <c r="AF194">
        <f t="shared" si="70"/>
        <v>1</v>
      </c>
      <c r="AG194">
        <f t="shared" si="71"/>
        <v>0</v>
      </c>
      <c r="AH194">
        <f t="shared" si="72"/>
        <v>0</v>
      </c>
      <c r="AI194">
        <f t="shared" si="73"/>
        <v>0</v>
      </c>
      <c r="AJ194">
        <f t="shared" si="74"/>
        <v>0</v>
      </c>
      <c r="AK194">
        <f t="shared" si="75"/>
        <v>1</v>
      </c>
      <c r="AL194">
        <f t="shared" si="76"/>
        <v>0</v>
      </c>
      <c r="AM194">
        <f t="shared" si="77"/>
        <v>0</v>
      </c>
      <c r="AN194">
        <f t="shared" si="78"/>
        <v>1</v>
      </c>
      <c r="AO194">
        <f t="shared" si="79"/>
        <v>0</v>
      </c>
      <c r="AP194">
        <f t="shared" si="80"/>
        <v>0</v>
      </c>
      <c r="AQ194">
        <f t="shared" si="81"/>
        <v>0</v>
      </c>
      <c r="AR194">
        <f t="shared" si="82"/>
        <v>1</v>
      </c>
      <c r="AS194">
        <f t="shared" si="83"/>
        <v>0</v>
      </c>
    </row>
    <row r="195" spans="2:45" x14ac:dyDescent="0.3">
      <c r="B195">
        <v>194</v>
      </c>
      <c r="C195" s="1">
        <v>40737</v>
      </c>
      <c r="D195">
        <v>3</v>
      </c>
      <c r="E195">
        <v>0</v>
      </c>
      <c r="F195">
        <v>7</v>
      </c>
      <c r="G195">
        <v>3</v>
      </c>
      <c r="H195">
        <v>1</v>
      </c>
      <c r="I195">
        <v>748</v>
      </c>
      <c r="J195">
        <v>3594</v>
      </c>
      <c r="K195" s="8">
        <v>4342</v>
      </c>
      <c r="L195">
        <v>30.613347000000001</v>
      </c>
      <c r="M195">
        <v>34.470199999999998</v>
      </c>
      <c r="N195">
        <v>63.166699999999999</v>
      </c>
      <c r="O195">
        <v>9.7909109999999995</v>
      </c>
      <c r="P195">
        <v>0</v>
      </c>
      <c r="Q195">
        <v>1</v>
      </c>
      <c r="R195">
        <f t="shared" ref="R195:R258" si="84">IF($F195=1,1,0)</f>
        <v>0</v>
      </c>
      <c r="S195">
        <f t="shared" ref="S195:S258" si="85">IF($F195=2,1,0)</f>
        <v>0</v>
      </c>
      <c r="T195">
        <f t="shared" ref="T195:T258" si="86">IF($F195=3,1,0)</f>
        <v>0</v>
      </c>
      <c r="U195">
        <f t="shared" ref="U195:U258" si="87">IF($F195=4,1,0)</f>
        <v>0</v>
      </c>
      <c r="V195">
        <f t="shared" ref="V195:V258" si="88">IF($F195=5,1,0)</f>
        <v>0</v>
      </c>
      <c r="W195">
        <f t="shared" ref="W195:W258" si="89">IF($F195=6,1,0)</f>
        <v>0</v>
      </c>
      <c r="X195">
        <f t="shared" ref="X195:X258" si="90">IF($F195=7,1,0)</f>
        <v>1</v>
      </c>
      <c r="Y195">
        <f t="shared" ref="Y195:Y258" si="91">IF($F195=8,1,0)</f>
        <v>0</v>
      </c>
      <c r="Z195">
        <f t="shared" ref="Z195:Z258" si="92">IF($F195=9,1,0)</f>
        <v>0</v>
      </c>
      <c r="AA195">
        <f t="shared" ref="AA195:AA258" si="93">IF($F195=10,1,0)</f>
        <v>0</v>
      </c>
      <c r="AB195">
        <f t="shared" ref="AB195:AB258" si="94">IF($F195=11,1,0)</f>
        <v>0</v>
      </c>
      <c r="AC195">
        <f t="shared" ref="AC195:AC258" si="95">IF($F195=12,1,0)</f>
        <v>0</v>
      </c>
      <c r="AD195">
        <f t="shared" ref="AD195:AD258" si="96">IF($G195=0,1,0)</f>
        <v>0</v>
      </c>
      <c r="AE195">
        <f t="shared" ref="AE195:AE258" si="97">IF($G195=1,1,0)</f>
        <v>0</v>
      </c>
      <c r="AF195">
        <f t="shared" ref="AF195:AF258" si="98">IF($G195=2,1,0)</f>
        <v>0</v>
      </c>
      <c r="AG195">
        <f t="shared" ref="AG195:AG258" si="99">IF($G195=3,1,0)</f>
        <v>1</v>
      </c>
      <c r="AH195">
        <f t="shared" ref="AH195:AH258" si="100">IF($G195=4,1,0)</f>
        <v>0</v>
      </c>
      <c r="AI195">
        <f t="shared" ref="AI195:AI258" si="101">IF($G195=5,1,0)</f>
        <v>0</v>
      </c>
      <c r="AJ195">
        <f t="shared" ref="AJ195:AJ258" si="102">IF($G195=6,1,0)</f>
        <v>0</v>
      </c>
      <c r="AK195">
        <f t="shared" ref="AK195:AK258" si="103">IF($H195=1,1,0)</f>
        <v>1</v>
      </c>
      <c r="AL195">
        <f t="shared" ref="AL195:AL258" si="104">IF($H195=2,1,0)</f>
        <v>0</v>
      </c>
      <c r="AM195">
        <f t="shared" ref="AM195:AM258" si="105">IF($H195=3,1,0)</f>
        <v>0</v>
      </c>
      <c r="AN195">
        <f t="shared" ref="AN195:AN258" si="106">IF($E195=0,1,0)</f>
        <v>1</v>
      </c>
      <c r="AO195">
        <f t="shared" ref="AO195:AO258" si="107">IF($E195=1,1,0)</f>
        <v>0</v>
      </c>
      <c r="AP195">
        <f t="shared" ref="AP195:AP258" si="108">IF($D195=1,1,0)</f>
        <v>0</v>
      </c>
      <c r="AQ195">
        <f t="shared" ref="AQ195:AQ258" si="109">IF($D195=2,1,0)</f>
        <v>0</v>
      </c>
      <c r="AR195">
        <f t="shared" ref="AR195:AR258" si="110">IF($D195=3,1,0)</f>
        <v>1</v>
      </c>
      <c r="AS195">
        <f t="shared" ref="AS195:AS258" si="111">IF($D195=4,1,0)</f>
        <v>0</v>
      </c>
    </row>
    <row r="196" spans="2:45" x14ac:dyDescent="0.3">
      <c r="B196">
        <v>195</v>
      </c>
      <c r="C196" s="1">
        <v>40738</v>
      </c>
      <c r="D196">
        <v>3</v>
      </c>
      <c r="E196">
        <v>0</v>
      </c>
      <c r="F196">
        <v>7</v>
      </c>
      <c r="G196">
        <v>4</v>
      </c>
      <c r="H196">
        <v>1</v>
      </c>
      <c r="I196">
        <v>888</v>
      </c>
      <c r="J196">
        <v>4196</v>
      </c>
      <c r="K196" s="8">
        <v>5084</v>
      </c>
      <c r="L196">
        <v>27.914152999999999</v>
      </c>
      <c r="M196">
        <v>31.755199999999999</v>
      </c>
      <c r="N196">
        <v>47.625</v>
      </c>
      <c r="O196">
        <v>16.124689</v>
      </c>
      <c r="P196">
        <v>0</v>
      </c>
      <c r="Q196">
        <v>1</v>
      </c>
      <c r="R196">
        <f t="shared" si="84"/>
        <v>0</v>
      </c>
      <c r="S196">
        <f t="shared" si="85"/>
        <v>0</v>
      </c>
      <c r="T196">
        <f t="shared" si="86"/>
        <v>0</v>
      </c>
      <c r="U196">
        <f t="shared" si="87"/>
        <v>0</v>
      </c>
      <c r="V196">
        <f t="shared" si="88"/>
        <v>0</v>
      </c>
      <c r="W196">
        <f t="shared" si="89"/>
        <v>0</v>
      </c>
      <c r="X196">
        <f t="shared" si="90"/>
        <v>1</v>
      </c>
      <c r="Y196">
        <f t="shared" si="91"/>
        <v>0</v>
      </c>
      <c r="Z196">
        <f t="shared" si="92"/>
        <v>0</v>
      </c>
      <c r="AA196">
        <f t="shared" si="93"/>
        <v>0</v>
      </c>
      <c r="AB196">
        <f t="shared" si="94"/>
        <v>0</v>
      </c>
      <c r="AC196">
        <f t="shared" si="95"/>
        <v>0</v>
      </c>
      <c r="AD196">
        <f t="shared" si="96"/>
        <v>0</v>
      </c>
      <c r="AE196">
        <f t="shared" si="97"/>
        <v>0</v>
      </c>
      <c r="AF196">
        <f t="shared" si="98"/>
        <v>0</v>
      </c>
      <c r="AG196">
        <f t="shared" si="99"/>
        <v>0</v>
      </c>
      <c r="AH196">
        <f t="shared" si="100"/>
        <v>1</v>
      </c>
      <c r="AI196">
        <f t="shared" si="101"/>
        <v>0</v>
      </c>
      <c r="AJ196">
        <f t="shared" si="102"/>
        <v>0</v>
      </c>
      <c r="AK196">
        <f t="shared" si="103"/>
        <v>1</v>
      </c>
      <c r="AL196">
        <f t="shared" si="104"/>
        <v>0</v>
      </c>
      <c r="AM196">
        <f t="shared" si="105"/>
        <v>0</v>
      </c>
      <c r="AN196">
        <f t="shared" si="106"/>
        <v>1</v>
      </c>
      <c r="AO196">
        <f t="shared" si="107"/>
        <v>0</v>
      </c>
      <c r="AP196">
        <f t="shared" si="108"/>
        <v>0</v>
      </c>
      <c r="AQ196">
        <f t="shared" si="109"/>
        <v>0</v>
      </c>
      <c r="AR196">
        <f t="shared" si="110"/>
        <v>1</v>
      </c>
      <c r="AS196">
        <f t="shared" si="111"/>
        <v>0</v>
      </c>
    </row>
    <row r="197" spans="2:45" x14ac:dyDescent="0.3">
      <c r="B197">
        <v>196</v>
      </c>
      <c r="C197" s="1">
        <v>40739</v>
      </c>
      <c r="D197">
        <v>3</v>
      </c>
      <c r="E197">
        <v>0</v>
      </c>
      <c r="F197">
        <v>7</v>
      </c>
      <c r="G197">
        <v>5</v>
      </c>
      <c r="H197">
        <v>1</v>
      </c>
      <c r="I197">
        <v>1318</v>
      </c>
      <c r="J197">
        <v>4220</v>
      </c>
      <c r="K197" s="8">
        <v>5538</v>
      </c>
      <c r="L197">
        <v>27.196653000000001</v>
      </c>
      <c r="M197">
        <v>31.21855</v>
      </c>
      <c r="N197">
        <v>59.125</v>
      </c>
      <c r="O197">
        <v>12.249810999999999</v>
      </c>
      <c r="P197">
        <v>0</v>
      </c>
      <c r="Q197">
        <v>1</v>
      </c>
      <c r="R197">
        <f t="shared" si="84"/>
        <v>0</v>
      </c>
      <c r="S197">
        <f t="shared" si="85"/>
        <v>0</v>
      </c>
      <c r="T197">
        <f t="shared" si="86"/>
        <v>0</v>
      </c>
      <c r="U197">
        <f t="shared" si="87"/>
        <v>0</v>
      </c>
      <c r="V197">
        <f t="shared" si="88"/>
        <v>0</v>
      </c>
      <c r="W197">
        <f t="shared" si="89"/>
        <v>0</v>
      </c>
      <c r="X197">
        <f t="shared" si="90"/>
        <v>1</v>
      </c>
      <c r="Y197">
        <f t="shared" si="91"/>
        <v>0</v>
      </c>
      <c r="Z197">
        <f t="shared" si="92"/>
        <v>0</v>
      </c>
      <c r="AA197">
        <f t="shared" si="93"/>
        <v>0</v>
      </c>
      <c r="AB197">
        <f t="shared" si="94"/>
        <v>0</v>
      </c>
      <c r="AC197">
        <f t="shared" si="95"/>
        <v>0</v>
      </c>
      <c r="AD197">
        <f t="shared" si="96"/>
        <v>0</v>
      </c>
      <c r="AE197">
        <f t="shared" si="97"/>
        <v>0</v>
      </c>
      <c r="AF197">
        <f t="shared" si="98"/>
        <v>0</v>
      </c>
      <c r="AG197">
        <f t="shared" si="99"/>
        <v>0</v>
      </c>
      <c r="AH197">
        <f t="shared" si="100"/>
        <v>0</v>
      </c>
      <c r="AI197">
        <f t="shared" si="101"/>
        <v>1</v>
      </c>
      <c r="AJ197">
        <f t="shared" si="102"/>
        <v>0</v>
      </c>
      <c r="AK197">
        <f t="shared" si="103"/>
        <v>1</v>
      </c>
      <c r="AL197">
        <f t="shared" si="104"/>
        <v>0</v>
      </c>
      <c r="AM197">
        <f t="shared" si="105"/>
        <v>0</v>
      </c>
      <c r="AN197">
        <f t="shared" si="106"/>
        <v>1</v>
      </c>
      <c r="AO197">
        <f t="shared" si="107"/>
        <v>0</v>
      </c>
      <c r="AP197">
        <f t="shared" si="108"/>
        <v>0</v>
      </c>
      <c r="AQ197">
        <f t="shared" si="109"/>
        <v>0</v>
      </c>
      <c r="AR197">
        <f t="shared" si="110"/>
        <v>1</v>
      </c>
      <c r="AS197">
        <f t="shared" si="111"/>
        <v>0</v>
      </c>
    </row>
    <row r="198" spans="2:45" x14ac:dyDescent="0.3">
      <c r="B198">
        <v>197</v>
      </c>
      <c r="C198" s="1">
        <v>40740</v>
      </c>
      <c r="D198">
        <v>3</v>
      </c>
      <c r="E198">
        <v>0</v>
      </c>
      <c r="F198">
        <v>7</v>
      </c>
      <c r="G198">
        <v>6</v>
      </c>
      <c r="H198">
        <v>1</v>
      </c>
      <c r="I198">
        <v>2418</v>
      </c>
      <c r="J198">
        <v>3505</v>
      </c>
      <c r="K198" s="8">
        <v>5923</v>
      </c>
      <c r="L198">
        <v>28.153347</v>
      </c>
      <c r="M198">
        <v>31.913150000000002</v>
      </c>
      <c r="N198">
        <v>58.5</v>
      </c>
      <c r="O198">
        <v>13.958914</v>
      </c>
      <c r="P198">
        <v>0</v>
      </c>
      <c r="Q198">
        <v>0</v>
      </c>
      <c r="R198">
        <f t="shared" si="84"/>
        <v>0</v>
      </c>
      <c r="S198">
        <f t="shared" si="85"/>
        <v>0</v>
      </c>
      <c r="T198">
        <f t="shared" si="86"/>
        <v>0</v>
      </c>
      <c r="U198">
        <f t="shared" si="87"/>
        <v>0</v>
      </c>
      <c r="V198">
        <f t="shared" si="88"/>
        <v>0</v>
      </c>
      <c r="W198">
        <f t="shared" si="89"/>
        <v>0</v>
      </c>
      <c r="X198">
        <f t="shared" si="90"/>
        <v>1</v>
      </c>
      <c r="Y198">
        <f t="shared" si="91"/>
        <v>0</v>
      </c>
      <c r="Z198">
        <f t="shared" si="92"/>
        <v>0</v>
      </c>
      <c r="AA198">
        <f t="shared" si="93"/>
        <v>0</v>
      </c>
      <c r="AB198">
        <f t="shared" si="94"/>
        <v>0</v>
      </c>
      <c r="AC198">
        <f t="shared" si="95"/>
        <v>0</v>
      </c>
      <c r="AD198">
        <f t="shared" si="96"/>
        <v>0</v>
      </c>
      <c r="AE198">
        <f t="shared" si="97"/>
        <v>0</v>
      </c>
      <c r="AF198">
        <f t="shared" si="98"/>
        <v>0</v>
      </c>
      <c r="AG198">
        <f t="shared" si="99"/>
        <v>0</v>
      </c>
      <c r="AH198">
        <f t="shared" si="100"/>
        <v>0</v>
      </c>
      <c r="AI198">
        <f t="shared" si="101"/>
        <v>0</v>
      </c>
      <c r="AJ198">
        <f t="shared" si="102"/>
        <v>1</v>
      </c>
      <c r="AK198">
        <f t="shared" si="103"/>
        <v>1</v>
      </c>
      <c r="AL198">
        <f t="shared" si="104"/>
        <v>0</v>
      </c>
      <c r="AM198">
        <f t="shared" si="105"/>
        <v>0</v>
      </c>
      <c r="AN198">
        <f t="shared" si="106"/>
        <v>1</v>
      </c>
      <c r="AO198">
        <f t="shared" si="107"/>
        <v>0</v>
      </c>
      <c r="AP198">
        <f t="shared" si="108"/>
        <v>0</v>
      </c>
      <c r="AQ198">
        <f t="shared" si="109"/>
        <v>0</v>
      </c>
      <c r="AR198">
        <f t="shared" si="110"/>
        <v>1</v>
      </c>
      <c r="AS198">
        <f t="shared" si="111"/>
        <v>0</v>
      </c>
    </row>
    <row r="199" spans="2:45" x14ac:dyDescent="0.3">
      <c r="B199">
        <v>198</v>
      </c>
      <c r="C199" s="1">
        <v>40741</v>
      </c>
      <c r="D199">
        <v>3</v>
      </c>
      <c r="E199">
        <v>0</v>
      </c>
      <c r="F199">
        <v>7</v>
      </c>
      <c r="G199">
        <v>0</v>
      </c>
      <c r="H199">
        <v>1</v>
      </c>
      <c r="I199">
        <v>2006</v>
      </c>
      <c r="J199">
        <v>3296</v>
      </c>
      <c r="K199" s="8">
        <v>5302</v>
      </c>
      <c r="L199">
        <v>29.485847</v>
      </c>
      <c r="M199">
        <v>33.49165</v>
      </c>
      <c r="N199">
        <v>60.416699999999999</v>
      </c>
      <c r="O199">
        <v>16.417211000000002</v>
      </c>
      <c r="P199">
        <v>0</v>
      </c>
      <c r="Q199">
        <v>0</v>
      </c>
      <c r="R199">
        <f t="shared" si="84"/>
        <v>0</v>
      </c>
      <c r="S199">
        <f t="shared" si="85"/>
        <v>0</v>
      </c>
      <c r="T199">
        <f t="shared" si="86"/>
        <v>0</v>
      </c>
      <c r="U199">
        <f t="shared" si="87"/>
        <v>0</v>
      </c>
      <c r="V199">
        <f t="shared" si="88"/>
        <v>0</v>
      </c>
      <c r="W199">
        <f t="shared" si="89"/>
        <v>0</v>
      </c>
      <c r="X199">
        <f t="shared" si="90"/>
        <v>1</v>
      </c>
      <c r="Y199">
        <f t="shared" si="91"/>
        <v>0</v>
      </c>
      <c r="Z199">
        <f t="shared" si="92"/>
        <v>0</v>
      </c>
      <c r="AA199">
        <f t="shared" si="93"/>
        <v>0</v>
      </c>
      <c r="AB199">
        <f t="shared" si="94"/>
        <v>0</v>
      </c>
      <c r="AC199">
        <f t="shared" si="95"/>
        <v>0</v>
      </c>
      <c r="AD199">
        <f t="shared" si="96"/>
        <v>1</v>
      </c>
      <c r="AE199">
        <f t="shared" si="97"/>
        <v>0</v>
      </c>
      <c r="AF199">
        <f t="shared" si="98"/>
        <v>0</v>
      </c>
      <c r="AG199">
        <f t="shared" si="99"/>
        <v>0</v>
      </c>
      <c r="AH199">
        <f t="shared" si="100"/>
        <v>0</v>
      </c>
      <c r="AI199">
        <f t="shared" si="101"/>
        <v>0</v>
      </c>
      <c r="AJ199">
        <f t="shared" si="102"/>
        <v>0</v>
      </c>
      <c r="AK199">
        <f t="shared" si="103"/>
        <v>1</v>
      </c>
      <c r="AL199">
        <f t="shared" si="104"/>
        <v>0</v>
      </c>
      <c r="AM199">
        <f t="shared" si="105"/>
        <v>0</v>
      </c>
      <c r="AN199">
        <f t="shared" si="106"/>
        <v>1</v>
      </c>
      <c r="AO199">
        <f t="shared" si="107"/>
        <v>0</v>
      </c>
      <c r="AP199">
        <f t="shared" si="108"/>
        <v>0</v>
      </c>
      <c r="AQ199">
        <f t="shared" si="109"/>
        <v>0</v>
      </c>
      <c r="AR199">
        <f t="shared" si="110"/>
        <v>1</v>
      </c>
      <c r="AS199">
        <f t="shared" si="111"/>
        <v>0</v>
      </c>
    </row>
    <row r="200" spans="2:45" x14ac:dyDescent="0.3">
      <c r="B200">
        <v>199</v>
      </c>
      <c r="C200" s="1">
        <v>40742</v>
      </c>
      <c r="D200">
        <v>3</v>
      </c>
      <c r="E200">
        <v>0</v>
      </c>
      <c r="F200">
        <v>7</v>
      </c>
      <c r="G200">
        <v>1</v>
      </c>
      <c r="H200">
        <v>1</v>
      </c>
      <c r="I200">
        <v>841</v>
      </c>
      <c r="J200">
        <v>3617</v>
      </c>
      <c r="K200" s="8">
        <v>4458</v>
      </c>
      <c r="L200">
        <v>30.613347000000001</v>
      </c>
      <c r="M200">
        <v>35.196249999999999</v>
      </c>
      <c r="N200">
        <v>65.125</v>
      </c>
      <c r="O200">
        <v>14.458868000000001</v>
      </c>
      <c r="P200">
        <v>0</v>
      </c>
      <c r="Q200">
        <v>1</v>
      </c>
      <c r="R200">
        <f t="shared" si="84"/>
        <v>0</v>
      </c>
      <c r="S200">
        <f t="shared" si="85"/>
        <v>0</v>
      </c>
      <c r="T200">
        <f t="shared" si="86"/>
        <v>0</v>
      </c>
      <c r="U200">
        <f t="shared" si="87"/>
        <v>0</v>
      </c>
      <c r="V200">
        <f t="shared" si="88"/>
        <v>0</v>
      </c>
      <c r="W200">
        <f t="shared" si="89"/>
        <v>0</v>
      </c>
      <c r="X200">
        <f t="shared" si="90"/>
        <v>1</v>
      </c>
      <c r="Y200">
        <f t="shared" si="91"/>
        <v>0</v>
      </c>
      <c r="Z200">
        <f t="shared" si="92"/>
        <v>0</v>
      </c>
      <c r="AA200">
        <f t="shared" si="93"/>
        <v>0</v>
      </c>
      <c r="AB200">
        <f t="shared" si="94"/>
        <v>0</v>
      </c>
      <c r="AC200">
        <f t="shared" si="95"/>
        <v>0</v>
      </c>
      <c r="AD200">
        <f t="shared" si="96"/>
        <v>0</v>
      </c>
      <c r="AE200">
        <f t="shared" si="97"/>
        <v>1</v>
      </c>
      <c r="AF200">
        <f t="shared" si="98"/>
        <v>0</v>
      </c>
      <c r="AG200">
        <f t="shared" si="99"/>
        <v>0</v>
      </c>
      <c r="AH200">
        <f t="shared" si="100"/>
        <v>0</v>
      </c>
      <c r="AI200">
        <f t="shared" si="101"/>
        <v>0</v>
      </c>
      <c r="AJ200">
        <f t="shared" si="102"/>
        <v>0</v>
      </c>
      <c r="AK200">
        <f t="shared" si="103"/>
        <v>1</v>
      </c>
      <c r="AL200">
        <f t="shared" si="104"/>
        <v>0</v>
      </c>
      <c r="AM200">
        <f t="shared" si="105"/>
        <v>0</v>
      </c>
      <c r="AN200">
        <f t="shared" si="106"/>
        <v>1</v>
      </c>
      <c r="AO200">
        <f t="shared" si="107"/>
        <v>0</v>
      </c>
      <c r="AP200">
        <f t="shared" si="108"/>
        <v>0</v>
      </c>
      <c r="AQ200">
        <f t="shared" si="109"/>
        <v>0</v>
      </c>
      <c r="AR200">
        <f t="shared" si="110"/>
        <v>1</v>
      </c>
      <c r="AS200">
        <f t="shared" si="111"/>
        <v>0</v>
      </c>
    </row>
    <row r="201" spans="2:45" x14ac:dyDescent="0.3">
      <c r="B201">
        <v>200</v>
      </c>
      <c r="C201" s="1">
        <v>40743</v>
      </c>
      <c r="D201">
        <v>3</v>
      </c>
      <c r="E201">
        <v>0</v>
      </c>
      <c r="F201">
        <v>7</v>
      </c>
      <c r="G201">
        <v>2</v>
      </c>
      <c r="H201">
        <v>1</v>
      </c>
      <c r="I201">
        <v>752</v>
      </c>
      <c r="J201">
        <v>3789</v>
      </c>
      <c r="K201" s="8">
        <v>4541</v>
      </c>
      <c r="L201">
        <v>31.843347000000001</v>
      </c>
      <c r="M201">
        <v>37.373950000000001</v>
      </c>
      <c r="N201">
        <v>65.041700000000006</v>
      </c>
      <c r="O201">
        <v>8.7501999999999995</v>
      </c>
      <c r="P201">
        <v>0</v>
      </c>
      <c r="Q201">
        <v>1</v>
      </c>
      <c r="R201">
        <f t="shared" si="84"/>
        <v>0</v>
      </c>
      <c r="S201">
        <f t="shared" si="85"/>
        <v>0</v>
      </c>
      <c r="T201">
        <f t="shared" si="86"/>
        <v>0</v>
      </c>
      <c r="U201">
        <f t="shared" si="87"/>
        <v>0</v>
      </c>
      <c r="V201">
        <f t="shared" si="88"/>
        <v>0</v>
      </c>
      <c r="W201">
        <f t="shared" si="89"/>
        <v>0</v>
      </c>
      <c r="X201">
        <f t="shared" si="90"/>
        <v>1</v>
      </c>
      <c r="Y201">
        <f t="shared" si="91"/>
        <v>0</v>
      </c>
      <c r="Z201">
        <f t="shared" si="92"/>
        <v>0</v>
      </c>
      <c r="AA201">
        <f t="shared" si="93"/>
        <v>0</v>
      </c>
      <c r="AB201">
        <f t="shared" si="94"/>
        <v>0</v>
      </c>
      <c r="AC201">
        <f t="shared" si="95"/>
        <v>0</v>
      </c>
      <c r="AD201">
        <f t="shared" si="96"/>
        <v>0</v>
      </c>
      <c r="AE201">
        <f t="shared" si="97"/>
        <v>0</v>
      </c>
      <c r="AF201">
        <f t="shared" si="98"/>
        <v>1</v>
      </c>
      <c r="AG201">
        <f t="shared" si="99"/>
        <v>0</v>
      </c>
      <c r="AH201">
        <f t="shared" si="100"/>
        <v>0</v>
      </c>
      <c r="AI201">
        <f t="shared" si="101"/>
        <v>0</v>
      </c>
      <c r="AJ201">
        <f t="shared" si="102"/>
        <v>0</v>
      </c>
      <c r="AK201">
        <f t="shared" si="103"/>
        <v>1</v>
      </c>
      <c r="AL201">
        <f t="shared" si="104"/>
        <v>0</v>
      </c>
      <c r="AM201">
        <f t="shared" si="105"/>
        <v>0</v>
      </c>
      <c r="AN201">
        <f t="shared" si="106"/>
        <v>1</v>
      </c>
      <c r="AO201">
        <f t="shared" si="107"/>
        <v>0</v>
      </c>
      <c r="AP201">
        <f t="shared" si="108"/>
        <v>0</v>
      </c>
      <c r="AQ201">
        <f t="shared" si="109"/>
        <v>0</v>
      </c>
      <c r="AR201">
        <f t="shared" si="110"/>
        <v>1</v>
      </c>
      <c r="AS201">
        <f t="shared" si="111"/>
        <v>0</v>
      </c>
    </row>
    <row r="202" spans="2:45" x14ac:dyDescent="0.3">
      <c r="B202">
        <v>201</v>
      </c>
      <c r="C202" s="1">
        <v>40744</v>
      </c>
      <c r="D202">
        <v>3</v>
      </c>
      <c r="E202">
        <v>0</v>
      </c>
      <c r="F202">
        <v>7</v>
      </c>
      <c r="G202">
        <v>3</v>
      </c>
      <c r="H202">
        <v>1</v>
      </c>
      <c r="I202">
        <v>644</v>
      </c>
      <c r="J202">
        <v>3688</v>
      </c>
      <c r="K202" s="8">
        <v>4332</v>
      </c>
      <c r="L202">
        <v>31.501653000000001</v>
      </c>
      <c r="M202">
        <v>37.342500000000001</v>
      </c>
      <c r="N202">
        <v>70.708299999999994</v>
      </c>
      <c r="O202">
        <v>7.6257390000000003</v>
      </c>
      <c r="P202">
        <v>0</v>
      </c>
      <c r="Q202">
        <v>1</v>
      </c>
      <c r="R202">
        <f t="shared" si="84"/>
        <v>0</v>
      </c>
      <c r="S202">
        <f t="shared" si="85"/>
        <v>0</v>
      </c>
      <c r="T202">
        <f t="shared" si="86"/>
        <v>0</v>
      </c>
      <c r="U202">
        <f t="shared" si="87"/>
        <v>0</v>
      </c>
      <c r="V202">
        <f t="shared" si="88"/>
        <v>0</v>
      </c>
      <c r="W202">
        <f t="shared" si="89"/>
        <v>0</v>
      </c>
      <c r="X202">
        <f t="shared" si="90"/>
        <v>1</v>
      </c>
      <c r="Y202">
        <f t="shared" si="91"/>
        <v>0</v>
      </c>
      <c r="Z202">
        <f t="shared" si="92"/>
        <v>0</v>
      </c>
      <c r="AA202">
        <f t="shared" si="93"/>
        <v>0</v>
      </c>
      <c r="AB202">
        <f t="shared" si="94"/>
        <v>0</v>
      </c>
      <c r="AC202">
        <f t="shared" si="95"/>
        <v>0</v>
      </c>
      <c r="AD202">
        <f t="shared" si="96"/>
        <v>0</v>
      </c>
      <c r="AE202">
        <f t="shared" si="97"/>
        <v>0</v>
      </c>
      <c r="AF202">
        <f t="shared" si="98"/>
        <v>0</v>
      </c>
      <c r="AG202">
        <f t="shared" si="99"/>
        <v>1</v>
      </c>
      <c r="AH202">
        <f t="shared" si="100"/>
        <v>0</v>
      </c>
      <c r="AI202">
        <f t="shared" si="101"/>
        <v>0</v>
      </c>
      <c r="AJ202">
        <f t="shared" si="102"/>
        <v>0</v>
      </c>
      <c r="AK202">
        <f t="shared" si="103"/>
        <v>1</v>
      </c>
      <c r="AL202">
        <f t="shared" si="104"/>
        <v>0</v>
      </c>
      <c r="AM202">
        <f t="shared" si="105"/>
        <v>0</v>
      </c>
      <c r="AN202">
        <f t="shared" si="106"/>
        <v>1</v>
      </c>
      <c r="AO202">
        <f t="shared" si="107"/>
        <v>0</v>
      </c>
      <c r="AP202">
        <f t="shared" si="108"/>
        <v>0</v>
      </c>
      <c r="AQ202">
        <f t="shared" si="109"/>
        <v>0</v>
      </c>
      <c r="AR202">
        <f t="shared" si="110"/>
        <v>1</v>
      </c>
      <c r="AS202">
        <f t="shared" si="111"/>
        <v>0</v>
      </c>
    </row>
    <row r="203" spans="2:45" x14ac:dyDescent="0.3">
      <c r="B203">
        <v>202</v>
      </c>
      <c r="C203" s="1">
        <v>40745</v>
      </c>
      <c r="D203">
        <v>3</v>
      </c>
      <c r="E203">
        <v>0</v>
      </c>
      <c r="F203">
        <v>7</v>
      </c>
      <c r="G203">
        <v>4</v>
      </c>
      <c r="H203">
        <v>2</v>
      </c>
      <c r="I203">
        <v>632</v>
      </c>
      <c r="J203">
        <v>3152</v>
      </c>
      <c r="K203" s="8">
        <v>3784</v>
      </c>
      <c r="L203">
        <v>33.414999999999999</v>
      </c>
      <c r="M203">
        <v>41.318550000000002</v>
      </c>
      <c r="N203">
        <v>69.125</v>
      </c>
      <c r="O203">
        <v>14.875406999999999</v>
      </c>
      <c r="P203">
        <v>0</v>
      </c>
      <c r="Q203">
        <v>1</v>
      </c>
      <c r="R203">
        <f t="shared" si="84"/>
        <v>0</v>
      </c>
      <c r="S203">
        <f t="shared" si="85"/>
        <v>0</v>
      </c>
      <c r="T203">
        <f t="shared" si="86"/>
        <v>0</v>
      </c>
      <c r="U203">
        <f t="shared" si="87"/>
        <v>0</v>
      </c>
      <c r="V203">
        <f t="shared" si="88"/>
        <v>0</v>
      </c>
      <c r="W203">
        <f t="shared" si="89"/>
        <v>0</v>
      </c>
      <c r="X203">
        <f t="shared" si="90"/>
        <v>1</v>
      </c>
      <c r="Y203">
        <f t="shared" si="91"/>
        <v>0</v>
      </c>
      <c r="Z203">
        <f t="shared" si="92"/>
        <v>0</v>
      </c>
      <c r="AA203">
        <f t="shared" si="93"/>
        <v>0</v>
      </c>
      <c r="AB203">
        <f t="shared" si="94"/>
        <v>0</v>
      </c>
      <c r="AC203">
        <f t="shared" si="95"/>
        <v>0</v>
      </c>
      <c r="AD203">
        <f t="shared" si="96"/>
        <v>0</v>
      </c>
      <c r="AE203">
        <f t="shared" si="97"/>
        <v>0</v>
      </c>
      <c r="AF203">
        <f t="shared" si="98"/>
        <v>0</v>
      </c>
      <c r="AG203">
        <f t="shared" si="99"/>
        <v>0</v>
      </c>
      <c r="AH203">
        <f t="shared" si="100"/>
        <v>1</v>
      </c>
      <c r="AI203">
        <f t="shared" si="101"/>
        <v>0</v>
      </c>
      <c r="AJ203">
        <f t="shared" si="102"/>
        <v>0</v>
      </c>
      <c r="AK203">
        <f t="shared" si="103"/>
        <v>0</v>
      </c>
      <c r="AL203">
        <f t="shared" si="104"/>
        <v>1</v>
      </c>
      <c r="AM203">
        <f t="shared" si="105"/>
        <v>0</v>
      </c>
      <c r="AN203">
        <f t="shared" si="106"/>
        <v>1</v>
      </c>
      <c r="AO203">
        <f t="shared" si="107"/>
        <v>0</v>
      </c>
      <c r="AP203">
        <f t="shared" si="108"/>
        <v>0</v>
      </c>
      <c r="AQ203">
        <f t="shared" si="109"/>
        <v>0</v>
      </c>
      <c r="AR203">
        <f t="shared" si="110"/>
        <v>1</v>
      </c>
      <c r="AS203">
        <f t="shared" si="111"/>
        <v>0</v>
      </c>
    </row>
    <row r="204" spans="2:45" x14ac:dyDescent="0.3">
      <c r="B204">
        <v>203</v>
      </c>
      <c r="C204" s="1">
        <v>40746</v>
      </c>
      <c r="D204">
        <v>3</v>
      </c>
      <c r="E204">
        <v>0</v>
      </c>
      <c r="F204">
        <v>7</v>
      </c>
      <c r="G204">
        <v>5</v>
      </c>
      <c r="H204">
        <v>1</v>
      </c>
      <c r="I204">
        <v>562</v>
      </c>
      <c r="J204">
        <v>2825</v>
      </c>
      <c r="K204" s="8">
        <v>3387</v>
      </c>
      <c r="L204">
        <v>34.781652999999999</v>
      </c>
      <c r="M204">
        <v>42.044800000000002</v>
      </c>
      <c r="N204">
        <v>58.041699999999999</v>
      </c>
      <c r="O204">
        <v>8.9177</v>
      </c>
      <c r="P204">
        <v>0</v>
      </c>
      <c r="Q204">
        <v>1</v>
      </c>
      <c r="R204">
        <f t="shared" si="84"/>
        <v>0</v>
      </c>
      <c r="S204">
        <f t="shared" si="85"/>
        <v>0</v>
      </c>
      <c r="T204">
        <f t="shared" si="86"/>
        <v>0</v>
      </c>
      <c r="U204">
        <f t="shared" si="87"/>
        <v>0</v>
      </c>
      <c r="V204">
        <f t="shared" si="88"/>
        <v>0</v>
      </c>
      <c r="W204">
        <f t="shared" si="89"/>
        <v>0</v>
      </c>
      <c r="X204">
        <f t="shared" si="90"/>
        <v>1</v>
      </c>
      <c r="Y204">
        <f t="shared" si="91"/>
        <v>0</v>
      </c>
      <c r="Z204">
        <f t="shared" si="92"/>
        <v>0</v>
      </c>
      <c r="AA204">
        <f t="shared" si="93"/>
        <v>0</v>
      </c>
      <c r="AB204">
        <f t="shared" si="94"/>
        <v>0</v>
      </c>
      <c r="AC204">
        <f t="shared" si="95"/>
        <v>0</v>
      </c>
      <c r="AD204">
        <f t="shared" si="96"/>
        <v>0</v>
      </c>
      <c r="AE204">
        <f t="shared" si="97"/>
        <v>0</v>
      </c>
      <c r="AF204">
        <f t="shared" si="98"/>
        <v>0</v>
      </c>
      <c r="AG204">
        <f t="shared" si="99"/>
        <v>0</v>
      </c>
      <c r="AH204">
        <f t="shared" si="100"/>
        <v>0</v>
      </c>
      <c r="AI204">
        <f t="shared" si="101"/>
        <v>1</v>
      </c>
      <c r="AJ204">
        <f t="shared" si="102"/>
        <v>0</v>
      </c>
      <c r="AK204">
        <f t="shared" si="103"/>
        <v>1</v>
      </c>
      <c r="AL204">
        <f t="shared" si="104"/>
        <v>0</v>
      </c>
      <c r="AM204">
        <f t="shared" si="105"/>
        <v>0</v>
      </c>
      <c r="AN204">
        <f t="shared" si="106"/>
        <v>1</v>
      </c>
      <c r="AO204">
        <f t="shared" si="107"/>
        <v>0</v>
      </c>
      <c r="AP204">
        <f t="shared" si="108"/>
        <v>0</v>
      </c>
      <c r="AQ204">
        <f t="shared" si="109"/>
        <v>0</v>
      </c>
      <c r="AR204">
        <f t="shared" si="110"/>
        <v>1</v>
      </c>
      <c r="AS204">
        <f t="shared" si="111"/>
        <v>0</v>
      </c>
    </row>
    <row r="205" spans="2:45" x14ac:dyDescent="0.3">
      <c r="B205">
        <v>204</v>
      </c>
      <c r="C205" s="1">
        <v>40747</v>
      </c>
      <c r="D205">
        <v>3</v>
      </c>
      <c r="E205">
        <v>0</v>
      </c>
      <c r="F205">
        <v>7</v>
      </c>
      <c r="G205">
        <v>6</v>
      </c>
      <c r="H205">
        <v>1</v>
      </c>
      <c r="I205">
        <v>987</v>
      </c>
      <c r="J205">
        <v>2298</v>
      </c>
      <c r="K205" s="8">
        <v>3285</v>
      </c>
      <c r="L205">
        <v>34.815846999999998</v>
      </c>
      <c r="M205">
        <v>40.214350000000003</v>
      </c>
      <c r="N205">
        <v>50</v>
      </c>
      <c r="O205">
        <v>8.7918070000000004</v>
      </c>
      <c r="P205">
        <v>0</v>
      </c>
      <c r="Q205">
        <v>0</v>
      </c>
      <c r="R205">
        <f t="shared" si="84"/>
        <v>0</v>
      </c>
      <c r="S205">
        <f t="shared" si="85"/>
        <v>0</v>
      </c>
      <c r="T205">
        <f t="shared" si="86"/>
        <v>0</v>
      </c>
      <c r="U205">
        <f t="shared" si="87"/>
        <v>0</v>
      </c>
      <c r="V205">
        <f t="shared" si="88"/>
        <v>0</v>
      </c>
      <c r="W205">
        <f t="shared" si="89"/>
        <v>0</v>
      </c>
      <c r="X205">
        <f t="shared" si="90"/>
        <v>1</v>
      </c>
      <c r="Y205">
        <f t="shared" si="91"/>
        <v>0</v>
      </c>
      <c r="Z205">
        <f t="shared" si="92"/>
        <v>0</v>
      </c>
      <c r="AA205">
        <f t="shared" si="93"/>
        <v>0</v>
      </c>
      <c r="AB205">
        <f t="shared" si="94"/>
        <v>0</v>
      </c>
      <c r="AC205">
        <f t="shared" si="95"/>
        <v>0</v>
      </c>
      <c r="AD205">
        <f t="shared" si="96"/>
        <v>0</v>
      </c>
      <c r="AE205">
        <f t="shared" si="97"/>
        <v>0</v>
      </c>
      <c r="AF205">
        <f t="shared" si="98"/>
        <v>0</v>
      </c>
      <c r="AG205">
        <f t="shared" si="99"/>
        <v>0</v>
      </c>
      <c r="AH205">
        <f t="shared" si="100"/>
        <v>0</v>
      </c>
      <c r="AI205">
        <f t="shared" si="101"/>
        <v>0</v>
      </c>
      <c r="AJ205">
        <f t="shared" si="102"/>
        <v>1</v>
      </c>
      <c r="AK205">
        <f t="shared" si="103"/>
        <v>1</v>
      </c>
      <c r="AL205">
        <f t="shared" si="104"/>
        <v>0</v>
      </c>
      <c r="AM205">
        <f t="shared" si="105"/>
        <v>0</v>
      </c>
      <c r="AN205">
        <f t="shared" si="106"/>
        <v>1</v>
      </c>
      <c r="AO205">
        <f t="shared" si="107"/>
        <v>0</v>
      </c>
      <c r="AP205">
        <f t="shared" si="108"/>
        <v>0</v>
      </c>
      <c r="AQ205">
        <f t="shared" si="109"/>
        <v>0</v>
      </c>
      <c r="AR205">
        <f t="shared" si="110"/>
        <v>1</v>
      </c>
      <c r="AS205">
        <f t="shared" si="111"/>
        <v>0</v>
      </c>
    </row>
    <row r="206" spans="2:45" x14ac:dyDescent="0.3">
      <c r="B206">
        <v>205</v>
      </c>
      <c r="C206" s="1">
        <v>40748</v>
      </c>
      <c r="D206">
        <v>3</v>
      </c>
      <c r="E206">
        <v>0</v>
      </c>
      <c r="F206">
        <v>7</v>
      </c>
      <c r="G206">
        <v>0</v>
      </c>
      <c r="H206">
        <v>1</v>
      </c>
      <c r="I206">
        <v>1050</v>
      </c>
      <c r="J206">
        <v>2556</v>
      </c>
      <c r="K206" s="8">
        <v>3606</v>
      </c>
      <c r="L206">
        <v>34.03</v>
      </c>
      <c r="M206">
        <v>39.74145</v>
      </c>
      <c r="N206">
        <v>55.083300000000001</v>
      </c>
      <c r="O206">
        <v>11.334457</v>
      </c>
      <c r="P206">
        <v>0</v>
      </c>
      <c r="Q206">
        <v>0</v>
      </c>
      <c r="R206">
        <f t="shared" si="84"/>
        <v>0</v>
      </c>
      <c r="S206">
        <f t="shared" si="85"/>
        <v>0</v>
      </c>
      <c r="T206">
        <f t="shared" si="86"/>
        <v>0</v>
      </c>
      <c r="U206">
        <f t="shared" si="87"/>
        <v>0</v>
      </c>
      <c r="V206">
        <f t="shared" si="88"/>
        <v>0</v>
      </c>
      <c r="W206">
        <f t="shared" si="89"/>
        <v>0</v>
      </c>
      <c r="X206">
        <f t="shared" si="90"/>
        <v>1</v>
      </c>
      <c r="Y206">
        <f t="shared" si="91"/>
        <v>0</v>
      </c>
      <c r="Z206">
        <f t="shared" si="92"/>
        <v>0</v>
      </c>
      <c r="AA206">
        <f t="shared" si="93"/>
        <v>0</v>
      </c>
      <c r="AB206">
        <f t="shared" si="94"/>
        <v>0</v>
      </c>
      <c r="AC206">
        <f t="shared" si="95"/>
        <v>0</v>
      </c>
      <c r="AD206">
        <f t="shared" si="96"/>
        <v>1</v>
      </c>
      <c r="AE206">
        <f t="shared" si="97"/>
        <v>0</v>
      </c>
      <c r="AF206">
        <f t="shared" si="98"/>
        <v>0</v>
      </c>
      <c r="AG206">
        <f t="shared" si="99"/>
        <v>0</v>
      </c>
      <c r="AH206">
        <f t="shared" si="100"/>
        <v>0</v>
      </c>
      <c r="AI206">
        <f t="shared" si="101"/>
        <v>0</v>
      </c>
      <c r="AJ206">
        <f t="shared" si="102"/>
        <v>0</v>
      </c>
      <c r="AK206">
        <f t="shared" si="103"/>
        <v>1</v>
      </c>
      <c r="AL206">
        <f t="shared" si="104"/>
        <v>0</v>
      </c>
      <c r="AM206">
        <f t="shared" si="105"/>
        <v>0</v>
      </c>
      <c r="AN206">
        <f t="shared" si="106"/>
        <v>1</v>
      </c>
      <c r="AO206">
        <f t="shared" si="107"/>
        <v>0</v>
      </c>
      <c r="AP206">
        <f t="shared" si="108"/>
        <v>0</v>
      </c>
      <c r="AQ206">
        <f t="shared" si="109"/>
        <v>0</v>
      </c>
      <c r="AR206">
        <f t="shared" si="110"/>
        <v>1</v>
      </c>
      <c r="AS206">
        <f t="shared" si="111"/>
        <v>0</v>
      </c>
    </row>
    <row r="207" spans="2:45" x14ac:dyDescent="0.3">
      <c r="B207">
        <v>206</v>
      </c>
      <c r="C207" s="1">
        <v>40749</v>
      </c>
      <c r="D207">
        <v>3</v>
      </c>
      <c r="E207">
        <v>0</v>
      </c>
      <c r="F207">
        <v>7</v>
      </c>
      <c r="G207">
        <v>1</v>
      </c>
      <c r="H207">
        <v>1</v>
      </c>
      <c r="I207">
        <v>568</v>
      </c>
      <c r="J207">
        <v>3272</v>
      </c>
      <c r="K207" s="8">
        <v>3840</v>
      </c>
      <c r="L207">
        <v>30.476652999999999</v>
      </c>
      <c r="M207">
        <v>36.047899999999998</v>
      </c>
      <c r="N207">
        <v>75.708299999999994</v>
      </c>
      <c r="O207">
        <v>6.0841561000000004</v>
      </c>
      <c r="P207">
        <v>0</v>
      </c>
      <c r="Q207">
        <v>1</v>
      </c>
      <c r="R207">
        <f t="shared" si="84"/>
        <v>0</v>
      </c>
      <c r="S207">
        <f t="shared" si="85"/>
        <v>0</v>
      </c>
      <c r="T207">
        <f t="shared" si="86"/>
        <v>0</v>
      </c>
      <c r="U207">
        <f t="shared" si="87"/>
        <v>0</v>
      </c>
      <c r="V207">
        <f t="shared" si="88"/>
        <v>0</v>
      </c>
      <c r="W207">
        <f t="shared" si="89"/>
        <v>0</v>
      </c>
      <c r="X207">
        <f t="shared" si="90"/>
        <v>1</v>
      </c>
      <c r="Y207">
        <f t="shared" si="91"/>
        <v>0</v>
      </c>
      <c r="Z207">
        <f t="shared" si="92"/>
        <v>0</v>
      </c>
      <c r="AA207">
        <f t="shared" si="93"/>
        <v>0</v>
      </c>
      <c r="AB207">
        <f t="shared" si="94"/>
        <v>0</v>
      </c>
      <c r="AC207">
        <f t="shared" si="95"/>
        <v>0</v>
      </c>
      <c r="AD207">
        <f t="shared" si="96"/>
        <v>0</v>
      </c>
      <c r="AE207">
        <f t="shared" si="97"/>
        <v>1</v>
      </c>
      <c r="AF207">
        <f t="shared" si="98"/>
        <v>0</v>
      </c>
      <c r="AG207">
        <f t="shared" si="99"/>
        <v>0</v>
      </c>
      <c r="AH207">
        <f t="shared" si="100"/>
        <v>0</v>
      </c>
      <c r="AI207">
        <f t="shared" si="101"/>
        <v>0</v>
      </c>
      <c r="AJ207">
        <f t="shared" si="102"/>
        <v>0</v>
      </c>
      <c r="AK207">
        <f t="shared" si="103"/>
        <v>1</v>
      </c>
      <c r="AL207">
        <f t="shared" si="104"/>
        <v>0</v>
      </c>
      <c r="AM207">
        <f t="shared" si="105"/>
        <v>0</v>
      </c>
      <c r="AN207">
        <f t="shared" si="106"/>
        <v>1</v>
      </c>
      <c r="AO207">
        <f t="shared" si="107"/>
        <v>0</v>
      </c>
      <c r="AP207">
        <f t="shared" si="108"/>
        <v>0</v>
      </c>
      <c r="AQ207">
        <f t="shared" si="109"/>
        <v>0</v>
      </c>
      <c r="AR207">
        <f t="shared" si="110"/>
        <v>1</v>
      </c>
      <c r="AS207">
        <f t="shared" si="111"/>
        <v>0</v>
      </c>
    </row>
    <row r="208" spans="2:45" x14ac:dyDescent="0.3">
      <c r="B208">
        <v>207</v>
      </c>
      <c r="C208" s="1">
        <v>40750</v>
      </c>
      <c r="D208">
        <v>3</v>
      </c>
      <c r="E208">
        <v>0</v>
      </c>
      <c r="F208">
        <v>7</v>
      </c>
      <c r="G208">
        <v>2</v>
      </c>
      <c r="H208">
        <v>1</v>
      </c>
      <c r="I208">
        <v>750</v>
      </c>
      <c r="J208">
        <v>3840</v>
      </c>
      <c r="K208" s="8">
        <v>4590</v>
      </c>
      <c r="L208">
        <v>31.638347</v>
      </c>
      <c r="M208">
        <v>34.848950000000002</v>
      </c>
      <c r="N208">
        <v>54.083300000000001</v>
      </c>
      <c r="O208">
        <v>13.417286000000001</v>
      </c>
      <c r="P208">
        <v>0</v>
      </c>
      <c r="Q208">
        <v>1</v>
      </c>
      <c r="R208">
        <f t="shared" si="84"/>
        <v>0</v>
      </c>
      <c r="S208">
        <f t="shared" si="85"/>
        <v>0</v>
      </c>
      <c r="T208">
        <f t="shared" si="86"/>
        <v>0</v>
      </c>
      <c r="U208">
        <f t="shared" si="87"/>
        <v>0</v>
      </c>
      <c r="V208">
        <f t="shared" si="88"/>
        <v>0</v>
      </c>
      <c r="W208">
        <f t="shared" si="89"/>
        <v>0</v>
      </c>
      <c r="X208">
        <f t="shared" si="90"/>
        <v>1</v>
      </c>
      <c r="Y208">
        <f t="shared" si="91"/>
        <v>0</v>
      </c>
      <c r="Z208">
        <f t="shared" si="92"/>
        <v>0</v>
      </c>
      <c r="AA208">
        <f t="shared" si="93"/>
        <v>0</v>
      </c>
      <c r="AB208">
        <f t="shared" si="94"/>
        <v>0</v>
      </c>
      <c r="AC208">
        <f t="shared" si="95"/>
        <v>0</v>
      </c>
      <c r="AD208">
        <f t="shared" si="96"/>
        <v>0</v>
      </c>
      <c r="AE208">
        <f t="shared" si="97"/>
        <v>0</v>
      </c>
      <c r="AF208">
        <f t="shared" si="98"/>
        <v>1</v>
      </c>
      <c r="AG208">
        <f t="shared" si="99"/>
        <v>0</v>
      </c>
      <c r="AH208">
        <f t="shared" si="100"/>
        <v>0</v>
      </c>
      <c r="AI208">
        <f t="shared" si="101"/>
        <v>0</v>
      </c>
      <c r="AJ208">
        <f t="shared" si="102"/>
        <v>0</v>
      </c>
      <c r="AK208">
        <f t="shared" si="103"/>
        <v>1</v>
      </c>
      <c r="AL208">
        <f t="shared" si="104"/>
        <v>0</v>
      </c>
      <c r="AM208">
        <f t="shared" si="105"/>
        <v>0</v>
      </c>
      <c r="AN208">
        <f t="shared" si="106"/>
        <v>1</v>
      </c>
      <c r="AO208">
        <f t="shared" si="107"/>
        <v>0</v>
      </c>
      <c r="AP208">
        <f t="shared" si="108"/>
        <v>0</v>
      </c>
      <c r="AQ208">
        <f t="shared" si="109"/>
        <v>0</v>
      </c>
      <c r="AR208">
        <f t="shared" si="110"/>
        <v>1</v>
      </c>
      <c r="AS208">
        <f t="shared" si="111"/>
        <v>0</v>
      </c>
    </row>
    <row r="209" spans="2:45" x14ac:dyDescent="0.3">
      <c r="B209">
        <v>208</v>
      </c>
      <c r="C209" s="1">
        <v>40751</v>
      </c>
      <c r="D209">
        <v>3</v>
      </c>
      <c r="E209">
        <v>0</v>
      </c>
      <c r="F209">
        <v>7</v>
      </c>
      <c r="G209">
        <v>3</v>
      </c>
      <c r="H209">
        <v>1</v>
      </c>
      <c r="I209">
        <v>755</v>
      </c>
      <c r="J209">
        <v>3901</v>
      </c>
      <c r="K209" s="8">
        <v>4656</v>
      </c>
      <c r="L209">
        <v>31.774999999999999</v>
      </c>
      <c r="M209">
        <v>34.533349999999999</v>
      </c>
      <c r="N209">
        <v>40.291699999999999</v>
      </c>
      <c r="O209">
        <v>12.292021</v>
      </c>
      <c r="P209">
        <v>0</v>
      </c>
      <c r="Q209">
        <v>1</v>
      </c>
      <c r="R209">
        <f t="shared" si="84"/>
        <v>0</v>
      </c>
      <c r="S209">
        <f t="shared" si="85"/>
        <v>0</v>
      </c>
      <c r="T209">
        <f t="shared" si="86"/>
        <v>0</v>
      </c>
      <c r="U209">
        <f t="shared" si="87"/>
        <v>0</v>
      </c>
      <c r="V209">
        <f t="shared" si="88"/>
        <v>0</v>
      </c>
      <c r="W209">
        <f t="shared" si="89"/>
        <v>0</v>
      </c>
      <c r="X209">
        <f t="shared" si="90"/>
        <v>1</v>
      </c>
      <c r="Y209">
        <f t="shared" si="91"/>
        <v>0</v>
      </c>
      <c r="Z209">
        <f t="shared" si="92"/>
        <v>0</v>
      </c>
      <c r="AA209">
        <f t="shared" si="93"/>
        <v>0</v>
      </c>
      <c r="AB209">
        <f t="shared" si="94"/>
        <v>0</v>
      </c>
      <c r="AC209">
        <f t="shared" si="95"/>
        <v>0</v>
      </c>
      <c r="AD209">
        <f t="shared" si="96"/>
        <v>0</v>
      </c>
      <c r="AE209">
        <f t="shared" si="97"/>
        <v>0</v>
      </c>
      <c r="AF209">
        <f t="shared" si="98"/>
        <v>0</v>
      </c>
      <c r="AG209">
        <f t="shared" si="99"/>
        <v>1</v>
      </c>
      <c r="AH209">
        <f t="shared" si="100"/>
        <v>0</v>
      </c>
      <c r="AI209">
        <f t="shared" si="101"/>
        <v>0</v>
      </c>
      <c r="AJ209">
        <f t="shared" si="102"/>
        <v>0</v>
      </c>
      <c r="AK209">
        <f t="shared" si="103"/>
        <v>1</v>
      </c>
      <c r="AL209">
        <f t="shared" si="104"/>
        <v>0</v>
      </c>
      <c r="AM209">
        <f t="shared" si="105"/>
        <v>0</v>
      </c>
      <c r="AN209">
        <f t="shared" si="106"/>
        <v>1</v>
      </c>
      <c r="AO209">
        <f t="shared" si="107"/>
        <v>0</v>
      </c>
      <c r="AP209">
        <f t="shared" si="108"/>
        <v>0</v>
      </c>
      <c r="AQ209">
        <f t="shared" si="109"/>
        <v>0</v>
      </c>
      <c r="AR209">
        <f t="shared" si="110"/>
        <v>1</v>
      </c>
      <c r="AS209">
        <f t="shared" si="111"/>
        <v>0</v>
      </c>
    </row>
    <row r="210" spans="2:45" x14ac:dyDescent="0.3">
      <c r="B210">
        <v>209</v>
      </c>
      <c r="C210" s="1">
        <v>40752</v>
      </c>
      <c r="D210">
        <v>3</v>
      </c>
      <c r="E210">
        <v>0</v>
      </c>
      <c r="F210">
        <v>7</v>
      </c>
      <c r="G210">
        <v>4</v>
      </c>
      <c r="H210">
        <v>1</v>
      </c>
      <c r="I210">
        <v>606</v>
      </c>
      <c r="J210">
        <v>3784</v>
      </c>
      <c r="K210" s="8">
        <v>4390</v>
      </c>
      <c r="L210">
        <v>31.945847000000001</v>
      </c>
      <c r="M210">
        <v>36.994999999999997</v>
      </c>
      <c r="N210">
        <v>58.333300000000001</v>
      </c>
      <c r="O210">
        <v>11.958093</v>
      </c>
      <c r="P210">
        <v>0</v>
      </c>
      <c r="Q210">
        <v>1</v>
      </c>
      <c r="R210">
        <f t="shared" si="84"/>
        <v>0</v>
      </c>
      <c r="S210">
        <f t="shared" si="85"/>
        <v>0</v>
      </c>
      <c r="T210">
        <f t="shared" si="86"/>
        <v>0</v>
      </c>
      <c r="U210">
        <f t="shared" si="87"/>
        <v>0</v>
      </c>
      <c r="V210">
        <f t="shared" si="88"/>
        <v>0</v>
      </c>
      <c r="W210">
        <f t="shared" si="89"/>
        <v>0</v>
      </c>
      <c r="X210">
        <f t="shared" si="90"/>
        <v>1</v>
      </c>
      <c r="Y210">
        <f t="shared" si="91"/>
        <v>0</v>
      </c>
      <c r="Z210">
        <f t="shared" si="92"/>
        <v>0</v>
      </c>
      <c r="AA210">
        <f t="shared" si="93"/>
        <v>0</v>
      </c>
      <c r="AB210">
        <f t="shared" si="94"/>
        <v>0</v>
      </c>
      <c r="AC210">
        <f t="shared" si="95"/>
        <v>0</v>
      </c>
      <c r="AD210">
        <f t="shared" si="96"/>
        <v>0</v>
      </c>
      <c r="AE210">
        <f t="shared" si="97"/>
        <v>0</v>
      </c>
      <c r="AF210">
        <f t="shared" si="98"/>
        <v>0</v>
      </c>
      <c r="AG210">
        <f t="shared" si="99"/>
        <v>0</v>
      </c>
      <c r="AH210">
        <f t="shared" si="100"/>
        <v>1</v>
      </c>
      <c r="AI210">
        <f t="shared" si="101"/>
        <v>0</v>
      </c>
      <c r="AJ210">
        <f t="shared" si="102"/>
        <v>0</v>
      </c>
      <c r="AK210">
        <f t="shared" si="103"/>
        <v>1</v>
      </c>
      <c r="AL210">
        <f t="shared" si="104"/>
        <v>0</v>
      </c>
      <c r="AM210">
        <f t="shared" si="105"/>
        <v>0</v>
      </c>
      <c r="AN210">
        <f t="shared" si="106"/>
        <v>1</v>
      </c>
      <c r="AO210">
        <f t="shared" si="107"/>
        <v>0</v>
      </c>
      <c r="AP210">
        <f t="shared" si="108"/>
        <v>0</v>
      </c>
      <c r="AQ210">
        <f t="shared" si="109"/>
        <v>0</v>
      </c>
      <c r="AR210">
        <f t="shared" si="110"/>
        <v>1</v>
      </c>
      <c r="AS210">
        <f t="shared" si="111"/>
        <v>0</v>
      </c>
    </row>
    <row r="211" spans="2:45" x14ac:dyDescent="0.3">
      <c r="B211">
        <v>210</v>
      </c>
      <c r="C211" s="1">
        <v>40753</v>
      </c>
      <c r="D211">
        <v>3</v>
      </c>
      <c r="E211">
        <v>0</v>
      </c>
      <c r="F211">
        <v>7</v>
      </c>
      <c r="G211">
        <v>5</v>
      </c>
      <c r="H211">
        <v>1</v>
      </c>
      <c r="I211">
        <v>670</v>
      </c>
      <c r="J211">
        <v>3176</v>
      </c>
      <c r="K211" s="8">
        <v>3846</v>
      </c>
      <c r="L211">
        <v>34.371653000000002</v>
      </c>
      <c r="M211">
        <v>39.298349999999999</v>
      </c>
      <c r="N211">
        <v>54.25</v>
      </c>
      <c r="O211">
        <v>11.667246</v>
      </c>
      <c r="P211">
        <v>0</v>
      </c>
      <c r="Q211">
        <v>1</v>
      </c>
      <c r="R211">
        <f t="shared" si="84"/>
        <v>0</v>
      </c>
      <c r="S211">
        <f t="shared" si="85"/>
        <v>0</v>
      </c>
      <c r="T211">
        <f t="shared" si="86"/>
        <v>0</v>
      </c>
      <c r="U211">
        <f t="shared" si="87"/>
        <v>0</v>
      </c>
      <c r="V211">
        <f t="shared" si="88"/>
        <v>0</v>
      </c>
      <c r="W211">
        <f t="shared" si="89"/>
        <v>0</v>
      </c>
      <c r="X211">
        <f t="shared" si="90"/>
        <v>1</v>
      </c>
      <c r="Y211">
        <f t="shared" si="91"/>
        <v>0</v>
      </c>
      <c r="Z211">
        <f t="shared" si="92"/>
        <v>0</v>
      </c>
      <c r="AA211">
        <f t="shared" si="93"/>
        <v>0</v>
      </c>
      <c r="AB211">
        <f t="shared" si="94"/>
        <v>0</v>
      </c>
      <c r="AC211">
        <f t="shared" si="95"/>
        <v>0</v>
      </c>
      <c r="AD211">
        <f t="shared" si="96"/>
        <v>0</v>
      </c>
      <c r="AE211">
        <f t="shared" si="97"/>
        <v>0</v>
      </c>
      <c r="AF211">
        <f t="shared" si="98"/>
        <v>0</v>
      </c>
      <c r="AG211">
        <f t="shared" si="99"/>
        <v>0</v>
      </c>
      <c r="AH211">
        <f t="shared" si="100"/>
        <v>0</v>
      </c>
      <c r="AI211">
        <f t="shared" si="101"/>
        <v>1</v>
      </c>
      <c r="AJ211">
        <f t="shared" si="102"/>
        <v>0</v>
      </c>
      <c r="AK211">
        <f t="shared" si="103"/>
        <v>1</v>
      </c>
      <c r="AL211">
        <f t="shared" si="104"/>
        <v>0</v>
      </c>
      <c r="AM211">
        <f t="shared" si="105"/>
        <v>0</v>
      </c>
      <c r="AN211">
        <f t="shared" si="106"/>
        <v>1</v>
      </c>
      <c r="AO211">
        <f t="shared" si="107"/>
        <v>0</v>
      </c>
      <c r="AP211">
        <f t="shared" si="108"/>
        <v>0</v>
      </c>
      <c r="AQ211">
        <f t="shared" si="109"/>
        <v>0</v>
      </c>
      <c r="AR211">
        <f t="shared" si="110"/>
        <v>1</v>
      </c>
      <c r="AS211">
        <f t="shared" si="111"/>
        <v>0</v>
      </c>
    </row>
    <row r="212" spans="2:45" x14ac:dyDescent="0.3">
      <c r="B212">
        <v>211</v>
      </c>
      <c r="C212" s="1">
        <v>40754</v>
      </c>
      <c r="D212">
        <v>3</v>
      </c>
      <c r="E212">
        <v>0</v>
      </c>
      <c r="F212">
        <v>7</v>
      </c>
      <c r="G212">
        <v>6</v>
      </c>
      <c r="H212">
        <v>1</v>
      </c>
      <c r="I212">
        <v>1559</v>
      </c>
      <c r="J212">
        <v>2916</v>
      </c>
      <c r="K212" s="8">
        <v>4475</v>
      </c>
      <c r="L212">
        <v>32.970846999999999</v>
      </c>
      <c r="M212">
        <v>36.426850000000002</v>
      </c>
      <c r="N212">
        <v>46.583300000000001</v>
      </c>
      <c r="O212">
        <v>11.291979</v>
      </c>
      <c r="P212">
        <v>0</v>
      </c>
      <c r="Q212">
        <v>0</v>
      </c>
      <c r="R212">
        <f t="shared" si="84"/>
        <v>0</v>
      </c>
      <c r="S212">
        <f t="shared" si="85"/>
        <v>0</v>
      </c>
      <c r="T212">
        <f t="shared" si="86"/>
        <v>0</v>
      </c>
      <c r="U212">
        <f t="shared" si="87"/>
        <v>0</v>
      </c>
      <c r="V212">
        <f t="shared" si="88"/>
        <v>0</v>
      </c>
      <c r="W212">
        <f t="shared" si="89"/>
        <v>0</v>
      </c>
      <c r="X212">
        <f t="shared" si="90"/>
        <v>1</v>
      </c>
      <c r="Y212">
        <f t="shared" si="91"/>
        <v>0</v>
      </c>
      <c r="Z212">
        <f t="shared" si="92"/>
        <v>0</v>
      </c>
      <c r="AA212">
        <f t="shared" si="93"/>
        <v>0</v>
      </c>
      <c r="AB212">
        <f t="shared" si="94"/>
        <v>0</v>
      </c>
      <c r="AC212">
        <f t="shared" si="95"/>
        <v>0</v>
      </c>
      <c r="AD212">
        <f t="shared" si="96"/>
        <v>0</v>
      </c>
      <c r="AE212">
        <f t="shared" si="97"/>
        <v>0</v>
      </c>
      <c r="AF212">
        <f t="shared" si="98"/>
        <v>0</v>
      </c>
      <c r="AG212">
        <f t="shared" si="99"/>
        <v>0</v>
      </c>
      <c r="AH212">
        <f t="shared" si="100"/>
        <v>0</v>
      </c>
      <c r="AI212">
        <f t="shared" si="101"/>
        <v>0</v>
      </c>
      <c r="AJ212">
        <f t="shared" si="102"/>
        <v>1</v>
      </c>
      <c r="AK212">
        <f t="shared" si="103"/>
        <v>1</v>
      </c>
      <c r="AL212">
        <f t="shared" si="104"/>
        <v>0</v>
      </c>
      <c r="AM212">
        <f t="shared" si="105"/>
        <v>0</v>
      </c>
      <c r="AN212">
        <f t="shared" si="106"/>
        <v>1</v>
      </c>
      <c r="AO212">
        <f t="shared" si="107"/>
        <v>0</v>
      </c>
      <c r="AP212">
        <f t="shared" si="108"/>
        <v>0</v>
      </c>
      <c r="AQ212">
        <f t="shared" si="109"/>
        <v>0</v>
      </c>
      <c r="AR212">
        <f t="shared" si="110"/>
        <v>1</v>
      </c>
      <c r="AS212">
        <f t="shared" si="111"/>
        <v>0</v>
      </c>
    </row>
    <row r="213" spans="2:45" x14ac:dyDescent="0.3">
      <c r="B213">
        <v>212</v>
      </c>
      <c r="C213" s="1">
        <v>40755</v>
      </c>
      <c r="D213">
        <v>3</v>
      </c>
      <c r="E213">
        <v>0</v>
      </c>
      <c r="F213">
        <v>7</v>
      </c>
      <c r="G213">
        <v>0</v>
      </c>
      <c r="H213">
        <v>1</v>
      </c>
      <c r="I213">
        <v>1524</v>
      </c>
      <c r="J213">
        <v>2778</v>
      </c>
      <c r="K213" s="8">
        <v>4302</v>
      </c>
      <c r="L213">
        <v>33.039152999999999</v>
      </c>
      <c r="M213">
        <v>36.489800000000002</v>
      </c>
      <c r="N213">
        <v>48.083300000000001</v>
      </c>
      <c r="O213">
        <v>11.042471000000001</v>
      </c>
      <c r="P213">
        <v>0</v>
      </c>
      <c r="Q213">
        <v>0</v>
      </c>
      <c r="R213">
        <f t="shared" si="84"/>
        <v>0</v>
      </c>
      <c r="S213">
        <f t="shared" si="85"/>
        <v>0</v>
      </c>
      <c r="T213">
        <f t="shared" si="86"/>
        <v>0</v>
      </c>
      <c r="U213">
        <f t="shared" si="87"/>
        <v>0</v>
      </c>
      <c r="V213">
        <f t="shared" si="88"/>
        <v>0</v>
      </c>
      <c r="W213">
        <f t="shared" si="89"/>
        <v>0</v>
      </c>
      <c r="X213">
        <f t="shared" si="90"/>
        <v>1</v>
      </c>
      <c r="Y213">
        <f t="shared" si="91"/>
        <v>0</v>
      </c>
      <c r="Z213">
        <f t="shared" si="92"/>
        <v>0</v>
      </c>
      <c r="AA213">
        <f t="shared" si="93"/>
        <v>0</v>
      </c>
      <c r="AB213">
        <f t="shared" si="94"/>
        <v>0</v>
      </c>
      <c r="AC213">
        <f t="shared" si="95"/>
        <v>0</v>
      </c>
      <c r="AD213">
        <f t="shared" si="96"/>
        <v>1</v>
      </c>
      <c r="AE213">
        <f t="shared" si="97"/>
        <v>0</v>
      </c>
      <c r="AF213">
        <f t="shared" si="98"/>
        <v>0</v>
      </c>
      <c r="AG213">
        <f t="shared" si="99"/>
        <v>0</v>
      </c>
      <c r="AH213">
        <f t="shared" si="100"/>
        <v>0</v>
      </c>
      <c r="AI213">
        <f t="shared" si="101"/>
        <v>0</v>
      </c>
      <c r="AJ213">
        <f t="shared" si="102"/>
        <v>0</v>
      </c>
      <c r="AK213">
        <f t="shared" si="103"/>
        <v>1</v>
      </c>
      <c r="AL213">
        <f t="shared" si="104"/>
        <v>0</v>
      </c>
      <c r="AM213">
        <f t="shared" si="105"/>
        <v>0</v>
      </c>
      <c r="AN213">
        <f t="shared" si="106"/>
        <v>1</v>
      </c>
      <c r="AO213">
        <f t="shared" si="107"/>
        <v>0</v>
      </c>
      <c r="AP213">
        <f t="shared" si="108"/>
        <v>0</v>
      </c>
      <c r="AQ213">
        <f t="shared" si="109"/>
        <v>0</v>
      </c>
      <c r="AR213">
        <f t="shared" si="110"/>
        <v>1</v>
      </c>
      <c r="AS213">
        <f t="shared" si="111"/>
        <v>0</v>
      </c>
    </row>
    <row r="214" spans="2:45" x14ac:dyDescent="0.3">
      <c r="B214">
        <v>213</v>
      </c>
      <c r="C214" s="1">
        <v>40756</v>
      </c>
      <c r="D214">
        <v>3</v>
      </c>
      <c r="E214">
        <v>0</v>
      </c>
      <c r="F214">
        <v>8</v>
      </c>
      <c r="G214">
        <v>1</v>
      </c>
      <c r="H214">
        <v>1</v>
      </c>
      <c r="I214">
        <v>729</v>
      </c>
      <c r="J214">
        <v>3537</v>
      </c>
      <c r="K214" s="8">
        <v>4266</v>
      </c>
      <c r="L214">
        <v>31.638347</v>
      </c>
      <c r="M214">
        <v>35.1646</v>
      </c>
      <c r="N214">
        <v>55.083300000000001</v>
      </c>
      <c r="O214">
        <v>10.500038999999999</v>
      </c>
      <c r="P214">
        <v>0</v>
      </c>
      <c r="Q214">
        <v>1</v>
      </c>
      <c r="R214">
        <f t="shared" si="84"/>
        <v>0</v>
      </c>
      <c r="S214">
        <f t="shared" si="85"/>
        <v>0</v>
      </c>
      <c r="T214">
        <f t="shared" si="86"/>
        <v>0</v>
      </c>
      <c r="U214">
        <f t="shared" si="87"/>
        <v>0</v>
      </c>
      <c r="V214">
        <f t="shared" si="88"/>
        <v>0</v>
      </c>
      <c r="W214">
        <f t="shared" si="89"/>
        <v>0</v>
      </c>
      <c r="X214">
        <f t="shared" si="90"/>
        <v>0</v>
      </c>
      <c r="Y214">
        <f t="shared" si="91"/>
        <v>1</v>
      </c>
      <c r="Z214">
        <f t="shared" si="92"/>
        <v>0</v>
      </c>
      <c r="AA214">
        <f t="shared" si="93"/>
        <v>0</v>
      </c>
      <c r="AB214">
        <f t="shared" si="94"/>
        <v>0</v>
      </c>
      <c r="AC214">
        <f t="shared" si="95"/>
        <v>0</v>
      </c>
      <c r="AD214">
        <f t="shared" si="96"/>
        <v>0</v>
      </c>
      <c r="AE214">
        <f t="shared" si="97"/>
        <v>1</v>
      </c>
      <c r="AF214">
        <f t="shared" si="98"/>
        <v>0</v>
      </c>
      <c r="AG214">
        <f t="shared" si="99"/>
        <v>0</v>
      </c>
      <c r="AH214">
        <f t="shared" si="100"/>
        <v>0</v>
      </c>
      <c r="AI214">
        <f t="shared" si="101"/>
        <v>0</v>
      </c>
      <c r="AJ214">
        <f t="shared" si="102"/>
        <v>0</v>
      </c>
      <c r="AK214">
        <f t="shared" si="103"/>
        <v>1</v>
      </c>
      <c r="AL214">
        <f t="shared" si="104"/>
        <v>0</v>
      </c>
      <c r="AM214">
        <f t="shared" si="105"/>
        <v>0</v>
      </c>
      <c r="AN214">
        <f t="shared" si="106"/>
        <v>1</v>
      </c>
      <c r="AO214">
        <f t="shared" si="107"/>
        <v>0</v>
      </c>
      <c r="AP214">
        <f t="shared" si="108"/>
        <v>0</v>
      </c>
      <c r="AQ214">
        <f t="shared" si="109"/>
        <v>0</v>
      </c>
      <c r="AR214">
        <f t="shared" si="110"/>
        <v>1</v>
      </c>
      <c r="AS214">
        <f t="shared" si="111"/>
        <v>0</v>
      </c>
    </row>
    <row r="215" spans="2:45" x14ac:dyDescent="0.3">
      <c r="B215">
        <v>214</v>
      </c>
      <c r="C215" s="1">
        <v>40757</v>
      </c>
      <c r="D215">
        <v>3</v>
      </c>
      <c r="E215">
        <v>0</v>
      </c>
      <c r="F215">
        <v>8</v>
      </c>
      <c r="G215">
        <v>2</v>
      </c>
      <c r="H215">
        <v>1</v>
      </c>
      <c r="I215">
        <v>801</v>
      </c>
      <c r="J215">
        <v>4044</v>
      </c>
      <c r="K215" s="8">
        <v>4845</v>
      </c>
      <c r="L215">
        <v>32.116652999999999</v>
      </c>
      <c r="M215">
        <v>35.353549999999998</v>
      </c>
      <c r="N215">
        <v>49.125</v>
      </c>
      <c r="O215">
        <v>13.79195</v>
      </c>
      <c r="P215">
        <v>0</v>
      </c>
      <c r="Q215">
        <v>1</v>
      </c>
      <c r="R215">
        <f t="shared" si="84"/>
        <v>0</v>
      </c>
      <c r="S215">
        <f t="shared" si="85"/>
        <v>0</v>
      </c>
      <c r="T215">
        <f t="shared" si="86"/>
        <v>0</v>
      </c>
      <c r="U215">
        <f t="shared" si="87"/>
        <v>0</v>
      </c>
      <c r="V215">
        <f t="shared" si="88"/>
        <v>0</v>
      </c>
      <c r="W215">
        <f t="shared" si="89"/>
        <v>0</v>
      </c>
      <c r="X215">
        <f t="shared" si="90"/>
        <v>0</v>
      </c>
      <c r="Y215">
        <f t="shared" si="91"/>
        <v>1</v>
      </c>
      <c r="Z215">
        <f t="shared" si="92"/>
        <v>0</v>
      </c>
      <c r="AA215">
        <f t="shared" si="93"/>
        <v>0</v>
      </c>
      <c r="AB215">
        <f t="shared" si="94"/>
        <v>0</v>
      </c>
      <c r="AC215">
        <f t="shared" si="95"/>
        <v>0</v>
      </c>
      <c r="AD215">
        <f t="shared" si="96"/>
        <v>0</v>
      </c>
      <c r="AE215">
        <f t="shared" si="97"/>
        <v>0</v>
      </c>
      <c r="AF215">
        <f t="shared" si="98"/>
        <v>1</v>
      </c>
      <c r="AG215">
        <f t="shared" si="99"/>
        <v>0</v>
      </c>
      <c r="AH215">
        <f t="shared" si="100"/>
        <v>0</v>
      </c>
      <c r="AI215">
        <f t="shared" si="101"/>
        <v>0</v>
      </c>
      <c r="AJ215">
        <f t="shared" si="102"/>
        <v>0</v>
      </c>
      <c r="AK215">
        <f t="shared" si="103"/>
        <v>1</v>
      </c>
      <c r="AL215">
        <f t="shared" si="104"/>
        <v>0</v>
      </c>
      <c r="AM215">
        <f t="shared" si="105"/>
        <v>0</v>
      </c>
      <c r="AN215">
        <f t="shared" si="106"/>
        <v>1</v>
      </c>
      <c r="AO215">
        <f t="shared" si="107"/>
        <v>0</v>
      </c>
      <c r="AP215">
        <f t="shared" si="108"/>
        <v>0</v>
      </c>
      <c r="AQ215">
        <f t="shared" si="109"/>
        <v>0</v>
      </c>
      <c r="AR215">
        <f t="shared" si="110"/>
        <v>1</v>
      </c>
      <c r="AS215">
        <f t="shared" si="111"/>
        <v>0</v>
      </c>
    </row>
    <row r="216" spans="2:45" x14ac:dyDescent="0.3">
      <c r="B216">
        <v>215</v>
      </c>
      <c r="C216" s="1">
        <v>40758</v>
      </c>
      <c r="D216">
        <v>3</v>
      </c>
      <c r="E216">
        <v>0</v>
      </c>
      <c r="F216">
        <v>8</v>
      </c>
      <c r="G216">
        <v>3</v>
      </c>
      <c r="H216">
        <v>2</v>
      </c>
      <c r="I216">
        <v>467</v>
      </c>
      <c r="J216">
        <v>3107</v>
      </c>
      <c r="K216" s="8">
        <v>3574</v>
      </c>
      <c r="L216">
        <v>29.998346999999999</v>
      </c>
      <c r="M216">
        <v>33.996850000000002</v>
      </c>
      <c r="N216">
        <v>65.75</v>
      </c>
      <c r="O216">
        <v>9.0840610000000002</v>
      </c>
      <c r="P216">
        <v>0</v>
      </c>
      <c r="Q216">
        <v>1</v>
      </c>
      <c r="R216">
        <f t="shared" si="84"/>
        <v>0</v>
      </c>
      <c r="S216">
        <f t="shared" si="85"/>
        <v>0</v>
      </c>
      <c r="T216">
        <f t="shared" si="86"/>
        <v>0</v>
      </c>
      <c r="U216">
        <f t="shared" si="87"/>
        <v>0</v>
      </c>
      <c r="V216">
        <f t="shared" si="88"/>
        <v>0</v>
      </c>
      <c r="W216">
        <f t="shared" si="89"/>
        <v>0</v>
      </c>
      <c r="X216">
        <f t="shared" si="90"/>
        <v>0</v>
      </c>
      <c r="Y216">
        <f t="shared" si="91"/>
        <v>1</v>
      </c>
      <c r="Z216">
        <f t="shared" si="92"/>
        <v>0</v>
      </c>
      <c r="AA216">
        <f t="shared" si="93"/>
        <v>0</v>
      </c>
      <c r="AB216">
        <f t="shared" si="94"/>
        <v>0</v>
      </c>
      <c r="AC216">
        <f t="shared" si="95"/>
        <v>0</v>
      </c>
      <c r="AD216">
        <f t="shared" si="96"/>
        <v>0</v>
      </c>
      <c r="AE216">
        <f t="shared" si="97"/>
        <v>0</v>
      </c>
      <c r="AF216">
        <f t="shared" si="98"/>
        <v>0</v>
      </c>
      <c r="AG216">
        <f t="shared" si="99"/>
        <v>1</v>
      </c>
      <c r="AH216">
        <f t="shared" si="100"/>
        <v>0</v>
      </c>
      <c r="AI216">
        <f t="shared" si="101"/>
        <v>0</v>
      </c>
      <c r="AJ216">
        <f t="shared" si="102"/>
        <v>0</v>
      </c>
      <c r="AK216">
        <f t="shared" si="103"/>
        <v>0</v>
      </c>
      <c r="AL216">
        <f t="shared" si="104"/>
        <v>1</v>
      </c>
      <c r="AM216">
        <f t="shared" si="105"/>
        <v>0</v>
      </c>
      <c r="AN216">
        <f t="shared" si="106"/>
        <v>1</v>
      </c>
      <c r="AO216">
        <f t="shared" si="107"/>
        <v>0</v>
      </c>
      <c r="AP216">
        <f t="shared" si="108"/>
        <v>0</v>
      </c>
      <c r="AQ216">
        <f t="shared" si="109"/>
        <v>0</v>
      </c>
      <c r="AR216">
        <f t="shared" si="110"/>
        <v>1</v>
      </c>
      <c r="AS216">
        <f t="shared" si="111"/>
        <v>0</v>
      </c>
    </row>
    <row r="217" spans="2:45" x14ac:dyDescent="0.3">
      <c r="B217">
        <v>216</v>
      </c>
      <c r="C217" s="1">
        <v>40759</v>
      </c>
      <c r="D217">
        <v>3</v>
      </c>
      <c r="E217">
        <v>0</v>
      </c>
      <c r="F217">
        <v>8</v>
      </c>
      <c r="G217">
        <v>4</v>
      </c>
      <c r="H217">
        <v>2</v>
      </c>
      <c r="I217">
        <v>799</v>
      </c>
      <c r="J217">
        <v>3777</v>
      </c>
      <c r="K217" s="8">
        <v>4576</v>
      </c>
      <c r="L217">
        <v>29.11</v>
      </c>
      <c r="M217">
        <v>33.239400000000003</v>
      </c>
      <c r="N217">
        <v>75.75</v>
      </c>
      <c r="O217">
        <v>13.20905</v>
      </c>
      <c r="P217">
        <v>0</v>
      </c>
      <c r="Q217">
        <v>1</v>
      </c>
      <c r="R217">
        <f t="shared" si="84"/>
        <v>0</v>
      </c>
      <c r="S217">
        <f t="shared" si="85"/>
        <v>0</v>
      </c>
      <c r="T217">
        <f t="shared" si="86"/>
        <v>0</v>
      </c>
      <c r="U217">
        <f t="shared" si="87"/>
        <v>0</v>
      </c>
      <c r="V217">
        <f t="shared" si="88"/>
        <v>0</v>
      </c>
      <c r="W217">
        <f t="shared" si="89"/>
        <v>0</v>
      </c>
      <c r="X217">
        <f t="shared" si="90"/>
        <v>0</v>
      </c>
      <c r="Y217">
        <f t="shared" si="91"/>
        <v>1</v>
      </c>
      <c r="Z217">
        <f t="shared" si="92"/>
        <v>0</v>
      </c>
      <c r="AA217">
        <f t="shared" si="93"/>
        <v>0</v>
      </c>
      <c r="AB217">
        <f t="shared" si="94"/>
        <v>0</v>
      </c>
      <c r="AC217">
        <f t="shared" si="95"/>
        <v>0</v>
      </c>
      <c r="AD217">
        <f t="shared" si="96"/>
        <v>0</v>
      </c>
      <c r="AE217">
        <f t="shared" si="97"/>
        <v>0</v>
      </c>
      <c r="AF217">
        <f t="shared" si="98"/>
        <v>0</v>
      </c>
      <c r="AG217">
        <f t="shared" si="99"/>
        <v>0</v>
      </c>
      <c r="AH217">
        <f t="shared" si="100"/>
        <v>1</v>
      </c>
      <c r="AI217">
        <f t="shared" si="101"/>
        <v>0</v>
      </c>
      <c r="AJ217">
        <f t="shared" si="102"/>
        <v>0</v>
      </c>
      <c r="AK217">
        <f t="shared" si="103"/>
        <v>0</v>
      </c>
      <c r="AL217">
        <f t="shared" si="104"/>
        <v>1</v>
      </c>
      <c r="AM217">
        <f t="shared" si="105"/>
        <v>0</v>
      </c>
      <c r="AN217">
        <f t="shared" si="106"/>
        <v>1</v>
      </c>
      <c r="AO217">
        <f t="shared" si="107"/>
        <v>0</v>
      </c>
      <c r="AP217">
        <f t="shared" si="108"/>
        <v>0</v>
      </c>
      <c r="AQ217">
        <f t="shared" si="109"/>
        <v>0</v>
      </c>
      <c r="AR217">
        <f t="shared" si="110"/>
        <v>1</v>
      </c>
      <c r="AS217">
        <f t="shared" si="111"/>
        <v>0</v>
      </c>
    </row>
    <row r="218" spans="2:45" x14ac:dyDescent="0.3">
      <c r="B218">
        <v>217</v>
      </c>
      <c r="C218" s="1">
        <v>40760</v>
      </c>
      <c r="D218">
        <v>3</v>
      </c>
      <c r="E218">
        <v>0</v>
      </c>
      <c r="F218">
        <v>8</v>
      </c>
      <c r="G218">
        <v>5</v>
      </c>
      <c r="H218">
        <v>1</v>
      </c>
      <c r="I218">
        <v>1023</v>
      </c>
      <c r="J218">
        <v>3843</v>
      </c>
      <c r="K218" s="8">
        <v>4866</v>
      </c>
      <c r="L218">
        <v>29.144152999999999</v>
      </c>
      <c r="M218">
        <v>32.82835</v>
      </c>
      <c r="N218">
        <v>63.083300000000001</v>
      </c>
      <c r="O218">
        <v>12.374632</v>
      </c>
      <c r="P218">
        <v>0</v>
      </c>
      <c r="Q218">
        <v>1</v>
      </c>
      <c r="R218">
        <f t="shared" si="84"/>
        <v>0</v>
      </c>
      <c r="S218">
        <f t="shared" si="85"/>
        <v>0</v>
      </c>
      <c r="T218">
        <f t="shared" si="86"/>
        <v>0</v>
      </c>
      <c r="U218">
        <f t="shared" si="87"/>
        <v>0</v>
      </c>
      <c r="V218">
        <f t="shared" si="88"/>
        <v>0</v>
      </c>
      <c r="W218">
        <f t="shared" si="89"/>
        <v>0</v>
      </c>
      <c r="X218">
        <f t="shared" si="90"/>
        <v>0</v>
      </c>
      <c r="Y218">
        <f t="shared" si="91"/>
        <v>1</v>
      </c>
      <c r="Z218">
        <f t="shared" si="92"/>
        <v>0</v>
      </c>
      <c r="AA218">
        <f t="shared" si="93"/>
        <v>0</v>
      </c>
      <c r="AB218">
        <f t="shared" si="94"/>
        <v>0</v>
      </c>
      <c r="AC218">
        <f t="shared" si="95"/>
        <v>0</v>
      </c>
      <c r="AD218">
        <f t="shared" si="96"/>
        <v>0</v>
      </c>
      <c r="AE218">
        <f t="shared" si="97"/>
        <v>0</v>
      </c>
      <c r="AF218">
        <f t="shared" si="98"/>
        <v>0</v>
      </c>
      <c r="AG218">
        <f t="shared" si="99"/>
        <v>0</v>
      </c>
      <c r="AH218">
        <f t="shared" si="100"/>
        <v>0</v>
      </c>
      <c r="AI218">
        <f t="shared" si="101"/>
        <v>1</v>
      </c>
      <c r="AJ218">
        <f t="shared" si="102"/>
        <v>0</v>
      </c>
      <c r="AK218">
        <f t="shared" si="103"/>
        <v>1</v>
      </c>
      <c r="AL218">
        <f t="shared" si="104"/>
        <v>0</v>
      </c>
      <c r="AM218">
        <f t="shared" si="105"/>
        <v>0</v>
      </c>
      <c r="AN218">
        <f t="shared" si="106"/>
        <v>1</v>
      </c>
      <c r="AO218">
        <f t="shared" si="107"/>
        <v>0</v>
      </c>
      <c r="AP218">
        <f t="shared" si="108"/>
        <v>0</v>
      </c>
      <c r="AQ218">
        <f t="shared" si="109"/>
        <v>0</v>
      </c>
      <c r="AR218">
        <f t="shared" si="110"/>
        <v>1</v>
      </c>
      <c r="AS218">
        <f t="shared" si="111"/>
        <v>0</v>
      </c>
    </row>
    <row r="219" spans="2:45" x14ac:dyDescent="0.3">
      <c r="B219">
        <v>218</v>
      </c>
      <c r="C219" s="1">
        <v>40761</v>
      </c>
      <c r="D219">
        <v>3</v>
      </c>
      <c r="E219">
        <v>0</v>
      </c>
      <c r="F219">
        <v>8</v>
      </c>
      <c r="G219">
        <v>6</v>
      </c>
      <c r="H219">
        <v>2</v>
      </c>
      <c r="I219">
        <v>1521</v>
      </c>
      <c r="J219">
        <v>2773</v>
      </c>
      <c r="K219" s="8">
        <v>4294</v>
      </c>
      <c r="L219">
        <v>29.383347000000001</v>
      </c>
      <c r="M219">
        <v>33.807699999999997</v>
      </c>
      <c r="N219">
        <v>75.5</v>
      </c>
      <c r="O219">
        <v>15.29275</v>
      </c>
      <c r="P219">
        <v>0</v>
      </c>
      <c r="Q219">
        <v>0</v>
      </c>
      <c r="R219">
        <f t="shared" si="84"/>
        <v>0</v>
      </c>
      <c r="S219">
        <f t="shared" si="85"/>
        <v>0</v>
      </c>
      <c r="T219">
        <f t="shared" si="86"/>
        <v>0</v>
      </c>
      <c r="U219">
        <f t="shared" si="87"/>
        <v>0</v>
      </c>
      <c r="V219">
        <f t="shared" si="88"/>
        <v>0</v>
      </c>
      <c r="W219">
        <f t="shared" si="89"/>
        <v>0</v>
      </c>
      <c r="X219">
        <f t="shared" si="90"/>
        <v>0</v>
      </c>
      <c r="Y219">
        <f t="shared" si="91"/>
        <v>1</v>
      </c>
      <c r="Z219">
        <f t="shared" si="92"/>
        <v>0</v>
      </c>
      <c r="AA219">
        <f t="shared" si="93"/>
        <v>0</v>
      </c>
      <c r="AB219">
        <f t="shared" si="94"/>
        <v>0</v>
      </c>
      <c r="AC219">
        <f t="shared" si="95"/>
        <v>0</v>
      </c>
      <c r="AD219">
        <f t="shared" si="96"/>
        <v>0</v>
      </c>
      <c r="AE219">
        <f t="shared" si="97"/>
        <v>0</v>
      </c>
      <c r="AF219">
        <f t="shared" si="98"/>
        <v>0</v>
      </c>
      <c r="AG219">
        <f t="shared" si="99"/>
        <v>0</v>
      </c>
      <c r="AH219">
        <f t="shared" si="100"/>
        <v>0</v>
      </c>
      <c r="AI219">
        <f t="shared" si="101"/>
        <v>0</v>
      </c>
      <c r="AJ219">
        <f t="shared" si="102"/>
        <v>1</v>
      </c>
      <c r="AK219">
        <f t="shared" si="103"/>
        <v>0</v>
      </c>
      <c r="AL219">
        <f t="shared" si="104"/>
        <v>1</v>
      </c>
      <c r="AM219">
        <f t="shared" si="105"/>
        <v>0</v>
      </c>
      <c r="AN219">
        <f t="shared" si="106"/>
        <v>1</v>
      </c>
      <c r="AO219">
        <f t="shared" si="107"/>
        <v>0</v>
      </c>
      <c r="AP219">
        <f t="shared" si="108"/>
        <v>0</v>
      </c>
      <c r="AQ219">
        <f t="shared" si="109"/>
        <v>0</v>
      </c>
      <c r="AR219">
        <f t="shared" si="110"/>
        <v>1</v>
      </c>
      <c r="AS219">
        <f t="shared" si="111"/>
        <v>0</v>
      </c>
    </row>
    <row r="220" spans="2:45" x14ac:dyDescent="0.3">
      <c r="B220">
        <v>219</v>
      </c>
      <c r="C220" s="1">
        <v>40762</v>
      </c>
      <c r="D220">
        <v>3</v>
      </c>
      <c r="E220">
        <v>0</v>
      </c>
      <c r="F220">
        <v>8</v>
      </c>
      <c r="G220">
        <v>0</v>
      </c>
      <c r="H220">
        <v>1</v>
      </c>
      <c r="I220">
        <v>1298</v>
      </c>
      <c r="J220">
        <v>2487</v>
      </c>
      <c r="K220" s="8">
        <v>3785</v>
      </c>
      <c r="L220">
        <v>30.442499999999999</v>
      </c>
      <c r="M220">
        <v>35.764600000000002</v>
      </c>
      <c r="N220">
        <v>75.291700000000006</v>
      </c>
      <c r="O220">
        <v>13.499629000000001</v>
      </c>
      <c r="P220">
        <v>0</v>
      </c>
      <c r="Q220">
        <v>0</v>
      </c>
      <c r="R220">
        <f t="shared" si="84"/>
        <v>0</v>
      </c>
      <c r="S220">
        <f t="shared" si="85"/>
        <v>0</v>
      </c>
      <c r="T220">
        <f t="shared" si="86"/>
        <v>0</v>
      </c>
      <c r="U220">
        <f t="shared" si="87"/>
        <v>0</v>
      </c>
      <c r="V220">
        <f t="shared" si="88"/>
        <v>0</v>
      </c>
      <c r="W220">
        <f t="shared" si="89"/>
        <v>0</v>
      </c>
      <c r="X220">
        <f t="shared" si="90"/>
        <v>0</v>
      </c>
      <c r="Y220">
        <f t="shared" si="91"/>
        <v>1</v>
      </c>
      <c r="Z220">
        <f t="shared" si="92"/>
        <v>0</v>
      </c>
      <c r="AA220">
        <f t="shared" si="93"/>
        <v>0</v>
      </c>
      <c r="AB220">
        <f t="shared" si="94"/>
        <v>0</v>
      </c>
      <c r="AC220">
        <f t="shared" si="95"/>
        <v>0</v>
      </c>
      <c r="AD220">
        <f t="shared" si="96"/>
        <v>1</v>
      </c>
      <c r="AE220">
        <f t="shared" si="97"/>
        <v>0</v>
      </c>
      <c r="AF220">
        <f t="shared" si="98"/>
        <v>0</v>
      </c>
      <c r="AG220">
        <f t="shared" si="99"/>
        <v>0</v>
      </c>
      <c r="AH220">
        <f t="shared" si="100"/>
        <v>0</v>
      </c>
      <c r="AI220">
        <f t="shared" si="101"/>
        <v>0</v>
      </c>
      <c r="AJ220">
        <f t="shared" si="102"/>
        <v>0</v>
      </c>
      <c r="AK220">
        <f t="shared" si="103"/>
        <v>1</v>
      </c>
      <c r="AL220">
        <f t="shared" si="104"/>
        <v>0</v>
      </c>
      <c r="AM220">
        <f t="shared" si="105"/>
        <v>0</v>
      </c>
      <c r="AN220">
        <f t="shared" si="106"/>
        <v>1</v>
      </c>
      <c r="AO220">
        <f t="shared" si="107"/>
        <v>0</v>
      </c>
      <c r="AP220">
        <f t="shared" si="108"/>
        <v>0</v>
      </c>
      <c r="AQ220">
        <f t="shared" si="109"/>
        <v>0</v>
      </c>
      <c r="AR220">
        <f t="shared" si="110"/>
        <v>1</v>
      </c>
      <c r="AS220">
        <f t="shared" si="111"/>
        <v>0</v>
      </c>
    </row>
    <row r="221" spans="2:45" x14ac:dyDescent="0.3">
      <c r="B221">
        <v>220</v>
      </c>
      <c r="C221" s="1">
        <v>40763</v>
      </c>
      <c r="D221">
        <v>3</v>
      </c>
      <c r="E221">
        <v>0</v>
      </c>
      <c r="F221">
        <v>8</v>
      </c>
      <c r="G221">
        <v>1</v>
      </c>
      <c r="H221">
        <v>1</v>
      </c>
      <c r="I221">
        <v>846</v>
      </c>
      <c r="J221">
        <v>3480</v>
      </c>
      <c r="K221" s="8">
        <v>4326</v>
      </c>
      <c r="L221">
        <v>31.364999999999998</v>
      </c>
      <c r="M221">
        <v>35.164149999999999</v>
      </c>
      <c r="N221">
        <v>59.208300000000001</v>
      </c>
      <c r="O221">
        <v>12.875724999999999</v>
      </c>
      <c r="P221">
        <v>0</v>
      </c>
      <c r="Q221">
        <v>1</v>
      </c>
      <c r="R221">
        <f t="shared" si="84"/>
        <v>0</v>
      </c>
      <c r="S221">
        <f t="shared" si="85"/>
        <v>0</v>
      </c>
      <c r="T221">
        <f t="shared" si="86"/>
        <v>0</v>
      </c>
      <c r="U221">
        <f t="shared" si="87"/>
        <v>0</v>
      </c>
      <c r="V221">
        <f t="shared" si="88"/>
        <v>0</v>
      </c>
      <c r="W221">
        <f t="shared" si="89"/>
        <v>0</v>
      </c>
      <c r="X221">
        <f t="shared" si="90"/>
        <v>0</v>
      </c>
      <c r="Y221">
        <f t="shared" si="91"/>
        <v>1</v>
      </c>
      <c r="Z221">
        <f t="shared" si="92"/>
        <v>0</v>
      </c>
      <c r="AA221">
        <f t="shared" si="93"/>
        <v>0</v>
      </c>
      <c r="AB221">
        <f t="shared" si="94"/>
        <v>0</v>
      </c>
      <c r="AC221">
        <f t="shared" si="95"/>
        <v>0</v>
      </c>
      <c r="AD221">
        <f t="shared" si="96"/>
        <v>0</v>
      </c>
      <c r="AE221">
        <f t="shared" si="97"/>
        <v>1</v>
      </c>
      <c r="AF221">
        <f t="shared" si="98"/>
        <v>0</v>
      </c>
      <c r="AG221">
        <f t="shared" si="99"/>
        <v>0</v>
      </c>
      <c r="AH221">
        <f t="shared" si="100"/>
        <v>0</v>
      </c>
      <c r="AI221">
        <f t="shared" si="101"/>
        <v>0</v>
      </c>
      <c r="AJ221">
        <f t="shared" si="102"/>
        <v>0</v>
      </c>
      <c r="AK221">
        <f t="shared" si="103"/>
        <v>1</v>
      </c>
      <c r="AL221">
        <f t="shared" si="104"/>
        <v>0</v>
      </c>
      <c r="AM221">
        <f t="shared" si="105"/>
        <v>0</v>
      </c>
      <c r="AN221">
        <f t="shared" si="106"/>
        <v>1</v>
      </c>
      <c r="AO221">
        <f t="shared" si="107"/>
        <v>0</v>
      </c>
      <c r="AP221">
        <f t="shared" si="108"/>
        <v>0</v>
      </c>
      <c r="AQ221">
        <f t="shared" si="109"/>
        <v>0</v>
      </c>
      <c r="AR221">
        <f t="shared" si="110"/>
        <v>1</v>
      </c>
      <c r="AS221">
        <f t="shared" si="111"/>
        <v>0</v>
      </c>
    </row>
    <row r="222" spans="2:45" x14ac:dyDescent="0.3">
      <c r="B222">
        <v>221</v>
      </c>
      <c r="C222" s="1">
        <v>40764</v>
      </c>
      <c r="D222">
        <v>3</v>
      </c>
      <c r="E222">
        <v>0</v>
      </c>
      <c r="F222">
        <v>8</v>
      </c>
      <c r="G222">
        <v>2</v>
      </c>
      <c r="H222">
        <v>1</v>
      </c>
      <c r="I222">
        <v>907</v>
      </c>
      <c r="J222">
        <v>3695</v>
      </c>
      <c r="K222" s="8">
        <v>4602</v>
      </c>
      <c r="L222">
        <v>31.774999999999999</v>
      </c>
      <c r="M222">
        <v>36.206049999999998</v>
      </c>
      <c r="N222">
        <v>57.041699999999999</v>
      </c>
      <c r="O222">
        <v>10.125107</v>
      </c>
      <c r="P222">
        <v>0</v>
      </c>
      <c r="Q222">
        <v>1</v>
      </c>
      <c r="R222">
        <f t="shared" si="84"/>
        <v>0</v>
      </c>
      <c r="S222">
        <f t="shared" si="85"/>
        <v>0</v>
      </c>
      <c r="T222">
        <f t="shared" si="86"/>
        <v>0</v>
      </c>
      <c r="U222">
        <f t="shared" si="87"/>
        <v>0</v>
      </c>
      <c r="V222">
        <f t="shared" si="88"/>
        <v>0</v>
      </c>
      <c r="W222">
        <f t="shared" si="89"/>
        <v>0</v>
      </c>
      <c r="X222">
        <f t="shared" si="90"/>
        <v>0</v>
      </c>
      <c r="Y222">
        <f t="shared" si="91"/>
        <v>1</v>
      </c>
      <c r="Z222">
        <f t="shared" si="92"/>
        <v>0</v>
      </c>
      <c r="AA222">
        <f t="shared" si="93"/>
        <v>0</v>
      </c>
      <c r="AB222">
        <f t="shared" si="94"/>
        <v>0</v>
      </c>
      <c r="AC222">
        <f t="shared" si="95"/>
        <v>0</v>
      </c>
      <c r="AD222">
        <f t="shared" si="96"/>
        <v>0</v>
      </c>
      <c r="AE222">
        <f t="shared" si="97"/>
        <v>0</v>
      </c>
      <c r="AF222">
        <f t="shared" si="98"/>
        <v>1</v>
      </c>
      <c r="AG222">
        <f t="shared" si="99"/>
        <v>0</v>
      </c>
      <c r="AH222">
        <f t="shared" si="100"/>
        <v>0</v>
      </c>
      <c r="AI222">
        <f t="shared" si="101"/>
        <v>0</v>
      </c>
      <c r="AJ222">
        <f t="shared" si="102"/>
        <v>0</v>
      </c>
      <c r="AK222">
        <f t="shared" si="103"/>
        <v>1</v>
      </c>
      <c r="AL222">
        <f t="shared" si="104"/>
        <v>0</v>
      </c>
      <c r="AM222">
        <f t="shared" si="105"/>
        <v>0</v>
      </c>
      <c r="AN222">
        <f t="shared" si="106"/>
        <v>1</v>
      </c>
      <c r="AO222">
        <f t="shared" si="107"/>
        <v>0</v>
      </c>
      <c r="AP222">
        <f t="shared" si="108"/>
        <v>0</v>
      </c>
      <c r="AQ222">
        <f t="shared" si="109"/>
        <v>0</v>
      </c>
      <c r="AR222">
        <f t="shared" si="110"/>
        <v>1</v>
      </c>
      <c r="AS222">
        <f t="shared" si="111"/>
        <v>0</v>
      </c>
    </row>
    <row r="223" spans="2:45" x14ac:dyDescent="0.3">
      <c r="B223">
        <v>222</v>
      </c>
      <c r="C223" s="1">
        <v>40765</v>
      </c>
      <c r="D223">
        <v>3</v>
      </c>
      <c r="E223">
        <v>0</v>
      </c>
      <c r="F223">
        <v>8</v>
      </c>
      <c r="G223">
        <v>3</v>
      </c>
      <c r="H223">
        <v>1</v>
      </c>
      <c r="I223">
        <v>884</v>
      </c>
      <c r="J223">
        <v>3896</v>
      </c>
      <c r="K223" s="8">
        <v>4780</v>
      </c>
      <c r="L223">
        <v>31.433347000000001</v>
      </c>
      <c r="M223">
        <v>34.24915</v>
      </c>
      <c r="N223">
        <v>42.416699999999999</v>
      </c>
      <c r="O223">
        <v>13.417286000000001</v>
      </c>
      <c r="P223">
        <v>0</v>
      </c>
      <c r="Q223">
        <v>1</v>
      </c>
      <c r="R223">
        <f t="shared" si="84"/>
        <v>0</v>
      </c>
      <c r="S223">
        <f t="shared" si="85"/>
        <v>0</v>
      </c>
      <c r="T223">
        <f t="shared" si="86"/>
        <v>0</v>
      </c>
      <c r="U223">
        <f t="shared" si="87"/>
        <v>0</v>
      </c>
      <c r="V223">
        <f t="shared" si="88"/>
        <v>0</v>
      </c>
      <c r="W223">
        <f t="shared" si="89"/>
        <v>0</v>
      </c>
      <c r="X223">
        <f t="shared" si="90"/>
        <v>0</v>
      </c>
      <c r="Y223">
        <f t="shared" si="91"/>
        <v>1</v>
      </c>
      <c r="Z223">
        <f t="shared" si="92"/>
        <v>0</v>
      </c>
      <c r="AA223">
        <f t="shared" si="93"/>
        <v>0</v>
      </c>
      <c r="AB223">
        <f t="shared" si="94"/>
        <v>0</v>
      </c>
      <c r="AC223">
        <f t="shared" si="95"/>
        <v>0</v>
      </c>
      <c r="AD223">
        <f t="shared" si="96"/>
        <v>0</v>
      </c>
      <c r="AE223">
        <f t="shared" si="97"/>
        <v>0</v>
      </c>
      <c r="AF223">
        <f t="shared" si="98"/>
        <v>0</v>
      </c>
      <c r="AG223">
        <f t="shared" si="99"/>
        <v>1</v>
      </c>
      <c r="AH223">
        <f t="shared" si="100"/>
        <v>0</v>
      </c>
      <c r="AI223">
        <f t="shared" si="101"/>
        <v>0</v>
      </c>
      <c r="AJ223">
        <f t="shared" si="102"/>
        <v>0</v>
      </c>
      <c r="AK223">
        <f t="shared" si="103"/>
        <v>1</v>
      </c>
      <c r="AL223">
        <f t="shared" si="104"/>
        <v>0</v>
      </c>
      <c r="AM223">
        <f t="shared" si="105"/>
        <v>0</v>
      </c>
      <c r="AN223">
        <f t="shared" si="106"/>
        <v>1</v>
      </c>
      <c r="AO223">
        <f t="shared" si="107"/>
        <v>0</v>
      </c>
      <c r="AP223">
        <f t="shared" si="108"/>
        <v>0</v>
      </c>
      <c r="AQ223">
        <f t="shared" si="109"/>
        <v>0</v>
      </c>
      <c r="AR223">
        <f t="shared" si="110"/>
        <v>1</v>
      </c>
      <c r="AS223">
        <f t="shared" si="111"/>
        <v>0</v>
      </c>
    </row>
    <row r="224" spans="2:45" x14ac:dyDescent="0.3">
      <c r="B224">
        <v>223</v>
      </c>
      <c r="C224" s="1">
        <v>40766</v>
      </c>
      <c r="D224">
        <v>3</v>
      </c>
      <c r="E224">
        <v>0</v>
      </c>
      <c r="F224">
        <v>8</v>
      </c>
      <c r="G224">
        <v>4</v>
      </c>
      <c r="H224">
        <v>1</v>
      </c>
      <c r="I224">
        <v>812</v>
      </c>
      <c r="J224">
        <v>3980</v>
      </c>
      <c r="K224" s="8">
        <v>4792</v>
      </c>
      <c r="L224">
        <v>29.4175</v>
      </c>
      <c r="M224">
        <v>32.576050000000002</v>
      </c>
      <c r="N224">
        <v>42.375</v>
      </c>
      <c r="O224">
        <v>11.041332000000001</v>
      </c>
      <c r="P224">
        <v>0</v>
      </c>
      <c r="Q224">
        <v>1</v>
      </c>
      <c r="R224">
        <f t="shared" si="84"/>
        <v>0</v>
      </c>
      <c r="S224">
        <f t="shared" si="85"/>
        <v>0</v>
      </c>
      <c r="T224">
        <f t="shared" si="86"/>
        <v>0</v>
      </c>
      <c r="U224">
        <f t="shared" si="87"/>
        <v>0</v>
      </c>
      <c r="V224">
        <f t="shared" si="88"/>
        <v>0</v>
      </c>
      <c r="W224">
        <f t="shared" si="89"/>
        <v>0</v>
      </c>
      <c r="X224">
        <f t="shared" si="90"/>
        <v>0</v>
      </c>
      <c r="Y224">
        <f t="shared" si="91"/>
        <v>1</v>
      </c>
      <c r="Z224">
        <f t="shared" si="92"/>
        <v>0</v>
      </c>
      <c r="AA224">
        <f t="shared" si="93"/>
        <v>0</v>
      </c>
      <c r="AB224">
        <f t="shared" si="94"/>
        <v>0</v>
      </c>
      <c r="AC224">
        <f t="shared" si="95"/>
        <v>0</v>
      </c>
      <c r="AD224">
        <f t="shared" si="96"/>
        <v>0</v>
      </c>
      <c r="AE224">
        <f t="shared" si="97"/>
        <v>0</v>
      </c>
      <c r="AF224">
        <f t="shared" si="98"/>
        <v>0</v>
      </c>
      <c r="AG224">
        <f t="shared" si="99"/>
        <v>0</v>
      </c>
      <c r="AH224">
        <f t="shared" si="100"/>
        <v>1</v>
      </c>
      <c r="AI224">
        <f t="shared" si="101"/>
        <v>0</v>
      </c>
      <c r="AJ224">
        <f t="shared" si="102"/>
        <v>0</v>
      </c>
      <c r="AK224">
        <f t="shared" si="103"/>
        <v>1</v>
      </c>
      <c r="AL224">
        <f t="shared" si="104"/>
        <v>0</v>
      </c>
      <c r="AM224">
        <f t="shared" si="105"/>
        <v>0</v>
      </c>
      <c r="AN224">
        <f t="shared" si="106"/>
        <v>1</v>
      </c>
      <c r="AO224">
        <f t="shared" si="107"/>
        <v>0</v>
      </c>
      <c r="AP224">
        <f t="shared" si="108"/>
        <v>0</v>
      </c>
      <c r="AQ224">
        <f t="shared" si="109"/>
        <v>0</v>
      </c>
      <c r="AR224">
        <f t="shared" si="110"/>
        <v>1</v>
      </c>
      <c r="AS224">
        <f t="shared" si="111"/>
        <v>0</v>
      </c>
    </row>
    <row r="225" spans="2:45" x14ac:dyDescent="0.3">
      <c r="B225">
        <v>224</v>
      </c>
      <c r="C225" s="1">
        <v>40767</v>
      </c>
      <c r="D225">
        <v>3</v>
      </c>
      <c r="E225">
        <v>0</v>
      </c>
      <c r="F225">
        <v>8</v>
      </c>
      <c r="G225">
        <v>5</v>
      </c>
      <c r="H225">
        <v>1</v>
      </c>
      <c r="I225">
        <v>1051</v>
      </c>
      <c r="J225">
        <v>3854</v>
      </c>
      <c r="K225" s="8">
        <v>4905</v>
      </c>
      <c r="L225">
        <v>29.041653</v>
      </c>
      <c r="M225">
        <v>32.702100000000002</v>
      </c>
      <c r="N225">
        <v>41.5</v>
      </c>
      <c r="O225">
        <v>8.4166070000000008</v>
      </c>
      <c r="P225">
        <v>0</v>
      </c>
      <c r="Q225">
        <v>1</v>
      </c>
      <c r="R225">
        <f t="shared" si="84"/>
        <v>0</v>
      </c>
      <c r="S225">
        <f t="shared" si="85"/>
        <v>0</v>
      </c>
      <c r="T225">
        <f t="shared" si="86"/>
        <v>0</v>
      </c>
      <c r="U225">
        <f t="shared" si="87"/>
        <v>0</v>
      </c>
      <c r="V225">
        <f t="shared" si="88"/>
        <v>0</v>
      </c>
      <c r="W225">
        <f t="shared" si="89"/>
        <v>0</v>
      </c>
      <c r="X225">
        <f t="shared" si="90"/>
        <v>0</v>
      </c>
      <c r="Y225">
        <f t="shared" si="91"/>
        <v>1</v>
      </c>
      <c r="Z225">
        <f t="shared" si="92"/>
        <v>0</v>
      </c>
      <c r="AA225">
        <f t="shared" si="93"/>
        <v>0</v>
      </c>
      <c r="AB225">
        <f t="shared" si="94"/>
        <v>0</v>
      </c>
      <c r="AC225">
        <f t="shared" si="95"/>
        <v>0</v>
      </c>
      <c r="AD225">
        <f t="shared" si="96"/>
        <v>0</v>
      </c>
      <c r="AE225">
        <f t="shared" si="97"/>
        <v>0</v>
      </c>
      <c r="AF225">
        <f t="shared" si="98"/>
        <v>0</v>
      </c>
      <c r="AG225">
        <f t="shared" si="99"/>
        <v>0</v>
      </c>
      <c r="AH225">
        <f t="shared" si="100"/>
        <v>0</v>
      </c>
      <c r="AI225">
        <f t="shared" si="101"/>
        <v>1</v>
      </c>
      <c r="AJ225">
        <f t="shared" si="102"/>
        <v>0</v>
      </c>
      <c r="AK225">
        <f t="shared" si="103"/>
        <v>1</v>
      </c>
      <c r="AL225">
        <f t="shared" si="104"/>
        <v>0</v>
      </c>
      <c r="AM225">
        <f t="shared" si="105"/>
        <v>0</v>
      </c>
      <c r="AN225">
        <f t="shared" si="106"/>
        <v>1</v>
      </c>
      <c r="AO225">
        <f t="shared" si="107"/>
        <v>0</v>
      </c>
      <c r="AP225">
        <f t="shared" si="108"/>
        <v>0</v>
      </c>
      <c r="AQ225">
        <f t="shared" si="109"/>
        <v>0</v>
      </c>
      <c r="AR225">
        <f t="shared" si="110"/>
        <v>1</v>
      </c>
      <c r="AS225">
        <f t="shared" si="111"/>
        <v>0</v>
      </c>
    </row>
    <row r="226" spans="2:45" x14ac:dyDescent="0.3">
      <c r="B226">
        <v>225</v>
      </c>
      <c r="C226" s="1">
        <v>40768</v>
      </c>
      <c r="D226">
        <v>3</v>
      </c>
      <c r="E226">
        <v>0</v>
      </c>
      <c r="F226">
        <v>8</v>
      </c>
      <c r="G226">
        <v>6</v>
      </c>
      <c r="H226">
        <v>2</v>
      </c>
      <c r="I226">
        <v>1504</v>
      </c>
      <c r="J226">
        <v>2646</v>
      </c>
      <c r="K226" s="8">
        <v>4150</v>
      </c>
      <c r="L226">
        <v>28.119153000000001</v>
      </c>
      <c r="M226">
        <v>32.292900000000003</v>
      </c>
      <c r="N226">
        <v>72.958299999999994</v>
      </c>
      <c r="O226">
        <v>14.167418</v>
      </c>
      <c r="P226">
        <v>0</v>
      </c>
      <c r="Q226">
        <v>0</v>
      </c>
      <c r="R226">
        <f t="shared" si="84"/>
        <v>0</v>
      </c>
      <c r="S226">
        <f t="shared" si="85"/>
        <v>0</v>
      </c>
      <c r="T226">
        <f t="shared" si="86"/>
        <v>0</v>
      </c>
      <c r="U226">
        <f t="shared" si="87"/>
        <v>0</v>
      </c>
      <c r="V226">
        <f t="shared" si="88"/>
        <v>0</v>
      </c>
      <c r="W226">
        <f t="shared" si="89"/>
        <v>0</v>
      </c>
      <c r="X226">
        <f t="shared" si="90"/>
        <v>0</v>
      </c>
      <c r="Y226">
        <f t="shared" si="91"/>
        <v>1</v>
      </c>
      <c r="Z226">
        <f t="shared" si="92"/>
        <v>0</v>
      </c>
      <c r="AA226">
        <f t="shared" si="93"/>
        <v>0</v>
      </c>
      <c r="AB226">
        <f t="shared" si="94"/>
        <v>0</v>
      </c>
      <c r="AC226">
        <f t="shared" si="95"/>
        <v>0</v>
      </c>
      <c r="AD226">
        <f t="shared" si="96"/>
        <v>0</v>
      </c>
      <c r="AE226">
        <f t="shared" si="97"/>
        <v>0</v>
      </c>
      <c r="AF226">
        <f t="shared" si="98"/>
        <v>0</v>
      </c>
      <c r="AG226">
        <f t="shared" si="99"/>
        <v>0</v>
      </c>
      <c r="AH226">
        <f t="shared" si="100"/>
        <v>0</v>
      </c>
      <c r="AI226">
        <f t="shared" si="101"/>
        <v>0</v>
      </c>
      <c r="AJ226">
        <f t="shared" si="102"/>
        <v>1</v>
      </c>
      <c r="AK226">
        <f t="shared" si="103"/>
        <v>0</v>
      </c>
      <c r="AL226">
        <f t="shared" si="104"/>
        <v>1</v>
      </c>
      <c r="AM226">
        <f t="shared" si="105"/>
        <v>0</v>
      </c>
      <c r="AN226">
        <f t="shared" si="106"/>
        <v>1</v>
      </c>
      <c r="AO226">
        <f t="shared" si="107"/>
        <v>0</v>
      </c>
      <c r="AP226">
        <f t="shared" si="108"/>
        <v>0</v>
      </c>
      <c r="AQ226">
        <f t="shared" si="109"/>
        <v>0</v>
      </c>
      <c r="AR226">
        <f t="shared" si="110"/>
        <v>1</v>
      </c>
      <c r="AS226">
        <f t="shared" si="111"/>
        <v>0</v>
      </c>
    </row>
    <row r="227" spans="2:45" x14ac:dyDescent="0.3">
      <c r="B227">
        <v>226</v>
      </c>
      <c r="C227" s="1">
        <v>40769</v>
      </c>
      <c r="D227">
        <v>3</v>
      </c>
      <c r="E227">
        <v>0</v>
      </c>
      <c r="F227">
        <v>8</v>
      </c>
      <c r="G227">
        <v>0</v>
      </c>
      <c r="H227">
        <v>2</v>
      </c>
      <c r="I227">
        <v>1338</v>
      </c>
      <c r="J227">
        <v>2482</v>
      </c>
      <c r="K227" s="8">
        <v>3820</v>
      </c>
      <c r="L227">
        <v>27.743347</v>
      </c>
      <c r="M227">
        <v>31.2194</v>
      </c>
      <c r="N227">
        <v>81.75</v>
      </c>
      <c r="O227">
        <v>14.916411</v>
      </c>
      <c r="P227">
        <v>0</v>
      </c>
      <c r="Q227">
        <v>0</v>
      </c>
      <c r="R227">
        <f t="shared" si="84"/>
        <v>0</v>
      </c>
      <c r="S227">
        <f t="shared" si="85"/>
        <v>0</v>
      </c>
      <c r="T227">
        <f t="shared" si="86"/>
        <v>0</v>
      </c>
      <c r="U227">
        <f t="shared" si="87"/>
        <v>0</v>
      </c>
      <c r="V227">
        <f t="shared" si="88"/>
        <v>0</v>
      </c>
      <c r="W227">
        <f t="shared" si="89"/>
        <v>0</v>
      </c>
      <c r="X227">
        <f t="shared" si="90"/>
        <v>0</v>
      </c>
      <c r="Y227">
        <f t="shared" si="91"/>
        <v>1</v>
      </c>
      <c r="Z227">
        <f t="shared" si="92"/>
        <v>0</v>
      </c>
      <c r="AA227">
        <f t="shared" si="93"/>
        <v>0</v>
      </c>
      <c r="AB227">
        <f t="shared" si="94"/>
        <v>0</v>
      </c>
      <c r="AC227">
        <f t="shared" si="95"/>
        <v>0</v>
      </c>
      <c r="AD227">
        <f t="shared" si="96"/>
        <v>1</v>
      </c>
      <c r="AE227">
        <f t="shared" si="97"/>
        <v>0</v>
      </c>
      <c r="AF227">
        <f t="shared" si="98"/>
        <v>0</v>
      </c>
      <c r="AG227">
        <f t="shared" si="99"/>
        <v>0</v>
      </c>
      <c r="AH227">
        <f t="shared" si="100"/>
        <v>0</v>
      </c>
      <c r="AI227">
        <f t="shared" si="101"/>
        <v>0</v>
      </c>
      <c r="AJ227">
        <f t="shared" si="102"/>
        <v>0</v>
      </c>
      <c r="AK227">
        <f t="shared" si="103"/>
        <v>0</v>
      </c>
      <c r="AL227">
        <f t="shared" si="104"/>
        <v>1</v>
      </c>
      <c r="AM227">
        <f t="shared" si="105"/>
        <v>0</v>
      </c>
      <c r="AN227">
        <f t="shared" si="106"/>
        <v>1</v>
      </c>
      <c r="AO227">
        <f t="shared" si="107"/>
        <v>0</v>
      </c>
      <c r="AP227">
        <f t="shared" si="108"/>
        <v>0</v>
      </c>
      <c r="AQ227">
        <f t="shared" si="109"/>
        <v>0</v>
      </c>
      <c r="AR227">
        <f t="shared" si="110"/>
        <v>1</v>
      </c>
      <c r="AS227">
        <f t="shared" si="111"/>
        <v>0</v>
      </c>
    </row>
    <row r="228" spans="2:45" x14ac:dyDescent="0.3">
      <c r="B228">
        <v>227</v>
      </c>
      <c r="C228" s="1">
        <v>40770</v>
      </c>
      <c r="D228">
        <v>3</v>
      </c>
      <c r="E228">
        <v>0</v>
      </c>
      <c r="F228">
        <v>8</v>
      </c>
      <c r="G228">
        <v>1</v>
      </c>
      <c r="H228">
        <v>1</v>
      </c>
      <c r="I228">
        <v>775</v>
      </c>
      <c r="J228">
        <v>3563</v>
      </c>
      <c r="K228" s="8">
        <v>4338</v>
      </c>
      <c r="L228">
        <v>27.299153</v>
      </c>
      <c r="M228">
        <v>30.808350000000001</v>
      </c>
      <c r="N228">
        <v>71.208299999999994</v>
      </c>
      <c r="O228">
        <v>13.999917999999999</v>
      </c>
      <c r="P228">
        <v>0</v>
      </c>
      <c r="Q228">
        <v>1</v>
      </c>
      <c r="R228">
        <f t="shared" si="84"/>
        <v>0</v>
      </c>
      <c r="S228">
        <f t="shared" si="85"/>
        <v>0</v>
      </c>
      <c r="T228">
        <f t="shared" si="86"/>
        <v>0</v>
      </c>
      <c r="U228">
        <f t="shared" si="87"/>
        <v>0</v>
      </c>
      <c r="V228">
        <f t="shared" si="88"/>
        <v>0</v>
      </c>
      <c r="W228">
        <f t="shared" si="89"/>
        <v>0</v>
      </c>
      <c r="X228">
        <f t="shared" si="90"/>
        <v>0</v>
      </c>
      <c r="Y228">
        <f t="shared" si="91"/>
        <v>1</v>
      </c>
      <c r="Z228">
        <f t="shared" si="92"/>
        <v>0</v>
      </c>
      <c r="AA228">
        <f t="shared" si="93"/>
        <v>0</v>
      </c>
      <c r="AB228">
        <f t="shared" si="94"/>
        <v>0</v>
      </c>
      <c r="AC228">
        <f t="shared" si="95"/>
        <v>0</v>
      </c>
      <c r="AD228">
        <f t="shared" si="96"/>
        <v>0</v>
      </c>
      <c r="AE228">
        <f t="shared" si="97"/>
        <v>1</v>
      </c>
      <c r="AF228">
        <f t="shared" si="98"/>
        <v>0</v>
      </c>
      <c r="AG228">
        <f t="shared" si="99"/>
        <v>0</v>
      </c>
      <c r="AH228">
        <f t="shared" si="100"/>
        <v>0</v>
      </c>
      <c r="AI228">
        <f t="shared" si="101"/>
        <v>0</v>
      </c>
      <c r="AJ228">
        <f t="shared" si="102"/>
        <v>0</v>
      </c>
      <c r="AK228">
        <f t="shared" si="103"/>
        <v>1</v>
      </c>
      <c r="AL228">
        <f t="shared" si="104"/>
        <v>0</v>
      </c>
      <c r="AM228">
        <f t="shared" si="105"/>
        <v>0</v>
      </c>
      <c r="AN228">
        <f t="shared" si="106"/>
        <v>1</v>
      </c>
      <c r="AO228">
        <f t="shared" si="107"/>
        <v>0</v>
      </c>
      <c r="AP228">
        <f t="shared" si="108"/>
        <v>0</v>
      </c>
      <c r="AQ228">
        <f t="shared" si="109"/>
        <v>0</v>
      </c>
      <c r="AR228">
        <f t="shared" si="110"/>
        <v>1</v>
      </c>
      <c r="AS228">
        <f t="shared" si="111"/>
        <v>0</v>
      </c>
    </row>
    <row r="229" spans="2:45" x14ac:dyDescent="0.3">
      <c r="B229">
        <v>228</v>
      </c>
      <c r="C229" s="1">
        <v>40771</v>
      </c>
      <c r="D229">
        <v>3</v>
      </c>
      <c r="E229">
        <v>0</v>
      </c>
      <c r="F229">
        <v>8</v>
      </c>
      <c r="G229">
        <v>2</v>
      </c>
      <c r="H229">
        <v>1</v>
      </c>
      <c r="I229">
        <v>721</v>
      </c>
      <c r="J229">
        <v>4004</v>
      </c>
      <c r="K229" s="8">
        <v>4725</v>
      </c>
      <c r="L229">
        <v>28.734152999999999</v>
      </c>
      <c r="M229">
        <v>32.291849999999997</v>
      </c>
      <c r="N229">
        <v>57.833300000000001</v>
      </c>
      <c r="O229">
        <v>15.834042999999999</v>
      </c>
      <c r="P229">
        <v>0</v>
      </c>
      <c r="Q229">
        <v>1</v>
      </c>
      <c r="R229">
        <f t="shared" si="84"/>
        <v>0</v>
      </c>
      <c r="S229">
        <f t="shared" si="85"/>
        <v>0</v>
      </c>
      <c r="T229">
        <f t="shared" si="86"/>
        <v>0</v>
      </c>
      <c r="U229">
        <f t="shared" si="87"/>
        <v>0</v>
      </c>
      <c r="V229">
        <f t="shared" si="88"/>
        <v>0</v>
      </c>
      <c r="W229">
        <f t="shared" si="89"/>
        <v>0</v>
      </c>
      <c r="X229">
        <f t="shared" si="90"/>
        <v>0</v>
      </c>
      <c r="Y229">
        <f t="shared" si="91"/>
        <v>1</v>
      </c>
      <c r="Z229">
        <f t="shared" si="92"/>
        <v>0</v>
      </c>
      <c r="AA229">
        <f t="shared" si="93"/>
        <v>0</v>
      </c>
      <c r="AB229">
        <f t="shared" si="94"/>
        <v>0</v>
      </c>
      <c r="AC229">
        <f t="shared" si="95"/>
        <v>0</v>
      </c>
      <c r="AD229">
        <f t="shared" si="96"/>
        <v>0</v>
      </c>
      <c r="AE229">
        <f t="shared" si="97"/>
        <v>0</v>
      </c>
      <c r="AF229">
        <f t="shared" si="98"/>
        <v>1</v>
      </c>
      <c r="AG229">
        <f t="shared" si="99"/>
        <v>0</v>
      </c>
      <c r="AH229">
        <f t="shared" si="100"/>
        <v>0</v>
      </c>
      <c r="AI229">
        <f t="shared" si="101"/>
        <v>0</v>
      </c>
      <c r="AJ229">
        <f t="shared" si="102"/>
        <v>0</v>
      </c>
      <c r="AK229">
        <f t="shared" si="103"/>
        <v>1</v>
      </c>
      <c r="AL229">
        <f t="shared" si="104"/>
        <v>0</v>
      </c>
      <c r="AM229">
        <f t="shared" si="105"/>
        <v>0</v>
      </c>
      <c r="AN229">
        <f t="shared" si="106"/>
        <v>1</v>
      </c>
      <c r="AO229">
        <f t="shared" si="107"/>
        <v>0</v>
      </c>
      <c r="AP229">
        <f t="shared" si="108"/>
        <v>0</v>
      </c>
      <c r="AQ229">
        <f t="shared" si="109"/>
        <v>0</v>
      </c>
      <c r="AR229">
        <f t="shared" si="110"/>
        <v>1</v>
      </c>
      <c r="AS229">
        <f t="shared" si="111"/>
        <v>0</v>
      </c>
    </row>
    <row r="230" spans="2:45" x14ac:dyDescent="0.3">
      <c r="B230">
        <v>229</v>
      </c>
      <c r="C230" s="1">
        <v>40772</v>
      </c>
      <c r="D230">
        <v>3</v>
      </c>
      <c r="E230">
        <v>0</v>
      </c>
      <c r="F230">
        <v>8</v>
      </c>
      <c r="G230">
        <v>3</v>
      </c>
      <c r="H230">
        <v>1</v>
      </c>
      <c r="I230">
        <v>668</v>
      </c>
      <c r="J230">
        <v>4026</v>
      </c>
      <c r="K230" s="8">
        <v>4694</v>
      </c>
      <c r="L230">
        <v>29.656652999999999</v>
      </c>
      <c r="M230">
        <v>33.333550000000002</v>
      </c>
      <c r="N230">
        <v>57.541699999999999</v>
      </c>
      <c r="O230">
        <v>9.6256889999999995</v>
      </c>
      <c r="P230">
        <v>0</v>
      </c>
      <c r="Q230">
        <v>1</v>
      </c>
      <c r="R230">
        <f t="shared" si="84"/>
        <v>0</v>
      </c>
      <c r="S230">
        <f t="shared" si="85"/>
        <v>0</v>
      </c>
      <c r="T230">
        <f t="shared" si="86"/>
        <v>0</v>
      </c>
      <c r="U230">
        <f t="shared" si="87"/>
        <v>0</v>
      </c>
      <c r="V230">
        <f t="shared" si="88"/>
        <v>0</v>
      </c>
      <c r="W230">
        <f t="shared" si="89"/>
        <v>0</v>
      </c>
      <c r="X230">
        <f t="shared" si="90"/>
        <v>0</v>
      </c>
      <c r="Y230">
        <f t="shared" si="91"/>
        <v>1</v>
      </c>
      <c r="Z230">
        <f t="shared" si="92"/>
        <v>0</v>
      </c>
      <c r="AA230">
        <f t="shared" si="93"/>
        <v>0</v>
      </c>
      <c r="AB230">
        <f t="shared" si="94"/>
        <v>0</v>
      </c>
      <c r="AC230">
        <f t="shared" si="95"/>
        <v>0</v>
      </c>
      <c r="AD230">
        <f t="shared" si="96"/>
        <v>0</v>
      </c>
      <c r="AE230">
        <f t="shared" si="97"/>
        <v>0</v>
      </c>
      <c r="AF230">
        <f t="shared" si="98"/>
        <v>0</v>
      </c>
      <c r="AG230">
        <f t="shared" si="99"/>
        <v>1</v>
      </c>
      <c r="AH230">
        <f t="shared" si="100"/>
        <v>0</v>
      </c>
      <c r="AI230">
        <f t="shared" si="101"/>
        <v>0</v>
      </c>
      <c r="AJ230">
        <f t="shared" si="102"/>
        <v>0</v>
      </c>
      <c r="AK230">
        <f t="shared" si="103"/>
        <v>1</v>
      </c>
      <c r="AL230">
        <f t="shared" si="104"/>
        <v>0</v>
      </c>
      <c r="AM230">
        <f t="shared" si="105"/>
        <v>0</v>
      </c>
      <c r="AN230">
        <f t="shared" si="106"/>
        <v>1</v>
      </c>
      <c r="AO230">
        <f t="shared" si="107"/>
        <v>0</v>
      </c>
      <c r="AP230">
        <f t="shared" si="108"/>
        <v>0</v>
      </c>
      <c r="AQ230">
        <f t="shared" si="109"/>
        <v>0</v>
      </c>
      <c r="AR230">
        <f t="shared" si="110"/>
        <v>1</v>
      </c>
      <c r="AS230">
        <f t="shared" si="111"/>
        <v>0</v>
      </c>
    </row>
    <row r="231" spans="2:45" x14ac:dyDescent="0.3">
      <c r="B231">
        <v>230</v>
      </c>
      <c r="C231" s="1">
        <v>40773</v>
      </c>
      <c r="D231">
        <v>3</v>
      </c>
      <c r="E231">
        <v>0</v>
      </c>
      <c r="F231">
        <v>8</v>
      </c>
      <c r="G231">
        <v>4</v>
      </c>
      <c r="H231">
        <v>1</v>
      </c>
      <c r="I231">
        <v>639</v>
      </c>
      <c r="J231">
        <v>3166</v>
      </c>
      <c r="K231" s="8">
        <v>3805</v>
      </c>
      <c r="L231">
        <v>29.178346999999999</v>
      </c>
      <c r="M231">
        <v>33.112900000000003</v>
      </c>
      <c r="N231">
        <v>65.458299999999994</v>
      </c>
      <c r="O231">
        <v>15.624936</v>
      </c>
      <c r="P231">
        <v>0</v>
      </c>
      <c r="Q231">
        <v>1</v>
      </c>
      <c r="R231">
        <f t="shared" si="84"/>
        <v>0</v>
      </c>
      <c r="S231">
        <f t="shared" si="85"/>
        <v>0</v>
      </c>
      <c r="T231">
        <f t="shared" si="86"/>
        <v>0</v>
      </c>
      <c r="U231">
        <f t="shared" si="87"/>
        <v>0</v>
      </c>
      <c r="V231">
        <f t="shared" si="88"/>
        <v>0</v>
      </c>
      <c r="W231">
        <f t="shared" si="89"/>
        <v>0</v>
      </c>
      <c r="X231">
        <f t="shared" si="90"/>
        <v>0</v>
      </c>
      <c r="Y231">
        <f t="shared" si="91"/>
        <v>1</v>
      </c>
      <c r="Z231">
        <f t="shared" si="92"/>
        <v>0</v>
      </c>
      <c r="AA231">
        <f t="shared" si="93"/>
        <v>0</v>
      </c>
      <c r="AB231">
        <f t="shared" si="94"/>
        <v>0</v>
      </c>
      <c r="AC231">
        <f t="shared" si="95"/>
        <v>0</v>
      </c>
      <c r="AD231">
        <f t="shared" si="96"/>
        <v>0</v>
      </c>
      <c r="AE231">
        <f t="shared" si="97"/>
        <v>0</v>
      </c>
      <c r="AF231">
        <f t="shared" si="98"/>
        <v>0</v>
      </c>
      <c r="AG231">
        <f t="shared" si="99"/>
        <v>0</v>
      </c>
      <c r="AH231">
        <f t="shared" si="100"/>
        <v>1</v>
      </c>
      <c r="AI231">
        <f t="shared" si="101"/>
        <v>0</v>
      </c>
      <c r="AJ231">
        <f t="shared" si="102"/>
        <v>0</v>
      </c>
      <c r="AK231">
        <f t="shared" si="103"/>
        <v>1</v>
      </c>
      <c r="AL231">
        <f t="shared" si="104"/>
        <v>0</v>
      </c>
      <c r="AM231">
        <f t="shared" si="105"/>
        <v>0</v>
      </c>
      <c r="AN231">
        <f t="shared" si="106"/>
        <v>1</v>
      </c>
      <c r="AO231">
        <f t="shared" si="107"/>
        <v>0</v>
      </c>
      <c r="AP231">
        <f t="shared" si="108"/>
        <v>0</v>
      </c>
      <c r="AQ231">
        <f t="shared" si="109"/>
        <v>0</v>
      </c>
      <c r="AR231">
        <f t="shared" si="110"/>
        <v>1</v>
      </c>
      <c r="AS231">
        <f t="shared" si="111"/>
        <v>0</v>
      </c>
    </row>
    <row r="232" spans="2:45" x14ac:dyDescent="0.3">
      <c r="B232">
        <v>231</v>
      </c>
      <c r="C232" s="1">
        <v>40774</v>
      </c>
      <c r="D232">
        <v>3</v>
      </c>
      <c r="E232">
        <v>0</v>
      </c>
      <c r="F232">
        <v>8</v>
      </c>
      <c r="G232">
        <v>5</v>
      </c>
      <c r="H232">
        <v>2</v>
      </c>
      <c r="I232">
        <v>797</v>
      </c>
      <c r="J232">
        <v>3356</v>
      </c>
      <c r="K232" s="8">
        <v>4153</v>
      </c>
      <c r="L232">
        <v>28.085000000000001</v>
      </c>
      <c r="M232">
        <v>31.661049999999999</v>
      </c>
      <c r="N232">
        <v>72.291700000000006</v>
      </c>
      <c r="O232">
        <v>9.3336360000000003</v>
      </c>
      <c r="P232">
        <v>0</v>
      </c>
      <c r="Q232">
        <v>1</v>
      </c>
      <c r="R232">
        <f t="shared" si="84"/>
        <v>0</v>
      </c>
      <c r="S232">
        <f t="shared" si="85"/>
        <v>0</v>
      </c>
      <c r="T232">
        <f t="shared" si="86"/>
        <v>0</v>
      </c>
      <c r="U232">
        <f t="shared" si="87"/>
        <v>0</v>
      </c>
      <c r="V232">
        <f t="shared" si="88"/>
        <v>0</v>
      </c>
      <c r="W232">
        <f t="shared" si="89"/>
        <v>0</v>
      </c>
      <c r="X232">
        <f t="shared" si="90"/>
        <v>0</v>
      </c>
      <c r="Y232">
        <f t="shared" si="91"/>
        <v>1</v>
      </c>
      <c r="Z232">
        <f t="shared" si="92"/>
        <v>0</v>
      </c>
      <c r="AA232">
        <f t="shared" si="93"/>
        <v>0</v>
      </c>
      <c r="AB232">
        <f t="shared" si="94"/>
        <v>0</v>
      </c>
      <c r="AC232">
        <f t="shared" si="95"/>
        <v>0</v>
      </c>
      <c r="AD232">
        <f t="shared" si="96"/>
        <v>0</v>
      </c>
      <c r="AE232">
        <f t="shared" si="97"/>
        <v>0</v>
      </c>
      <c r="AF232">
        <f t="shared" si="98"/>
        <v>0</v>
      </c>
      <c r="AG232">
        <f t="shared" si="99"/>
        <v>0</v>
      </c>
      <c r="AH232">
        <f t="shared" si="100"/>
        <v>0</v>
      </c>
      <c r="AI232">
        <f t="shared" si="101"/>
        <v>1</v>
      </c>
      <c r="AJ232">
        <f t="shared" si="102"/>
        <v>0</v>
      </c>
      <c r="AK232">
        <f t="shared" si="103"/>
        <v>0</v>
      </c>
      <c r="AL232">
        <f t="shared" si="104"/>
        <v>1</v>
      </c>
      <c r="AM232">
        <f t="shared" si="105"/>
        <v>0</v>
      </c>
      <c r="AN232">
        <f t="shared" si="106"/>
        <v>1</v>
      </c>
      <c r="AO232">
        <f t="shared" si="107"/>
        <v>0</v>
      </c>
      <c r="AP232">
        <f t="shared" si="108"/>
        <v>0</v>
      </c>
      <c r="AQ232">
        <f t="shared" si="109"/>
        <v>0</v>
      </c>
      <c r="AR232">
        <f t="shared" si="110"/>
        <v>1</v>
      </c>
      <c r="AS232">
        <f t="shared" si="111"/>
        <v>0</v>
      </c>
    </row>
    <row r="233" spans="2:45" x14ac:dyDescent="0.3">
      <c r="B233">
        <v>232</v>
      </c>
      <c r="C233" s="1">
        <v>40775</v>
      </c>
      <c r="D233">
        <v>3</v>
      </c>
      <c r="E233">
        <v>0</v>
      </c>
      <c r="F233">
        <v>8</v>
      </c>
      <c r="G233">
        <v>6</v>
      </c>
      <c r="H233">
        <v>1</v>
      </c>
      <c r="I233">
        <v>1914</v>
      </c>
      <c r="J233">
        <v>3277</v>
      </c>
      <c r="K233" s="8">
        <v>5191</v>
      </c>
      <c r="L233">
        <v>28.5975</v>
      </c>
      <c r="M233">
        <v>32.449800000000003</v>
      </c>
      <c r="N233">
        <v>67.416700000000006</v>
      </c>
      <c r="O233">
        <v>6.9992890000000001</v>
      </c>
      <c r="P233">
        <v>0</v>
      </c>
      <c r="Q233">
        <v>0</v>
      </c>
      <c r="R233">
        <f t="shared" si="84"/>
        <v>0</v>
      </c>
      <c r="S233">
        <f t="shared" si="85"/>
        <v>0</v>
      </c>
      <c r="T233">
        <f t="shared" si="86"/>
        <v>0</v>
      </c>
      <c r="U233">
        <f t="shared" si="87"/>
        <v>0</v>
      </c>
      <c r="V233">
        <f t="shared" si="88"/>
        <v>0</v>
      </c>
      <c r="W233">
        <f t="shared" si="89"/>
        <v>0</v>
      </c>
      <c r="X233">
        <f t="shared" si="90"/>
        <v>0</v>
      </c>
      <c r="Y233">
        <f t="shared" si="91"/>
        <v>1</v>
      </c>
      <c r="Z233">
        <f t="shared" si="92"/>
        <v>0</v>
      </c>
      <c r="AA233">
        <f t="shared" si="93"/>
        <v>0</v>
      </c>
      <c r="AB233">
        <f t="shared" si="94"/>
        <v>0</v>
      </c>
      <c r="AC233">
        <f t="shared" si="95"/>
        <v>0</v>
      </c>
      <c r="AD233">
        <f t="shared" si="96"/>
        <v>0</v>
      </c>
      <c r="AE233">
        <f t="shared" si="97"/>
        <v>0</v>
      </c>
      <c r="AF233">
        <f t="shared" si="98"/>
        <v>0</v>
      </c>
      <c r="AG233">
        <f t="shared" si="99"/>
        <v>0</v>
      </c>
      <c r="AH233">
        <f t="shared" si="100"/>
        <v>0</v>
      </c>
      <c r="AI233">
        <f t="shared" si="101"/>
        <v>0</v>
      </c>
      <c r="AJ233">
        <f t="shared" si="102"/>
        <v>1</v>
      </c>
      <c r="AK233">
        <f t="shared" si="103"/>
        <v>1</v>
      </c>
      <c r="AL233">
        <f t="shared" si="104"/>
        <v>0</v>
      </c>
      <c r="AM233">
        <f t="shared" si="105"/>
        <v>0</v>
      </c>
      <c r="AN233">
        <f t="shared" si="106"/>
        <v>1</v>
      </c>
      <c r="AO233">
        <f t="shared" si="107"/>
        <v>0</v>
      </c>
      <c r="AP233">
        <f t="shared" si="108"/>
        <v>0</v>
      </c>
      <c r="AQ233">
        <f t="shared" si="109"/>
        <v>0</v>
      </c>
      <c r="AR233">
        <f t="shared" si="110"/>
        <v>1</v>
      </c>
      <c r="AS233">
        <f t="shared" si="111"/>
        <v>0</v>
      </c>
    </row>
    <row r="234" spans="2:45" x14ac:dyDescent="0.3">
      <c r="B234">
        <v>233</v>
      </c>
      <c r="C234" s="1">
        <v>40776</v>
      </c>
      <c r="D234">
        <v>3</v>
      </c>
      <c r="E234">
        <v>0</v>
      </c>
      <c r="F234">
        <v>8</v>
      </c>
      <c r="G234">
        <v>0</v>
      </c>
      <c r="H234">
        <v>1</v>
      </c>
      <c r="I234">
        <v>1249</v>
      </c>
      <c r="J234">
        <v>2624</v>
      </c>
      <c r="K234" s="8">
        <v>3873</v>
      </c>
      <c r="L234">
        <v>29.144152999999999</v>
      </c>
      <c r="M234">
        <v>33.776249999999997</v>
      </c>
      <c r="N234">
        <v>77</v>
      </c>
      <c r="O234">
        <v>16.666518</v>
      </c>
      <c r="P234">
        <v>0</v>
      </c>
      <c r="Q234">
        <v>0</v>
      </c>
      <c r="R234">
        <f t="shared" si="84"/>
        <v>0</v>
      </c>
      <c r="S234">
        <f t="shared" si="85"/>
        <v>0</v>
      </c>
      <c r="T234">
        <f t="shared" si="86"/>
        <v>0</v>
      </c>
      <c r="U234">
        <f t="shared" si="87"/>
        <v>0</v>
      </c>
      <c r="V234">
        <f t="shared" si="88"/>
        <v>0</v>
      </c>
      <c r="W234">
        <f t="shared" si="89"/>
        <v>0</v>
      </c>
      <c r="X234">
        <f t="shared" si="90"/>
        <v>0</v>
      </c>
      <c r="Y234">
        <f t="shared" si="91"/>
        <v>1</v>
      </c>
      <c r="Z234">
        <f t="shared" si="92"/>
        <v>0</v>
      </c>
      <c r="AA234">
        <f t="shared" si="93"/>
        <v>0</v>
      </c>
      <c r="AB234">
        <f t="shared" si="94"/>
        <v>0</v>
      </c>
      <c r="AC234">
        <f t="shared" si="95"/>
        <v>0</v>
      </c>
      <c r="AD234">
        <f t="shared" si="96"/>
        <v>1</v>
      </c>
      <c r="AE234">
        <f t="shared" si="97"/>
        <v>0</v>
      </c>
      <c r="AF234">
        <f t="shared" si="98"/>
        <v>0</v>
      </c>
      <c r="AG234">
        <f t="shared" si="99"/>
        <v>0</v>
      </c>
      <c r="AH234">
        <f t="shared" si="100"/>
        <v>0</v>
      </c>
      <c r="AI234">
        <f t="shared" si="101"/>
        <v>0</v>
      </c>
      <c r="AJ234">
        <f t="shared" si="102"/>
        <v>0</v>
      </c>
      <c r="AK234">
        <f t="shared" si="103"/>
        <v>1</v>
      </c>
      <c r="AL234">
        <f t="shared" si="104"/>
        <v>0</v>
      </c>
      <c r="AM234">
        <f t="shared" si="105"/>
        <v>0</v>
      </c>
      <c r="AN234">
        <f t="shared" si="106"/>
        <v>1</v>
      </c>
      <c r="AO234">
        <f t="shared" si="107"/>
        <v>0</v>
      </c>
      <c r="AP234">
        <f t="shared" si="108"/>
        <v>0</v>
      </c>
      <c r="AQ234">
        <f t="shared" si="109"/>
        <v>0</v>
      </c>
      <c r="AR234">
        <f t="shared" si="110"/>
        <v>1</v>
      </c>
      <c r="AS234">
        <f t="shared" si="111"/>
        <v>0</v>
      </c>
    </row>
    <row r="235" spans="2:45" x14ac:dyDescent="0.3">
      <c r="B235">
        <v>234</v>
      </c>
      <c r="C235" s="1">
        <v>40777</v>
      </c>
      <c r="D235">
        <v>3</v>
      </c>
      <c r="E235">
        <v>0</v>
      </c>
      <c r="F235">
        <v>8</v>
      </c>
      <c r="G235">
        <v>1</v>
      </c>
      <c r="H235">
        <v>1</v>
      </c>
      <c r="I235">
        <v>833</v>
      </c>
      <c r="J235">
        <v>3925</v>
      </c>
      <c r="K235" s="8">
        <v>4758</v>
      </c>
      <c r="L235">
        <v>28.358346999999998</v>
      </c>
      <c r="M235">
        <v>31.912700000000001</v>
      </c>
      <c r="N235">
        <v>47</v>
      </c>
      <c r="O235">
        <v>18.542249999999999</v>
      </c>
      <c r="P235">
        <v>0</v>
      </c>
      <c r="Q235">
        <v>1</v>
      </c>
      <c r="R235">
        <f t="shared" si="84"/>
        <v>0</v>
      </c>
      <c r="S235">
        <f t="shared" si="85"/>
        <v>0</v>
      </c>
      <c r="T235">
        <f t="shared" si="86"/>
        <v>0</v>
      </c>
      <c r="U235">
        <f t="shared" si="87"/>
        <v>0</v>
      </c>
      <c r="V235">
        <f t="shared" si="88"/>
        <v>0</v>
      </c>
      <c r="W235">
        <f t="shared" si="89"/>
        <v>0</v>
      </c>
      <c r="X235">
        <f t="shared" si="90"/>
        <v>0</v>
      </c>
      <c r="Y235">
        <f t="shared" si="91"/>
        <v>1</v>
      </c>
      <c r="Z235">
        <f t="shared" si="92"/>
        <v>0</v>
      </c>
      <c r="AA235">
        <f t="shared" si="93"/>
        <v>0</v>
      </c>
      <c r="AB235">
        <f t="shared" si="94"/>
        <v>0</v>
      </c>
      <c r="AC235">
        <f t="shared" si="95"/>
        <v>0</v>
      </c>
      <c r="AD235">
        <f t="shared" si="96"/>
        <v>0</v>
      </c>
      <c r="AE235">
        <f t="shared" si="97"/>
        <v>1</v>
      </c>
      <c r="AF235">
        <f t="shared" si="98"/>
        <v>0</v>
      </c>
      <c r="AG235">
        <f t="shared" si="99"/>
        <v>0</v>
      </c>
      <c r="AH235">
        <f t="shared" si="100"/>
        <v>0</v>
      </c>
      <c r="AI235">
        <f t="shared" si="101"/>
        <v>0</v>
      </c>
      <c r="AJ235">
        <f t="shared" si="102"/>
        <v>0</v>
      </c>
      <c r="AK235">
        <f t="shared" si="103"/>
        <v>1</v>
      </c>
      <c r="AL235">
        <f t="shared" si="104"/>
        <v>0</v>
      </c>
      <c r="AM235">
        <f t="shared" si="105"/>
        <v>0</v>
      </c>
      <c r="AN235">
        <f t="shared" si="106"/>
        <v>1</v>
      </c>
      <c r="AO235">
        <f t="shared" si="107"/>
        <v>0</v>
      </c>
      <c r="AP235">
        <f t="shared" si="108"/>
        <v>0</v>
      </c>
      <c r="AQ235">
        <f t="shared" si="109"/>
        <v>0</v>
      </c>
      <c r="AR235">
        <f t="shared" si="110"/>
        <v>1</v>
      </c>
      <c r="AS235">
        <f t="shared" si="111"/>
        <v>0</v>
      </c>
    </row>
    <row r="236" spans="2:45" x14ac:dyDescent="0.3">
      <c r="B236">
        <v>235</v>
      </c>
      <c r="C236" s="1">
        <v>40778</v>
      </c>
      <c r="D236">
        <v>3</v>
      </c>
      <c r="E236">
        <v>0</v>
      </c>
      <c r="F236">
        <v>8</v>
      </c>
      <c r="G236">
        <v>2</v>
      </c>
      <c r="H236">
        <v>1</v>
      </c>
      <c r="I236">
        <v>1281</v>
      </c>
      <c r="J236">
        <v>4614</v>
      </c>
      <c r="K236" s="8">
        <v>5895</v>
      </c>
      <c r="L236">
        <v>26.274152999999998</v>
      </c>
      <c r="M236">
        <v>30.303349999999998</v>
      </c>
      <c r="N236">
        <v>45.541699999999999</v>
      </c>
      <c r="O236">
        <v>9.8331210000000002</v>
      </c>
      <c r="P236">
        <v>0</v>
      </c>
      <c r="Q236">
        <v>1</v>
      </c>
      <c r="R236">
        <f t="shared" si="84"/>
        <v>0</v>
      </c>
      <c r="S236">
        <f t="shared" si="85"/>
        <v>0</v>
      </c>
      <c r="T236">
        <f t="shared" si="86"/>
        <v>0</v>
      </c>
      <c r="U236">
        <f t="shared" si="87"/>
        <v>0</v>
      </c>
      <c r="V236">
        <f t="shared" si="88"/>
        <v>0</v>
      </c>
      <c r="W236">
        <f t="shared" si="89"/>
        <v>0</v>
      </c>
      <c r="X236">
        <f t="shared" si="90"/>
        <v>0</v>
      </c>
      <c r="Y236">
        <f t="shared" si="91"/>
        <v>1</v>
      </c>
      <c r="Z236">
        <f t="shared" si="92"/>
        <v>0</v>
      </c>
      <c r="AA236">
        <f t="shared" si="93"/>
        <v>0</v>
      </c>
      <c r="AB236">
        <f t="shared" si="94"/>
        <v>0</v>
      </c>
      <c r="AC236">
        <f t="shared" si="95"/>
        <v>0</v>
      </c>
      <c r="AD236">
        <f t="shared" si="96"/>
        <v>0</v>
      </c>
      <c r="AE236">
        <f t="shared" si="97"/>
        <v>0</v>
      </c>
      <c r="AF236">
        <f t="shared" si="98"/>
        <v>1</v>
      </c>
      <c r="AG236">
        <f t="shared" si="99"/>
        <v>0</v>
      </c>
      <c r="AH236">
        <f t="shared" si="100"/>
        <v>0</v>
      </c>
      <c r="AI236">
        <f t="shared" si="101"/>
        <v>0</v>
      </c>
      <c r="AJ236">
        <f t="shared" si="102"/>
        <v>0</v>
      </c>
      <c r="AK236">
        <f t="shared" si="103"/>
        <v>1</v>
      </c>
      <c r="AL236">
        <f t="shared" si="104"/>
        <v>0</v>
      </c>
      <c r="AM236">
        <f t="shared" si="105"/>
        <v>0</v>
      </c>
      <c r="AN236">
        <f t="shared" si="106"/>
        <v>1</v>
      </c>
      <c r="AO236">
        <f t="shared" si="107"/>
        <v>0</v>
      </c>
      <c r="AP236">
        <f t="shared" si="108"/>
        <v>0</v>
      </c>
      <c r="AQ236">
        <f t="shared" si="109"/>
        <v>0</v>
      </c>
      <c r="AR236">
        <f t="shared" si="110"/>
        <v>1</v>
      </c>
      <c r="AS236">
        <f t="shared" si="111"/>
        <v>0</v>
      </c>
    </row>
    <row r="237" spans="2:45" x14ac:dyDescent="0.3">
      <c r="B237">
        <v>236</v>
      </c>
      <c r="C237" s="1">
        <v>40779</v>
      </c>
      <c r="D237">
        <v>3</v>
      </c>
      <c r="E237">
        <v>0</v>
      </c>
      <c r="F237">
        <v>8</v>
      </c>
      <c r="G237">
        <v>3</v>
      </c>
      <c r="H237">
        <v>1</v>
      </c>
      <c r="I237">
        <v>949</v>
      </c>
      <c r="J237">
        <v>4181</v>
      </c>
      <c r="K237" s="8">
        <v>5130</v>
      </c>
      <c r="L237">
        <v>27.606653000000001</v>
      </c>
      <c r="M237">
        <v>31.534600000000001</v>
      </c>
      <c r="N237">
        <v>60.5</v>
      </c>
      <c r="O237">
        <v>16.958235999999999</v>
      </c>
      <c r="P237">
        <v>0</v>
      </c>
      <c r="Q237">
        <v>1</v>
      </c>
      <c r="R237">
        <f t="shared" si="84"/>
        <v>0</v>
      </c>
      <c r="S237">
        <f t="shared" si="85"/>
        <v>0</v>
      </c>
      <c r="T237">
        <f t="shared" si="86"/>
        <v>0</v>
      </c>
      <c r="U237">
        <f t="shared" si="87"/>
        <v>0</v>
      </c>
      <c r="V237">
        <f t="shared" si="88"/>
        <v>0</v>
      </c>
      <c r="W237">
        <f t="shared" si="89"/>
        <v>0</v>
      </c>
      <c r="X237">
        <f t="shared" si="90"/>
        <v>0</v>
      </c>
      <c r="Y237">
        <f t="shared" si="91"/>
        <v>1</v>
      </c>
      <c r="Z237">
        <f t="shared" si="92"/>
        <v>0</v>
      </c>
      <c r="AA237">
        <f t="shared" si="93"/>
        <v>0</v>
      </c>
      <c r="AB237">
        <f t="shared" si="94"/>
        <v>0</v>
      </c>
      <c r="AC237">
        <f t="shared" si="95"/>
        <v>0</v>
      </c>
      <c r="AD237">
        <f t="shared" si="96"/>
        <v>0</v>
      </c>
      <c r="AE237">
        <f t="shared" si="97"/>
        <v>0</v>
      </c>
      <c r="AF237">
        <f t="shared" si="98"/>
        <v>0</v>
      </c>
      <c r="AG237">
        <f t="shared" si="99"/>
        <v>1</v>
      </c>
      <c r="AH237">
        <f t="shared" si="100"/>
        <v>0</v>
      </c>
      <c r="AI237">
        <f t="shared" si="101"/>
        <v>0</v>
      </c>
      <c r="AJ237">
        <f t="shared" si="102"/>
        <v>0</v>
      </c>
      <c r="AK237">
        <f t="shared" si="103"/>
        <v>1</v>
      </c>
      <c r="AL237">
        <f t="shared" si="104"/>
        <v>0</v>
      </c>
      <c r="AM237">
        <f t="shared" si="105"/>
        <v>0</v>
      </c>
      <c r="AN237">
        <f t="shared" si="106"/>
        <v>1</v>
      </c>
      <c r="AO237">
        <f t="shared" si="107"/>
        <v>0</v>
      </c>
      <c r="AP237">
        <f t="shared" si="108"/>
        <v>0</v>
      </c>
      <c r="AQ237">
        <f t="shared" si="109"/>
        <v>0</v>
      </c>
      <c r="AR237">
        <f t="shared" si="110"/>
        <v>1</v>
      </c>
      <c r="AS237">
        <f t="shared" si="111"/>
        <v>0</v>
      </c>
    </row>
    <row r="238" spans="2:45" x14ac:dyDescent="0.3">
      <c r="B238">
        <v>237</v>
      </c>
      <c r="C238" s="1">
        <v>40780</v>
      </c>
      <c r="D238">
        <v>3</v>
      </c>
      <c r="E238">
        <v>0</v>
      </c>
      <c r="F238">
        <v>8</v>
      </c>
      <c r="G238">
        <v>4</v>
      </c>
      <c r="H238">
        <v>2</v>
      </c>
      <c r="I238">
        <v>435</v>
      </c>
      <c r="J238">
        <v>3107</v>
      </c>
      <c r="K238" s="8">
        <v>3542</v>
      </c>
      <c r="L238">
        <v>28.050847000000001</v>
      </c>
      <c r="M238">
        <v>32.292700000000004</v>
      </c>
      <c r="N238">
        <v>77.166700000000006</v>
      </c>
      <c r="O238">
        <v>14.125811000000001</v>
      </c>
      <c r="P238">
        <v>0</v>
      </c>
      <c r="Q238">
        <v>1</v>
      </c>
      <c r="R238">
        <f t="shared" si="84"/>
        <v>0</v>
      </c>
      <c r="S238">
        <f t="shared" si="85"/>
        <v>0</v>
      </c>
      <c r="T238">
        <f t="shared" si="86"/>
        <v>0</v>
      </c>
      <c r="U238">
        <f t="shared" si="87"/>
        <v>0</v>
      </c>
      <c r="V238">
        <f t="shared" si="88"/>
        <v>0</v>
      </c>
      <c r="W238">
        <f t="shared" si="89"/>
        <v>0</v>
      </c>
      <c r="X238">
        <f t="shared" si="90"/>
        <v>0</v>
      </c>
      <c r="Y238">
        <f t="shared" si="91"/>
        <v>1</v>
      </c>
      <c r="Z238">
        <f t="shared" si="92"/>
        <v>0</v>
      </c>
      <c r="AA238">
        <f t="shared" si="93"/>
        <v>0</v>
      </c>
      <c r="AB238">
        <f t="shared" si="94"/>
        <v>0</v>
      </c>
      <c r="AC238">
        <f t="shared" si="95"/>
        <v>0</v>
      </c>
      <c r="AD238">
        <f t="shared" si="96"/>
        <v>0</v>
      </c>
      <c r="AE238">
        <f t="shared" si="97"/>
        <v>0</v>
      </c>
      <c r="AF238">
        <f t="shared" si="98"/>
        <v>0</v>
      </c>
      <c r="AG238">
        <f t="shared" si="99"/>
        <v>0</v>
      </c>
      <c r="AH238">
        <f t="shared" si="100"/>
        <v>1</v>
      </c>
      <c r="AI238">
        <f t="shared" si="101"/>
        <v>0</v>
      </c>
      <c r="AJ238">
        <f t="shared" si="102"/>
        <v>0</v>
      </c>
      <c r="AK238">
        <f t="shared" si="103"/>
        <v>0</v>
      </c>
      <c r="AL238">
        <f t="shared" si="104"/>
        <v>1</v>
      </c>
      <c r="AM238">
        <f t="shared" si="105"/>
        <v>0</v>
      </c>
      <c r="AN238">
        <f t="shared" si="106"/>
        <v>1</v>
      </c>
      <c r="AO238">
        <f t="shared" si="107"/>
        <v>0</v>
      </c>
      <c r="AP238">
        <f t="shared" si="108"/>
        <v>0</v>
      </c>
      <c r="AQ238">
        <f t="shared" si="109"/>
        <v>0</v>
      </c>
      <c r="AR238">
        <f t="shared" si="110"/>
        <v>1</v>
      </c>
      <c r="AS238">
        <f t="shared" si="111"/>
        <v>0</v>
      </c>
    </row>
    <row r="239" spans="2:45" x14ac:dyDescent="0.3">
      <c r="B239">
        <v>238</v>
      </c>
      <c r="C239" s="1">
        <v>40781</v>
      </c>
      <c r="D239">
        <v>3</v>
      </c>
      <c r="E239">
        <v>0</v>
      </c>
      <c r="F239">
        <v>8</v>
      </c>
      <c r="G239">
        <v>5</v>
      </c>
      <c r="H239">
        <v>1</v>
      </c>
      <c r="I239">
        <v>768</v>
      </c>
      <c r="J239">
        <v>3893</v>
      </c>
      <c r="K239" s="8">
        <v>4661</v>
      </c>
      <c r="L239">
        <v>28.7</v>
      </c>
      <c r="M239">
        <v>32.986649999999997</v>
      </c>
      <c r="N239">
        <v>76.125</v>
      </c>
      <c r="O239">
        <v>5.6254875000000002</v>
      </c>
      <c r="P239">
        <v>0</v>
      </c>
      <c r="Q239">
        <v>1</v>
      </c>
      <c r="R239">
        <f t="shared" si="84"/>
        <v>0</v>
      </c>
      <c r="S239">
        <f t="shared" si="85"/>
        <v>0</v>
      </c>
      <c r="T239">
        <f t="shared" si="86"/>
        <v>0</v>
      </c>
      <c r="U239">
        <f t="shared" si="87"/>
        <v>0</v>
      </c>
      <c r="V239">
        <f t="shared" si="88"/>
        <v>0</v>
      </c>
      <c r="W239">
        <f t="shared" si="89"/>
        <v>0</v>
      </c>
      <c r="X239">
        <f t="shared" si="90"/>
        <v>0</v>
      </c>
      <c r="Y239">
        <f t="shared" si="91"/>
        <v>1</v>
      </c>
      <c r="Z239">
        <f t="shared" si="92"/>
        <v>0</v>
      </c>
      <c r="AA239">
        <f t="shared" si="93"/>
        <v>0</v>
      </c>
      <c r="AB239">
        <f t="shared" si="94"/>
        <v>0</v>
      </c>
      <c r="AC239">
        <f t="shared" si="95"/>
        <v>0</v>
      </c>
      <c r="AD239">
        <f t="shared" si="96"/>
        <v>0</v>
      </c>
      <c r="AE239">
        <f t="shared" si="97"/>
        <v>0</v>
      </c>
      <c r="AF239">
        <f t="shared" si="98"/>
        <v>0</v>
      </c>
      <c r="AG239">
        <f t="shared" si="99"/>
        <v>0</v>
      </c>
      <c r="AH239">
        <f t="shared" si="100"/>
        <v>0</v>
      </c>
      <c r="AI239">
        <f t="shared" si="101"/>
        <v>1</v>
      </c>
      <c r="AJ239">
        <f t="shared" si="102"/>
        <v>0</v>
      </c>
      <c r="AK239">
        <f t="shared" si="103"/>
        <v>1</v>
      </c>
      <c r="AL239">
        <f t="shared" si="104"/>
        <v>0</v>
      </c>
      <c r="AM239">
        <f t="shared" si="105"/>
        <v>0</v>
      </c>
      <c r="AN239">
        <f t="shared" si="106"/>
        <v>1</v>
      </c>
      <c r="AO239">
        <f t="shared" si="107"/>
        <v>0</v>
      </c>
      <c r="AP239">
        <f t="shared" si="108"/>
        <v>0</v>
      </c>
      <c r="AQ239">
        <f t="shared" si="109"/>
        <v>0</v>
      </c>
      <c r="AR239">
        <f t="shared" si="110"/>
        <v>1</v>
      </c>
      <c r="AS239">
        <f t="shared" si="111"/>
        <v>0</v>
      </c>
    </row>
    <row r="240" spans="2:45" x14ac:dyDescent="0.3">
      <c r="B240">
        <v>239</v>
      </c>
      <c r="C240" s="1">
        <v>40782</v>
      </c>
      <c r="D240">
        <v>3</v>
      </c>
      <c r="E240">
        <v>0</v>
      </c>
      <c r="F240">
        <v>8</v>
      </c>
      <c r="G240">
        <v>6</v>
      </c>
      <c r="H240">
        <v>2</v>
      </c>
      <c r="I240">
        <v>226</v>
      </c>
      <c r="J240">
        <v>889</v>
      </c>
      <c r="K240" s="8">
        <v>1115</v>
      </c>
      <c r="L240">
        <v>27.88</v>
      </c>
      <c r="M240">
        <v>31.777799999999999</v>
      </c>
      <c r="N240">
        <v>85</v>
      </c>
      <c r="O240">
        <v>25.166339000000001</v>
      </c>
      <c r="P240">
        <v>0</v>
      </c>
      <c r="Q240">
        <v>0</v>
      </c>
      <c r="R240">
        <f t="shared" si="84"/>
        <v>0</v>
      </c>
      <c r="S240">
        <f t="shared" si="85"/>
        <v>0</v>
      </c>
      <c r="T240">
        <f t="shared" si="86"/>
        <v>0</v>
      </c>
      <c r="U240">
        <f t="shared" si="87"/>
        <v>0</v>
      </c>
      <c r="V240">
        <f t="shared" si="88"/>
        <v>0</v>
      </c>
      <c r="W240">
        <f t="shared" si="89"/>
        <v>0</v>
      </c>
      <c r="X240">
        <f t="shared" si="90"/>
        <v>0</v>
      </c>
      <c r="Y240">
        <f t="shared" si="91"/>
        <v>1</v>
      </c>
      <c r="Z240">
        <f t="shared" si="92"/>
        <v>0</v>
      </c>
      <c r="AA240">
        <f t="shared" si="93"/>
        <v>0</v>
      </c>
      <c r="AB240">
        <f t="shared" si="94"/>
        <v>0</v>
      </c>
      <c r="AC240">
        <f t="shared" si="95"/>
        <v>0</v>
      </c>
      <c r="AD240">
        <f t="shared" si="96"/>
        <v>0</v>
      </c>
      <c r="AE240">
        <f t="shared" si="97"/>
        <v>0</v>
      </c>
      <c r="AF240">
        <f t="shared" si="98"/>
        <v>0</v>
      </c>
      <c r="AG240">
        <f t="shared" si="99"/>
        <v>0</v>
      </c>
      <c r="AH240">
        <f t="shared" si="100"/>
        <v>0</v>
      </c>
      <c r="AI240">
        <f t="shared" si="101"/>
        <v>0</v>
      </c>
      <c r="AJ240">
        <f t="shared" si="102"/>
        <v>1</v>
      </c>
      <c r="AK240">
        <f t="shared" si="103"/>
        <v>0</v>
      </c>
      <c r="AL240">
        <f t="shared" si="104"/>
        <v>1</v>
      </c>
      <c r="AM240">
        <f t="shared" si="105"/>
        <v>0</v>
      </c>
      <c r="AN240">
        <f t="shared" si="106"/>
        <v>1</v>
      </c>
      <c r="AO240">
        <f t="shared" si="107"/>
        <v>0</v>
      </c>
      <c r="AP240">
        <f t="shared" si="108"/>
        <v>0</v>
      </c>
      <c r="AQ240">
        <f t="shared" si="109"/>
        <v>0</v>
      </c>
      <c r="AR240">
        <f t="shared" si="110"/>
        <v>1</v>
      </c>
      <c r="AS240">
        <f t="shared" si="111"/>
        <v>0</v>
      </c>
    </row>
    <row r="241" spans="2:45" x14ac:dyDescent="0.3">
      <c r="B241">
        <v>240</v>
      </c>
      <c r="C241" s="1">
        <v>40783</v>
      </c>
      <c r="D241">
        <v>3</v>
      </c>
      <c r="E241">
        <v>0</v>
      </c>
      <c r="F241">
        <v>8</v>
      </c>
      <c r="G241">
        <v>0</v>
      </c>
      <c r="H241">
        <v>1</v>
      </c>
      <c r="I241">
        <v>1415</v>
      </c>
      <c r="J241">
        <v>2919</v>
      </c>
      <c r="K241" s="8">
        <v>4334</v>
      </c>
      <c r="L241">
        <v>28.989419000000002</v>
      </c>
      <c r="M241">
        <v>32.397950000000002</v>
      </c>
      <c r="N241">
        <v>56.176499999999997</v>
      </c>
      <c r="O241">
        <v>20.412153</v>
      </c>
      <c r="P241">
        <v>0</v>
      </c>
      <c r="Q241">
        <v>0</v>
      </c>
      <c r="R241">
        <f t="shared" si="84"/>
        <v>0</v>
      </c>
      <c r="S241">
        <f t="shared" si="85"/>
        <v>0</v>
      </c>
      <c r="T241">
        <f t="shared" si="86"/>
        <v>0</v>
      </c>
      <c r="U241">
        <f t="shared" si="87"/>
        <v>0</v>
      </c>
      <c r="V241">
        <f t="shared" si="88"/>
        <v>0</v>
      </c>
      <c r="W241">
        <f t="shared" si="89"/>
        <v>0</v>
      </c>
      <c r="X241">
        <f t="shared" si="90"/>
        <v>0</v>
      </c>
      <c r="Y241">
        <f t="shared" si="91"/>
        <v>1</v>
      </c>
      <c r="Z241">
        <f t="shared" si="92"/>
        <v>0</v>
      </c>
      <c r="AA241">
        <f t="shared" si="93"/>
        <v>0</v>
      </c>
      <c r="AB241">
        <f t="shared" si="94"/>
        <v>0</v>
      </c>
      <c r="AC241">
        <f t="shared" si="95"/>
        <v>0</v>
      </c>
      <c r="AD241">
        <f t="shared" si="96"/>
        <v>1</v>
      </c>
      <c r="AE241">
        <f t="shared" si="97"/>
        <v>0</v>
      </c>
      <c r="AF241">
        <f t="shared" si="98"/>
        <v>0</v>
      </c>
      <c r="AG241">
        <f t="shared" si="99"/>
        <v>0</v>
      </c>
      <c r="AH241">
        <f t="shared" si="100"/>
        <v>0</v>
      </c>
      <c r="AI241">
        <f t="shared" si="101"/>
        <v>0</v>
      </c>
      <c r="AJ241">
        <f t="shared" si="102"/>
        <v>0</v>
      </c>
      <c r="AK241">
        <f t="shared" si="103"/>
        <v>1</v>
      </c>
      <c r="AL241">
        <f t="shared" si="104"/>
        <v>0</v>
      </c>
      <c r="AM241">
        <f t="shared" si="105"/>
        <v>0</v>
      </c>
      <c r="AN241">
        <f t="shared" si="106"/>
        <v>1</v>
      </c>
      <c r="AO241">
        <f t="shared" si="107"/>
        <v>0</v>
      </c>
      <c r="AP241">
        <f t="shared" si="108"/>
        <v>0</v>
      </c>
      <c r="AQ241">
        <f t="shared" si="109"/>
        <v>0</v>
      </c>
      <c r="AR241">
        <f t="shared" si="110"/>
        <v>1</v>
      </c>
      <c r="AS241">
        <f t="shared" si="111"/>
        <v>0</v>
      </c>
    </row>
    <row r="242" spans="2:45" x14ac:dyDescent="0.3">
      <c r="B242">
        <v>241</v>
      </c>
      <c r="C242" s="1">
        <v>40784</v>
      </c>
      <c r="D242">
        <v>3</v>
      </c>
      <c r="E242">
        <v>0</v>
      </c>
      <c r="F242">
        <v>8</v>
      </c>
      <c r="G242">
        <v>1</v>
      </c>
      <c r="H242">
        <v>1</v>
      </c>
      <c r="I242">
        <v>729</v>
      </c>
      <c r="J242">
        <v>3905</v>
      </c>
      <c r="K242" s="8">
        <v>4634</v>
      </c>
      <c r="L242">
        <v>26.103346999999999</v>
      </c>
      <c r="M242">
        <v>30.3979</v>
      </c>
      <c r="N242">
        <v>55.458300000000001</v>
      </c>
      <c r="O242">
        <v>10.708275</v>
      </c>
      <c r="P242">
        <v>0</v>
      </c>
      <c r="Q242">
        <v>1</v>
      </c>
      <c r="R242">
        <f t="shared" si="84"/>
        <v>0</v>
      </c>
      <c r="S242">
        <f t="shared" si="85"/>
        <v>0</v>
      </c>
      <c r="T242">
        <f t="shared" si="86"/>
        <v>0</v>
      </c>
      <c r="U242">
        <f t="shared" si="87"/>
        <v>0</v>
      </c>
      <c r="V242">
        <f t="shared" si="88"/>
        <v>0</v>
      </c>
      <c r="W242">
        <f t="shared" si="89"/>
        <v>0</v>
      </c>
      <c r="X242">
        <f t="shared" si="90"/>
        <v>0</v>
      </c>
      <c r="Y242">
        <f t="shared" si="91"/>
        <v>1</v>
      </c>
      <c r="Z242">
        <f t="shared" si="92"/>
        <v>0</v>
      </c>
      <c r="AA242">
        <f t="shared" si="93"/>
        <v>0</v>
      </c>
      <c r="AB242">
        <f t="shared" si="94"/>
        <v>0</v>
      </c>
      <c r="AC242">
        <f t="shared" si="95"/>
        <v>0</v>
      </c>
      <c r="AD242">
        <f t="shared" si="96"/>
        <v>0</v>
      </c>
      <c r="AE242">
        <f t="shared" si="97"/>
        <v>1</v>
      </c>
      <c r="AF242">
        <f t="shared" si="98"/>
        <v>0</v>
      </c>
      <c r="AG242">
        <f t="shared" si="99"/>
        <v>0</v>
      </c>
      <c r="AH242">
        <f t="shared" si="100"/>
        <v>0</v>
      </c>
      <c r="AI242">
        <f t="shared" si="101"/>
        <v>0</v>
      </c>
      <c r="AJ242">
        <f t="shared" si="102"/>
        <v>0</v>
      </c>
      <c r="AK242">
        <f t="shared" si="103"/>
        <v>1</v>
      </c>
      <c r="AL242">
        <f t="shared" si="104"/>
        <v>0</v>
      </c>
      <c r="AM242">
        <f t="shared" si="105"/>
        <v>0</v>
      </c>
      <c r="AN242">
        <f t="shared" si="106"/>
        <v>1</v>
      </c>
      <c r="AO242">
        <f t="shared" si="107"/>
        <v>0</v>
      </c>
      <c r="AP242">
        <f t="shared" si="108"/>
        <v>0</v>
      </c>
      <c r="AQ242">
        <f t="shared" si="109"/>
        <v>0</v>
      </c>
      <c r="AR242">
        <f t="shared" si="110"/>
        <v>1</v>
      </c>
      <c r="AS242">
        <f t="shared" si="111"/>
        <v>0</v>
      </c>
    </row>
    <row r="243" spans="2:45" x14ac:dyDescent="0.3">
      <c r="B243">
        <v>242</v>
      </c>
      <c r="C243" s="1">
        <v>40785</v>
      </c>
      <c r="D243">
        <v>3</v>
      </c>
      <c r="E243">
        <v>0</v>
      </c>
      <c r="F243">
        <v>8</v>
      </c>
      <c r="G243">
        <v>2</v>
      </c>
      <c r="H243">
        <v>1</v>
      </c>
      <c r="I243">
        <v>775</v>
      </c>
      <c r="J243">
        <v>4429</v>
      </c>
      <c r="K243" s="8">
        <v>5204</v>
      </c>
      <c r="L243">
        <v>26.205846999999999</v>
      </c>
      <c r="M243">
        <v>29.735199999999999</v>
      </c>
      <c r="N243">
        <v>54.833300000000001</v>
      </c>
      <c r="O243">
        <v>8.3755360000000003</v>
      </c>
      <c r="P243">
        <v>0</v>
      </c>
      <c r="Q243">
        <v>1</v>
      </c>
      <c r="R243">
        <f t="shared" si="84"/>
        <v>0</v>
      </c>
      <c r="S243">
        <f t="shared" si="85"/>
        <v>0</v>
      </c>
      <c r="T243">
        <f t="shared" si="86"/>
        <v>0</v>
      </c>
      <c r="U243">
        <f t="shared" si="87"/>
        <v>0</v>
      </c>
      <c r="V243">
        <f t="shared" si="88"/>
        <v>0</v>
      </c>
      <c r="W243">
        <f t="shared" si="89"/>
        <v>0</v>
      </c>
      <c r="X243">
        <f t="shared" si="90"/>
        <v>0</v>
      </c>
      <c r="Y243">
        <f t="shared" si="91"/>
        <v>1</v>
      </c>
      <c r="Z243">
        <f t="shared" si="92"/>
        <v>0</v>
      </c>
      <c r="AA243">
        <f t="shared" si="93"/>
        <v>0</v>
      </c>
      <c r="AB243">
        <f t="shared" si="94"/>
        <v>0</v>
      </c>
      <c r="AC243">
        <f t="shared" si="95"/>
        <v>0</v>
      </c>
      <c r="AD243">
        <f t="shared" si="96"/>
        <v>0</v>
      </c>
      <c r="AE243">
        <f t="shared" si="97"/>
        <v>0</v>
      </c>
      <c r="AF243">
        <f t="shared" si="98"/>
        <v>1</v>
      </c>
      <c r="AG243">
        <f t="shared" si="99"/>
        <v>0</v>
      </c>
      <c r="AH243">
        <f t="shared" si="100"/>
        <v>0</v>
      </c>
      <c r="AI243">
        <f t="shared" si="101"/>
        <v>0</v>
      </c>
      <c r="AJ243">
        <f t="shared" si="102"/>
        <v>0</v>
      </c>
      <c r="AK243">
        <f t="shared" si="103"/>
        <v>1</v>
      </c>
      <c r="AL243">
        <f t="shared" si="104"/>
        <v>0</v>
      </c>
      <c r="AM243">
        <f t="shared" si="105"/>
        <v>0</v>
      </c>
      <c r="AN243">
        <f t="shared" si="106"/>
        <v>1</v>
      </c>
      <c r="AO243">
        <f t="shared" si="107"/>
        <v>0</v>
      </c>
      <c r="AP243">
        <f t="shared" si="108"/>
        <v>0</v>
      </c>
      <c r="AQ243">
        <f t="shared" si="109"/>
        <v>0</v>
      </c>
      <c r="AR243">
        <f t="shared" si="110"/>
        <v>1</v>
      </c>
      <c r="AS243">
        <f t="shared" si="111"/>
        <v>0</v>
      </c>
    </row>
    <row r="244" spans="2:45" x14ac:dyDescent="0.3">
      <c r="B244">
        <v>243</v>
      </c>
      <c r="C244" s="1">
        <v>40786</v>
      </c>
      <c r="D244">
        <v>3</v>
      </c>
      <c r="E244">
        <v>0</v>
      </c>
      <c r="F244">
        <v>8</v>
      </c>
      <c r="G244">
        <v>3</v>
      </c>
      <c r="H244">
        <v>1</v>
      </c>
      <c r="I244">
        <v>688</v>
      </c>
      <c r="J244">
        <v>4370</v>
      </c>
      <c r="K244" s="8">
        <v>5058</v>
      </c>
      <c r="L244">
        <v>26.923347</v>
      </c>
      <c r="M244">
        <v>30.556049999999999</v>
      </c>
      <c r="N244">
        <v>59.791699999999999</v>
      </c>
      <c r="O244">
        <v>5.5833310999999997</v>
      </c>
      <c r="P244">
        <v>0</v>
      </c>
      <c r="Q244">
        <v>1</v>
      </c>
      <c r="R244">
        <f t="shared" si="84"/>
        <v>0</v>
      </c>
      <c r="S244">
        <f t="shared" si="85"/>
        <v>0</v>
      </c>
      <c r="T244">
        <f t="shared" si="86"/>
        <v>0</v>
      </c>
      <c r="U244">
        <f t="shared" si="87"/>
        <v>0</v>
      </c>
      <c r="V244">
        <f t="shared" si="88"/>
        <v>0</v>
      </c>
      <c r="W244">
        <f t="shared" si="89"/>
        <v>0</v>
      </c>
      <c r="X244">
        <f t="shared" si="90"/>
        <v>0</v>
      </c>
      <c r="Y244">
        <f t="shared" si="91"/>
        <v>1</v>
      </c>
      <c r="Z244">
        <f t="shared" si="92"/>
        <v>0</v>
      </c>
      <c r="AA244">
        <f t="shared" si="93"/>
        <v>0</v>
      </c>
      <c r="AB244">
        <f t="shared" si="94"/>
        <v>0</v>
      </c>
      <c r="AC244">
        <f t="shared" si="95"/>
        <v>0</v>
      </c>
      <c r="AD244">
        <f t="shared" si="96"/>
        <v>0</v>
      </c>
      <c r="AE244">
        <f t="shared" si="97"/>
        <v>0</v>
      </c>
      <c r="AF244">
        <f t="shared" si="98"/>
        <v>0</v>
      </c>
      <c r="AG244">
        <f t="shared" si="99"/>
        <v>1</v>
      </c>
      <c r="AH244">
        <f t="shared" si="100"/>
        <v>0</v>
      </c>
      <c r="AI244">
        <f t="shared" si="101"/>
        <v>0</v>
      </c>
      <c r="AJ244">
        <f t="shared" si="102"/>
        <v>0</v>
      </c>
      <c r="AK244">
        <f t="shared" si="103"/>
        <v>1</v>
      </c>
      <c r="AL244">
        <f t="shared" si="104"/>
        <v>0</v>
      </c>
      <c r="AM244">
        <f t="shared" si="105"/>
        <v>0</v>
      </c>
      <c r="AN244">
        <f t="shared" si="106"/>
        <v>1</v>
      </c>
      <c r="AO244">
        <f t="shared" si="107"/>
        <v>0</v>
      </c>
      <c r="AP244">
        <f t="shared" si="108"/>
        <v>0</v>
      </c>
      <c r="AQ244">
        <f t="shared" si="109"/>
        <v>0</v>
      </c>
      <c r="AR244">
        <f t="shared" si="110"/>
        <v>1</v>
      </c>
      <c r="AS244">
        <f t="shared" si="111"/>
        <v>0</v>
      </c>
    </row>
    <row r="245" spans="2:45" x14ac:dyDescent="0.3">
      <c r="B245">
        <v>244</v>
      </c>
      <c r="C245" s="1">
        <v>40787</v>
      </c>
      <c r="D245">
        <v>3</v>
      </c>
      <c r="E245">
        <v>0</v>
      </c>
      <c r="F245">
        <v>9</v>
      </c>
      <c r="G245">
        <v>4</v>
      </c>
      <c r="H245">
        <v>1</v>
      </c>
      <c r="I245">
        <v>783</v>
      </c>
      <c r="J245">
        <v>4332</v>
      </c>
      <c r="K245" s="8">
        <v>5115</v>
      </c>
      <c r="L245">
        <v>26.855</v>
      </c>
      <c r="M245">
        <v>30.74605</v>
      </c>
      <c r="N245">
        <v>63.916699999999999</v>
      </c>
      <c r="O245">
        <v>9.5003320000000002</v>
      </c>
      <c r="P245">
        <v>0</v>
      </c>
      <c r="Q245">
        <v>1</v>
      </c>
      <c r="R245">
        <f t="shared" si="84"/>
        <v>0</v>
      </c>
      <c r="S245">
        <f t="shared" si="85"/>
        <v>0</v>
      </c>
      <c r="T245">
        <f t="shared" si="86"/>
        <v>0</v>
      </c>
      <c r="U245">
        <f t="shared" si="87"/>
        <v>0</v>
      </c>
      <c r="V245">
        <f t="shared" si="88"/>
        <v>0</v>
      </c>
      <c r="W245">
        <f t="shared" si="89"/>
        <v>0</v>
      </c>
      <c r="X245">
        <f t="shared" si="90"/>
        <v>0</v>
      </c>
      <c r="Y245">
        <f t="shared" si="91"/>
        <v>0</v>
      </c>
      <c r="Z245">
        <f t="shared" si="92"/>
        <v>1</v>
      </c>
      <c r="AA245">
        <f t="shared" si="93"/>
        <v>0</v>
      </c>
      <c r="AB245">
        <f t="shared" si="94"/>
        <v>0</v>
      </c>
      <c r="AC245">
        <f t="shared" si="95"/>
        <v>0</v>
      </c>
      <c r="AD245">
        <f t="shared" si="96"/>
        <v>0</v>
      </c>
      <c r="AE245">
        <f t="shared" si="97"/>
        <v>0</v>
      </c>
      <c r="AF245">
        <f t="shared" si="98"/>
        <v>0</v>
      </c>
      <c r="AG245">
        <f t="shared" si="99"/>
        <v>0</v>
      </c>
      <c r="AH245">
        <f t="shared" si="100"/>
        <v>1</v>
      </c>
      <c r="AI245">
        <f t="shared" si="101"/>
        <v>0</v>
      </c>
      <c r="AJ245">
        <f t="shared" si="102"/>
        <v>0</v>
      </c>
      <c r="AK245">
        <f t="shared" si="103"/>
        <v>1</v>
      </c>
      <c r="AL245">
        <f t="shared" si="104"/>
        <v>0</v>
      </c>
      <c r="AM245">
        <f t="shared" si="105"/>
        <v>0</v>
      </c>
      <c r="AN245">
        <f t="shared" si="106"/>
        <v>1</v>
      </c>
      <c r="AO245">
        <f t="shared" si="107"/>
        <v>0</v>
      </c>
      <c r="AP245">
        <f t="shared" si="108"/>
        <v>0</v>
      </c>
      <c r="AQ245">
        <f t="shared" si="109"/>
        <v>0</v>
      </c>
      <c r="AR245">
        <f t="shared" si="110"/>
        <v>1</v>
      </c>
      <c r="AS245">
        <f t="shared" si="111"/>
        <v>0</v>
      </c>
    </row>
    <row r="246" spans="2:45" x14ac:dyDescent="0.3">
      <c r="B246">
        <v>245</v>
      </c>
      <c r="C246" s="1">
        <v>40788</v>
      </c>
      <c r="D246">
        <v>3</v>
      </c>
      <c r="E246">
        <v>0</v>
      </c>
      <c r="F246">
        <v>9</v>
      </c>
      <c r="G246">
        <v>5</v>
      </c>
      <c r="H246">
        <v>2</v>
      </c>
      <c r="I246">
        <v>875</v>
      </c>
      <c r="J246">
        <v>3852</v>
      </c>
      <c r="K246" s="8">
        <v>4727</v>
      </c>
      <c r="L246">
        <v>26.376653000000001</v>
      </c>
      <c r="M246">
        <v>30.240400000000001</v>
      </c>
      <c r="N246">
        <v>72.708299999999994</v>
      </c>
      <c r="O246">
        <v>9.3752429999999993</v>
      </c>
      <c r="P246">
        <v>0</v>
      </c>
      <c r="Q246">
        <v>1</v>
      </c>
      <c r="R246">
        <f t="shared" si="84"/>
        <v>0</v>
      </c>
      <c r="S246">
        <f t="shared" si="85"/>
        <v>0</v>
      </c>
      <c r="T246">
        <f t="shared" si="86"/>
        <v>0</v>
      </c>
      <c r="U246">
        <f t="shared" si="87"/>
        <v>0</v>
      </c>
      <c r="V246">
        <f t="shared" si="88"/>
        <v>0</v>
      </c>
      <c r="W246">
        <f t="shared" si="89"/>
        <v>0</v>
      </c>
      <c r="X246">
        <f t="shared" si="90"/>
        <v>0</v>
      </c>
      <c r="Y246">
        <f t="shared" si="91"/>
        <v>0</v>
      </c>
      <c r="Z246">
        <f t="shared" si="92"/>
        <v>1</v>
      </c>
      <c r="AA246">
        <f t="shared" si="93"/>
        <v>0</v>
      </c>
      <c r="AB246">
        <f t="shared" si="94"/>
        <v>0</v>
      </c>
      <c r="AC246">
        <f t="shared" si="95"/>
        <v>0</v>
      </c>
      <c r="AD246">
        <f t="shared" si="96"/>
        <v>0</v>
      </c>
      <c r="AE246">
        <f t="shared" si="97"/>
        <v>0</v>
      </c>
      <c r="AF246">
        <f t="shared" si="98"/>
        <v>0</v>
      </c>
      <c r="AG246">
        <f t="shared" si="99"/>
        <v>0</v>
      </c>
      <c r="AH246">
        <f t="shared" si="100"/>
        <v>0</v>
      </c>
      <c r="AI246">
        <f t="shared" si="101"/>
        <v>1</v>
      </c>
      <c r="AJ246">
        <f t="shared" si="102"/>
        <v>0</v>
      </c>
      <c r="AK246">
        <f t="shared" si="103"/>
        <v>0</v>
      </c>
      <c r="AL246">
        <f t="shared" si="104"/>
        <v>1</v>
      </c>
      <c r="AM246">
        <f t="shared" si="105"/>
        <v>0</v>
      </c>
      <c r="AN246">
        <f t="shared" si="106"/>
        <v>1</v>
      </c>
      <c r="AO246">
        <f t="shared" si="107"/>
        <v>0</v>
      </c>
      <c r="AP246">
        <f t="shared" si="108"/>
        <v>0</v>
      </c>
      <c r="AQ246">
        <f t="shared" si="109"/>
        <v>0</v>
      </c>
      <c r="AR246">
        <f t="shared" si="110"/>
        <v>1</v>
      </c>
      <c r="AS246">
        <f t="shared" si="111"/>
        <v>0</v>
      </c>
    </row>
    <row r="247" spans="2:45" x14ac:dyDescent="0.3">
      <c r="B247">
        <v>246</v>
      </c>
      <c r="C247" s="1">
        <v>40789</v>
      </c>
      <c r="D247">
        <v>3</v>
      </c>
      <c r="E247">
        <v>0</v>
      </c>
      <c r="F247">
        <v>9</v>
      </c>
      <c r="G247">
        <v>6</v>
      </c>
      <c r="H247">
        <v>1</v>
      </c>
      <c r="I247">
        <v>1935</v>
      </c>
      <c r="J247">
        <v>2549</v>
      </c>
      <c r="K247" s="8">
        <v>4484</v>
      </c>
      <c r="L247">
        <v>27.435846999999999</v>
      </c>
      <c r="M247">
        <v>31.66065</v>
      </c>
      <c r="N247">
        <v>71.666700000000006</v>
      </c>
      <c r="O247">
        <v>12.416774999999999</v>
      </c>
      <c r="P247">
        <v>0</v>
      </c>
      <c r="Q247">
        <v>0</v>
      </c>
      <c r="R247">
        <f t="shared" si="84"/>
        <v>0</v>
      </c>
      <c r="S247">
        <f t="shared" si="85"/>
        <v>0</v>
      </c>
      <c r="T247">
        <f t="shared" si="86"/>
        <v>0</v>
      </c>
      <c r="U247">
        <f t="shared" si="87"/>
        <v>0</v>
      </c>
      <c r="V247">
        <f t="shared" si="88"/>
        <v>0</v>
      </c>
      <c r="W247">
        <f t="shared" si="89"/>
        <v>0</v>
      </c>
      <c r="X247">
        <f t="shared" si="90"/>
        <v>0</v>
      </c>
      <c r="Y247">
        <f t="shared" si="91"/>
        <v>0</v>
      </c>
      <c r="Z247">
        <f t="shared" si="92"/>
        <v>1</v>
      </c>
      <c r="AA247">
        <f t="shared" si="93"/>
        <v>0</v>
      </c>
      <c r="AB247">
        <f t="shared" si="94"/>
        <v>0</v>
      </c>
      <c r="AC247">
        <f t="shared" si="95"/>
        <v>0</v>
      </c>
      <c r="AD247">
        <f t="shared" si="96"/>
        <v>0</v>
      </c>
      <c r="AE247">
        <f t="shared" si="97"/>
        <v>0</v>
      </c>
      <c r="AF247">
        <f t="shared" si="98"/>
        <v>0</v>
      </c>
      <c r="AG247">
        <f t="shared" si="99"/>
        <v>0</v>
      </c>
      <c r="AH247">
        <f t="shared" si="100"/>
        <v>0</v>
      </c>
      <c r="AI247">
        <f t="shared" si="101"/>
        <v>0</v>
      </c>
      <c r="AJ247">
        <f t="shared" si="102"/>
        <v>1</v>
      </c>
      <c r="AK247">
        <f t="shared" si="103"/>
        <v>1</v>
      </c>
      <c r="AL247">
        <f t="shared" si="104"/>
        <v>0</v>
      </c>
      <c r="AM247">
        <f t="shared" si="105"/>
        <v>0</v>
      </c>
      <c r="AN247">
        <f t="shared" si="106"/>
        <v>1</v>
      </c>
      <c r="AO247">
        <f t="shared" si="107"/>
        <v>0</v>
      </c>
      <c r="AP247">
        <f t="shared" si="108"/>
        <v>0</v>
      </c>
      <c r="AQ247">
        <f t="shared" si="109"/>
        <v>0</v>
      </c>
      <c r="AR247">
        <f t="shared" si="110"/>
        <v>1</v>
      </c>
      <c r="AS247">
        <f t="shared" si="111"/>
        <v>0</v>
      </c>
    </row>
    <row r="248" spans="2:45" x14ac:dyDescent="0.3">
      <c r="B248">
        <v>247</v>
      </c>
      <c r="C248" s="1">
        <v>40790</v>
      </c>
      <c r="D248">
        <v>3</v>
      </c>
      <c r="E248">
        <v>0</v>
      </c>
      <c r="F248">
        <v>9</v>
      </c>
      <c r="G248">
        <v>0</v>
      </c>
      <c r="H248">
        <v>1</v>
      </c>
      <c r="I248">
        <v>2521</v>
      </c>
      <c r="J248">
        <v>2419</v>
      </c>
      <c r="K248" s="8">
        <v>4940</v>
      </c>
      <c r="L248">
        <v>29.075847</v>
      </c>
      <c r="M248">
        <v>33.271450000000002</v>
      </c>
      <c r="N248">
        <v>74.208299999999994</v>
      </c>
      <c r="O248">
        <v>13.833289000000001</v>
      </c>
      <c r="P248">
        <v>0</v>
      </c>
      <c r="Q248">
        <v>0</v>
      </c>
      <c r="R248">
        <f t="shared" si="84"/>
        <v>0</v>
      </c>
      <c r="S248">
        <f t="shared" si="85"/>
        <v>0</v>
      </c>
      <c r="T248">
        <f t="shared" si="86"/>
        <v>0</v>
      </c>
      <c r="U248">
        <f t="shared" si="87"/>
        <v>0</v>
      </c>
      <c r="V248">
        <f t="shared" si="88"/>
        <v>0</v>
      </c>
      <c r="W248">
        <f t="shared" si="89"/>
        <v>0</v>
      </c>
      <c r="X248">
        <f t="shared" si="90"/>
        <v>0</v>
      </c>
      <c r="Y248">
        <f t="shared" si="91"/>
        <v>0</v>
      </c>
      <c r="Z248">
        <f t="shared" si="92"/>
        <v>1</v>
      </c>
      <c r="AA248">
        <f t="shared" si="93"/>
        <v>0</v>
      </c>
      <c r="AB248">
        <f t="shared" si="94"/>
        <v>0</v>
      </c>
      <c r="AC248">
        <f t="shared" si="95"/>
        <v>0</v>
      </c>
      <c r="AD248">
        <f t="shared" si="96"/>
        <v>1</v>
      </c>
      <c r="AE248">
        <f t="shared" si="97"/>
        <v>0</v>
      </c>
      <c r="AF248">
        <f t="shared" si="98"/>
        <v>0</v>
      </c>
      <c r="AG248">
        <f t="shared" si="99"/>
        <v>0</v>
      </c>
      <c r="AH248">
        <f t="shared" si="100"/>
        <v>0</v>
      </c>
      <c r="AI248">
        <f t="shared" si="101"/>
        <v>0</v>
      </c>
      <c r="AJ248">
        <f t="shared" si="102"/>
        <v>0</v>
      </c>
      <c r="AK248">
        <f t="shared" si="103"/>
        <v>1</v>
      </c>
      <c r="AL248">
        <f t="shared" si="104"/>
        <v>0</v>
      </c>
      <c r="AM248">
        <f t="shared" si="105"/>
        <v>0</v>
      </c>
      <c r="AN248">
        <f t="shared" si="106"/>
        <v>1</v>
      </c>
      <c r="AO248">
        <f t="shared" si="107"/>
        <v>0</v>
      </c>
      <c r="AP248">
        <f t="shared" si="108"/>
        <v>0</v>
      </c>
      <c r="AQ248">
        <f t="shared" si="109"/>
        <v>0</v>
      </c>
      <c r="AR248">
        <f t="shared" si="110"/>
        <v>1</v>
      </c>
      <c r="AS248">
        <f t="shared" si="111"/>
        <v>0</v>
      </c>
    </row>
    <row r="249" spans="2:45" x14ac:dyDescent="0.3">
      <c r="B249">
        <v>248</v>
      </c>
      <c r="C249" s="1">
        <v>40791</v>
      </c>
      <c r="D249">
        <v>3</v>
      </c>
      <c r="E249">
        <v>0</v>
      </c>
      <c r="F249">
        <v>9</v>
      </c>
      <c r="G249">
        <v>1</v>
      </c>
      <c r="H249">
        <v>2</v>
      </c>
      <c r="I249">
        <v>1236</v>
      </c>
      <c r="J249">
        <v>2115</v>
      </c>
      <c r="K249" s="8">
        <v>3351</v>
      </c>
      <c r="L249">
        <v>27.606653000000001</v>
      </c>
      <c r="M249">
        <v>31.282299999999999</v>
      </c>
      <c r="N249">
        <v>79.041700000000006</v>
      </c>
      <c r="O249">
        <v>14.250632</v>
      </c>
      <c r="P249">
        <v>1</v>
      </c>
      <c r="Q249">
        <v>0</v>
      </c>
      <c r="R249">
        <f t="shared" si="84"/>
        <v>0</v>
      </c>
      <c r="S249">
        <f t="shared" si="85"/>
        <v>0</v>
      </c>
      <c r="T249">
        <f t="shared" si="86"/>
        <v>0</v>
      </c>
      <c r="U249">
        <f t="shared" si="87"/>
        <v>0</v>
      </c>
      <c r="V249">
        <f t="shared" si="88"/>
        <v>0</v>
      </c>
      <c r="W249">
        <f t="shared" si="89"/>
        <v>0</v>
      </c>
      <c r="X249">
        <f t="shared" si="90"/>
        <v>0</v>
      </c>
      <c r="Y249">
        <f t="shared" si="91"/>
        <v>0</v>
      </c>
      <c r="Z249">
        <f t="shared" si="92"/>
        <v>1</v>
      </c>
      <c r="AA249">
        <f t="shared" si="93"/>
        <v>0</v>
      </c>
      <c r="AB249">
        <f t="shared" si="94"/>
        <v>0</v>
      </c>
      <c r="AC249">
        <f t="shared" si="95"/>
        <v>0</v>
      </c>
      <c r="AD249">
        <f t="shared" si="96"/>
        <v>0</v>
      </c>
      <c r="AE249">
        <f t="shared" si="97"/>
        <v>1</v>
      </c>
      <c r="AF249">
        <f t="shared" si="98"/>
        <v>0</v>
      </c>
      <c r="AG249">
        <f t="shared" si="99"/>
        <v>0</v>
      </c>
      <c r="AH249">
        <f t="shared" si="100"/>
        <v>0</v>
      </c>
      <c r="AI249">
        <f t="shared" si="101"/>
        <v>0</v>
      </c>
      <c r="AJ249">
        <f t="shared" si="102"/>
        <v>0</v>
      </c>
      <c r="AK249">
        <f t="shared" si="103"/>
        <v>0</v>
      </c>
      <c r="AL249">
        <f t="shared" si="104"/>
        <v>1</v>
      </c>
      <c r="AM249">
        <f t="shared" si="105"/>
        <v>0</v>
      </c>
      <c r="AN249">
        <f t="shared" si="106"/>
        <v>1</v>
      </c>
      <c r="AO249">
        <f t="shared" si="107"/>
        <v>0</v>
      </c>
      <c r="AP249">
        <f t="shared" si="108"/>
        <v>0</v>
      </c>
      <c r="AQ249">
        <f t="shared" si="109"/>
        <v>0</v>
      </c>
      <c r="AR249">
        <f t="shared" si="110"/>
        <v>1</v>
      </c>
      <c r="AS249">
        <f t="shared" si="111"/>
        <v>0</v>
      </c>
    </row>
    <row r="250" spans="2:45" x14ac:dyDescent="0.3">
      <c r="B250">
        <v>249</v>
      </c>
      <c r="C250" s="1">
        <v>40792</v>
      </c>
      <c r="D250">
        <v>3</v>
      </c>
      <c r="E250">
        <v>0</v>
      </c>
      <c r="F250">
        <v>9</v>
      </c>
      <c r="G250">
        <v>2</v>
      </c>
      <c r="H250">
        <v>3</v>
      </c>
      <c r="I250">
        <v>204</v>
      </c>
      <c r="J250">
        <v>2506</v>
      </c>
      <c r="K250" s="8">
        <v>2710</v>
      </c>
      <c r="L250">
        <v>22.14</v>
      </c>
      <c r="M250">
        <v>25.76</v>
      </c>
      <c r="N250">
        <v>88.695700000000002</v>
      </c>
      <c r="O250">
        <v>23.044180999999998</v>
      </c>
      <c r="P250">
        <v>0</v>
      </c>
      <c r="Q250">
        <v>1</v>
      </c>
      <c r="R250">
        <f t="shared" si="84"/>
        <v>0</v>
      </c>
      <c r="S250">
        <f t="shared" si="85"/>
        <v>0</v>
      </c>
      <c r="T250">
        <f t="shared" si="86"/>
        <v>0</v>
      </c>
      <c r="U250">
        <f t="shared" si="87"/>
        <v>0</v>
      </c>
      <c r="V250">
        <f t="shared" si="88"/>
        <v>0</v>
      </c>
      <c r="W250">
        <f t="shared" si="89"/>
        <v>0</v>
      </c>
      <c r="X250">
        <f t="shared" si="90"/>
        <v>0</v>
      </c>
      <c r="Y250">
        <f t="shared" si="91"/>
        <v>0</v>
      </c>
      <c r="Z250">
        <f t="shared" si="92"/>
        <v>1</v>
      </c>
      <c r="AA250">
        <f t="shared" si="93"/>
        <v>0</v>
      </c>
      <c r="AB250">
        <f t="shared" si="94"/>
        <v>0</v>
      </c>
      <c r="AC250">
        <f t="shared" si="95"/>
        <v>0</v>
      </c>
      <c r="AD250">
        <f t="shared" si="96"/>
        <v>0</v>
      </c>
      <c r="AE250">
        <f t="shared" si="97"/>
        <v>0</v>
      </c>
      <c r="AF250">
        <f t="shared" si="98"/>
        <v>1</v>
      </c>
      <c r="AG250">
        <f t="shared" si="99"/>
        <v>0</v>
      </c>
      <c r="AH250">
        <f t="shared" si="100"/>
        <v>0</v>
      </c>
      <c r="AI250">
        <f t="shared" si="101"/>
        <v>0</v>
      </c>
      <c r="AJ250">
        <f t="shared" si="102"/>
        <v>0</v>
      </c>
      <c r="AK250">
        <f t="shared" si="103"/>
        <v>0</v>
      </c>
      <c r="AL250">
        <f t="shared" si="104"/>
        <v>0</v>
      </c>
      <c r="AM250">
        <f t="shared" si="105"/>
        <v>1</v>
      </c>
      <c r="AN250">
        <f t="shared" si="106"/>
        <v>1</v>
      </c>
      <c r="AO250">
        <f t="shared" si="107"/>
        <v>0</v>
      </c>
      <c r="AP250">
        <f t="shared" si="108"/>
        <v>0</v>
      </c>
      <c r="AQ250">
        <f t="shared" si="109"/>
        <v>0</v>
      </c>
      <c r="AR250">
        <f t="shared" si="110"/>
        <v>1</v>
      </c>
      <c r="AS250">
        <f t="shared" si="111"/>
        <v>0</v>
      </c>
    </row>
    <row r="251" spans="2:45" x14ac:dyDescent="0.3">
      <c r="B251">
        <v>250</v>
      </c>
      <c r="C251" s="1">
        <v>40793</v>
      </c>
      <c r="D251">
        <v>3</v>
      </c>
      <c r="E251">
        <v>0</v>
      </c>
      <c r="F251">
        <v>9</v>
      </c>
      <c r="G251">
        <v>3</v>
      </c>
      <c r="H251">
        <v>3</v>
      </c>
      <c r="I251">
        <v>118</v>
      </c>
      <c r="J251">
        <v>1878</v>
      </c>
      <c r="K251" s="8">
        <v>1996</v>
      </c>
      <c r="L251">
        <v>24.565847000000002</v>
      </c>
      <c r="M251">
        <v>27.211449999999999</v>
      </c>
      <c r="N251">
        <v>91.708299999999994</v>
      </c>
      <c r="O251">
        <v>6.5003935999999998</v>
      </c>
      <c r="P251">
        <v>0</v>
      </c>
      <c r="Q251">
        <v>1</v>
      </c>
      <c r="R251">
        <f t="shared" si="84"/>
        <v>0</v>
      </c>
      <c r="S251">
        <f t="shared" si="85"/>
        <v>0</v>
      </c>
      <c r="T251">
        <f t="shared" si="86"/>
        <v>0</v>
      </c>
      <c r="U251">
        <f t="shared" si="87"/>
        <v>0</v>
      </c>
      <c r="V251">
        <f t="shared" si="88"/>
        <v>0</v>
      </c>
      <c r="W251">
        <f t="shared" si="89"/>
        <v>0</v>
      </c>
      <c r="X251">
        <f t="shared" si="90"/>
        <v>0</v>
      </c>
      <c r="Y251">
        <f t="shared" si="91"/>
        <v>0</v>
      </c>
      <c r="Z251">
        <f t="shared" si="92"/>
        <v>1</v>
      </c>
      <c r="AA251">
        <f t="shared" si="93"/>
        <v>0</v>
      </c>
      <c r="AB251">
        <f t="shared" si="94"/>
        <v>0</v>
      </c>
      <c r="AC251">
        <f t="shared" si="95"/>
        <v>0</v>
      </c>
      <c r="AD251">
        <f t="shared" si="96"/>
        <v>0</v>
      </c>
      <c r="AE251">
        <f t="shared" si="97"/>
        <v>0</v>
      </c>
      <c r="AF251">
        <f t="shared" si="98"/>
        <v>0</v>
      </c>
      <c r="AG251">
        <f t="shared" si="99"/>
        <v>1</v>
      </c>
      <c r="AH251">
        <f t="shared" si="100"/>
        <v>0</v>
      </c>
      <c r="AI251">
        <f t="shared" si="101"/>
        <v>0</v>
      </c>
      <c r="AJ251">
        <f t="shared" si="102"/>
        <v>0</v>
      </c>
      <c r="AK251">
        <f t="shared" si="103"/>
        <v>0</v>
      </c>
      <c r="AL251">
        <f t="shared" si="104"/>
        <v>0</v>
      </c>
      <c r="AM251">
        <f t="shared" si="105"/>
        <v>1</v>
      </c>
      <c r="AN251">
        <f t="shared" si="106"/>
        <v>1</v>
      </c>
      <c r="AO251">
        <f t="shared" si="107"/>
        <v>0</v>
      </c>
      <c r="AP251">
        <f t="shared" si="108"/>
        <v>0</v>
      </c>
      <c r="AQ251">
        <f t="shared" si="109"/>
        <v>0</v>
      </c>
      <c r="AR251">
        <f t="shared" si="110"/>
        <v>1</v>
      </c>
      <c r="AS251">
        <f t="shared" si="111"/>
        <v>0</v>
      </c>
    </row>
    <row r="252" spans="2:45" x14ac:dyDescent="0.3">
      <c r="B252">
        <v>251</v>
      </c>
      <c r="C252" s="1">
        <v>40794</v>
      </c>
      <c r="D252">
        <v>3</v>
      </c>
      <c r="E252">
        <v>0</v>
      </c>
      <c r="F252">
        <v>9</v>
      </c>
      <c r="G252">
        <v>4</v>
      </c>
      <c r="H252">
        <v>3</v>
      </c>
      <c r="I252">
        <v>153</v>
      </c>
      <c r="J252">
        <v>1689</v>
      </c>
      <c r="K252" s="8">
        <v>1842</v>
      </c>
      <c r="L252">
        <v>25.990432999999999</v>
      </c>
      <c r="M252">
        <v>27.768049999999999</v>
      </c>
      <c r="N252">
        <v>93.956500000000005</v>
      </c>
      <c r="O252">
        <v>12.914116</v>
      </c>
      <c r="P252">
        <v>0</v>
      </c>
      <c r="Q252">
        <v>1</v>
      </c>
      <c r="R252">
        <f t="shared" si="84"/>
        <v>0</v>
      </c>
      <c r="S252">
        <f t="shared" si="85"/>
        <v>0</v>
      </c>
      <c r="T252">
        <f t="shared" si="86"/>
        <v>0</v>
      </c>
      <c r="U252">
        <f t="shared" si="87"/>
        <v>0</v>
      </c>
      <c r="V252">
        <f t="shared" si="88"/>
        <v>0</v>
      </c>
      <c r="W252">
        <f t="shared" si="89"/>
        <v>0</v>
      </c>
      <c r="X252">
        <f t="shared" si="90"/>
        <v>0</v>
      </c>
      <c r="Y252">
        <f t="shared" si="91"/>
        <v>0</v>
      </c>
      <c r="Z252">
        <f t="shared" si="92"/>
        <v>1</v>
      </c>
      <c r="AA252">
        <f t="shared" si="93"/>
        <v>0</v>
      </c>
      <c r="AB252">
        <f t="shared" si="94"/>
        <v>0</v>
      </c>
      <c r="AC252">
        <f t="shared" si="95"/>
        <v>0</v>
      </c>
      <c r="AD252">
        <f t="shared" si="96"/>
        <v>0</v>
      </c>
      <c r="AE252">
        <f t="shared" si="97"/>
        <v>0</v>
      </c>
      <c r="AF252">
        <f t="shared" si="98"/>
        <v>0</v>
      </c>
      <c r="AG252">
        <f t="shared" si="99"/>
        <v>0</v>
      </c>
      <c r="AH252">
        <f t="shared" si="100"/>
        <v>1</v>
      </c>
      <c r="AI252">
        <f t="shared" si="101"/>
        <v>0</v>
      </c>
      <c r="AJ252">
        <f t="shared" si="102"/>
        <v>0</v>
      </c>
      <c r="AK252">
        <f t="shared" si="103"/>
        <v>0</v>
      </c>
      <c r="AL252">
        <f t="shared" si="104"/>
        <v>0</v>
      </c>
      <c r="AM252">
        <f t="shared" si="105"/>
        <v>1</v>
      </c>
      <c r="AN252">
        <f t="shared" si="106"/>
        <v>1</v>
      </c>
      <c r="AO252">
        <f t="shared" si="107"/>
        <v>0</v>
      </c>
      <c r="AP252">
        <f t="shared" si="108"/>
        <v>0</v>
      </c>
      <c r="AQ252">
        <f t="shared" si="109"/>
        <v>0</v>
      </c>
      <c r="AR252">
        <f t="shared" si="110"/>
        <v>1</v>
      </c>
      <c r="AS252">
        <f t="shared" si="111"/>
        <v>0</v>
      </c>
    </row>
    <row r="253" spans="2:45" x14ac:dyDescent="0.3">
      <c r="B253">
        <v>252</v>
      </c>
      <c r="C253" s="1">
        <v>40795</v>
      </c>
      <c r="D253">
        <v>3</v>
      </c>
      <c r="E253">
        <v>0</v>
      </c>
      <c r="F253">
        <v>9</v>
      </c>
      <c r="G253">
        <v>5</v>
      </c>
      <c r="H253">
        <v>2</v>
      </c>
      <c r="I253">
        <v>417</v>
      </c>
      <c r="J253">
        <v>3127</v>
      </c>
      <c r="K253" s="8">
        <v>3544</v>
      </c>
      <c r="L253">
        <v>26.65</v>
      </c>
      <c r="M253">
        <v>28.947299999999998</v>
      </c>
      <c r="N253">
        <v>89.791700000000006</v>
      </c>
      <c r="O253">
        <v>8.3333929999999992</v>
      </c>
      <c r="P253">
        <v>0</v>
      </c>
      <c r="Q253">
        <v>1</v>
      </c>
      <c r="R253">
        <f t="shared" si="84"/>
        <v>0</v>
      </c>
      <c r="S253">
        <f t="shared" si="85"/>
        <v>0</v>
      </c>
      <c r="T253">
        <f t="shared" si="86"/>
        <v>0</v>
      </c>
      <c r="U253">
        <f t="shared" si="87"/>
        <v>0</v>
      </c>
      <c r="V253">
        <f t="shared" si="88"/>
        <v>0</v>
      </c>
      <c r="W253">
        <f t="shared" si="89"/>
        <v>0</v>
      </c>
      <c r="X253">
        <f t="shared" si="90"/>
        <v>0</v>
      </c>
      <c r="Y253">
        <f t="shared" si="91"/>
        <v>0</v>
      </c>
      <c r="Z253">
        <f t="shared" si="92"/>
        <v>1</v>
      </c>
      <c r="AA253">
        <f t="shared" si="93"/>
        <v>0</v>
      </c>
      <c r="AB253">
        <f t="shared" si="94"/>
        <v>0</v>
      </c>
      <c r="AC253">
        <f t="shared" si="95"/>
        <v>0</v>
      </c>
      <c r="AD253">
        <f t="shared" si="96"/>
        <v>0</v>
      </c>
      <c r="AE253">
        <f t="shared" si="97"/>
        <v>0</v>
      </c>
      <c r="AF253">
        <f t="shared" si="98"/>
        <v>0</v>
      </c>
      <c r="AG253">
        <f t="shared" si="99"/>
        <v>0</v>
      </c>
      <c r="AH253">
        <f t="shared" si="100"/>
        <v>0</v>
      </c>
      <c r="AI253">
        <f t="shared" si="101"/>
        <v>1</v>
      </c>
      <c r="AJ253">
        <f t="shared" si="102"/>
        <v>0</v>
      </c>
      <c r="AK253">
        <f t="shared" si="103"/>
        <v>0</v>
      </c>
      <c r="AL253">
        <f t="shared" si="104"/>
        <v>1</v>
      </c>
      <c r="AM253">
        <f t="shared" si="105"/>
        <v>0</v>
      </c>
      <c r="AN253">
        <f t="shared" si="106"/>
        <v>1</v>
      </c>
      <c r="AO253">
        <f t="shared" si="107"/>
        <v>0</v>
      </c>
      <c r="AP253">
        <f t="shared" si="108"/>
        <v>0</v>
      </c>
      <c r="AQ253">
        <f t="shared" si="109"/>
        <v>0</v>
      </c>
      <c r="AR253">
        <f t="shared" si="110"/>
        <v>1</v>
      </c>
      <c r="AS253">
        <f t="shared" si="111"/>
        <v>0</v>
      </c>
    </row>
    <row r="254" spans="2:45" x14ac:dyDescent="0.3">
      <c r="B254">
        <v>253</v>
      </c>
      <c r="C254" s="1">
        <v>40796</v>
      </c>
      <c r="D254">
        <v>3</v>
      </c>
      <c r="E254">
        <v>0</v>
      </c>
      <c r="F254">
        <v>9</v>
      </c>
      <c r="G254">
        <v>6</v>
      </c>
      <c r="H254">
        <v>1</v>
      </c>
      <c r="I254">
        <v>1750</v>
      </c>
      <c r="J254">
        <v>3595</v>
      </c>
      <c r="K254" s="8">
        <v>5345</v>
      </c>
      <c r="L254">
        <v>27.06</v>
      </c>
      <c r="M254">
        <v>30.398099999999999</v>
      </c>
      <c r="N254">
        <v>75.375</v>
      </c>
      <c r="O254">
        <v>10.291736</v>
      </c>
      <c r="P254">
        <v>0</v>
      </c>
      <c r="Q254">
        <v>0</v>
      </c>
      <c r="R254">
        <f t="shared" si="84"/>
        <v>0</v>
      </c>
      <c r="S254">
        <f t="shared" si="85"/>
        <v>0</v>
      </c>
      <c r="T254">
        <f t="shared" si="86"/>
        <v>0</v>
      </c>
      <c r="U254">
        <f t="shared" si="87"/>
        <v>0</v>
      </c>
      <c r="V254">
        <f t="shared" si="88"/>
        <v>0</v>
      </c>
      <c r="W254">
        <f t="shared" si="89"/>
        <v>0</v>
      </c>
      <c r="X254">
        <f t="shared" si="90"/>
        <v>0</v>
      </c>
      <c r="Y254">
        <f t="shared" si="91"/>
        <v>0</v>
      </c>
      <c r="Z254">
        <f t="shared" si="92"/>
        <v>1</v>
      </c>
      <c r="AA254">
        <f t="shared" si="93"/>
        <v>0</v>
      </c>
      <c r="AB254">
        <f t="shared" si="94"/>
        <v>0</v>
      </c>
      <c r="AC254">
        <f t="shared" si="95"/>
        <v>0</v>
      </c>
      <c r="AD254">
        <f t="shared" si="96"/>
        <v>0</v>
      </c>
      <c r="AE254">
        <f t="shared" si="97"/>
        <v>0</v>
      </c>
      <c r="AF254">
        <f t="shared" si="98"/>
        <v>0</v>
      </c>
      <c r="AG254">
        <f t="shared" si="99"/>
        <v>0</v>
      </c>
      <c r="AH254">
        <f t="shared" si="100"/>
        <v>0</v>
      </c>
      <c r="AI254">
        <f t="shared" si="101"/>
        <v>0</v>
      </c>
      <c r="AJ254">
        <f t="shared" si="102"/>
        <v>1</v>
      </c>
      <c r="AK254">
        <f t="shared" si="103"/>
        <v>1</v>
      </c>
      <c r="AL254">
        <f t="shared" si="104"/>
        <v>0</v>
      </c>
      <c r="AM254">
        <f t="shared" si="105"/>
        <v>0</v>
      </c>
      <c r="AN254">
        <f t="shared" si="106"/>
        <v>1</v>
      </c>
      <c r="AO254">
        <f t="shared" si="107"/>
        <v>0</v>
      </c>
      <c r="AP254">
        <f t="shared" si="108"/>
        <v>0</v>
      </c>
      <c r="AQ254">
        <f t="shared" si="109"/>
        <v>0</v>
      </c>
      <c r="AR254">
        <f t="shared" si="110"/>
        <v>1</v>
      </c>
      <c r="AS254">
        <f t="shared" si="111"/>
        <v>0</v>
      </c>
    </row>
    <row r="255" spans="2:45" x14ac:dyDescent="0.3">
      <c r="B255">
        <v>254</v>
      </c>
      <c r="C255" s="1">
        <v>40797</v>
      </c>
      <c r="D255">
        <v>3</v>
      </c>
      <c r="E255">
        <v>0</v>
      </c>
      <c r="F255">
        <v>9</v>
      </c>
      <c r="G255">
        <v>0</v>
      </c>
      <c r="H255">
        <v>1</v>
      </c>
      <c r="I255">
        <v>1633</v>
      </c>
      <c r="J255">
        <v>3413</v>
      </c>
      <c r="K255" s="8">
        <v>5046</v>
      </c>
      <c r="L255">
        <v>26.786653000000001</v>
      </c>
      <c r="M255">
        <v>30.461449999999999</v>
      </c>
      <c r="N255">
        <v>71.375</v>
      </c>
      <c r="O255">
        <v>7.7086180000000004</v>
      </c>
      <c r="P255">
        <v>0</v>
      </c>
      <c r="Q255">
        <v>0</v>
      </c>
      <c r="R255">
        <f t="shared" si="84"/>
        <v>0</v>
      </c>
      <c r="S255">
        <f t="shared" si="85"/>
        <v>0</v>
      </c>
      <c r="T255">
        <f t="shared" si="86"/>
        <v>0</v>
      </c>
      <c r="U255">
        <f t="shared" si="87"/>
        <v>0</v>
      </c>
      <c r="V255">
        <f t="shared" si="88"/>
        <v>0</v>
      </c>
      <c r="W255">
        <f t="shared" si="89"/>
        <v>0</v>
      </c>
      <c r="X255">
        <f t="shared" si="90"/>
        <v>0</v>
      </c>
      <c r="Y255">
        <f t="shared" si="91"/>
        <v>0</v>
      </c>
      <c r="Z255">
        <f t="shared" si="92"/>
        <v>1</v>
      </c>
      <c r="AA255">
        <f t="shared" si="93"/>
        <v>0</v>
      </c>
      <c r="AB255">
        <f t="shared" si="94"/>
        <v>0</v>
      </c>
      <c r="AC255">
        <f t="shared" si="95"/>
        <v>0</v>
      </c>
      <c r="AD255">
        <f t="shared" si="96"/>
        <v>1</v>
      </c>
      <c r="AE255">
        <f t="shared" si="97"/>
        <v>0</v>
      </c>
      <c r="AF255">
        <f t="shared" si="98"/>
        <v>0</v>
      </c>
      <c r="AG255">
        <f t="shared" si="99"/>
        <v>0</v>
      </c>
      <c r="AH255">
        <f t="shared" si="100"/>
        <v>0</v>
      </c>
      <c r="AI255">
        <f t="shared" si="101"/>
        <v>0</v>
      </c>
      <c r="AJ255">
        <f t="shared" si="102"/>
        <v>0</v>
      </c>
      <c r="AK255">
        <f t="shared" si="103"/>
        <v>1</v>
      </c>
      <c r="AL255">
        <f t="shared" si="104"/>
        <v>0</v>
      </c>
      <c r="AM255">
        <f t="shared" si="105"/>
        <v>0</v>
      </c>
      <c r="AN255">
        <f t="shared" si="106"/>
        <v>1</v>
      </c>
      <c r="AO255">
        <f t="shared" si="107"/>
        <v>0</v>
      </c>
      <c r="AP255">
        <f t="shared" si="108"/>
        <v>0</v>
      </c>
      <c r="AQ255">
        <f t="shared" si="109"/>
        <v>0</v>
      </c>
      <c r="AR255">
        <f t="shared" si="110"/>
        <v>1</v>
      </c>
      <c r="AS255">
        <f t="shared" si="111"/>
        <v>0</v>
      </c>
    </row>
    <row r="256" spans="2:45" x14ac:dyDescent="0.3">
      <c r="B256">
        <v>255</v>
      </c>
      <c r="C256" s="1">
        <v>40798</v>
      </c>
      <c r="D256">
        <v>3</v>
      </c>
      <c r="E256">
        <v>0</v>
      </c>
      <c r="F256">
        <v>9</v>
      </c>
      <c r="G256">
        <v>1</v>
      </c>
      <c r="H256">
        <v>1</v>
      </c>
      <c r="I256">
        <v>690</v>
      </c>
      <c r="J256">
        <v>4023</v>
      </c>
      <c r="K256" s="8">
        <v>4713</v>
      </c>
      <c r="L256">
        <v>26.418268000000001</v>
      </c>
      <c r="M256">
        <v>30.1065</v>
      </c>
      <c r="N256">
        <v>69.217399999999998</v>
      </c>
      <c r="O256">
        <v>5.9571709999999998</v>
      </c>
      <c r="P256">
        <v>0</v>
      </c>
      <c r="Q256">
        <v>1</v>
      </c>
      <c r="R256">
        <f t="shared" si="84"/>
        <v>0</v>
      </c>
      <c r="S256">
        <f t="shared" si="85"/>
        <v>0</v>
      </c>
      <c r="T256">
        <f t="shared" si="86"/>
        <v>0</v>
      </c>
      <c r="U256">
        <f t="shared" si="87"/>
        <v>0</v>
      </c>
      <c r="V256">
        <f t="shared" si="88"/>
        <v>0</v>
      </c>
      <c r="W256">
        <f t="shared" si="89"/>
        <v>0</v>
      </c>
      <c r="X256">
        <f t="shared" si="90"/>
        <v>0</v>
      </c>
      <c r="Y256">
        <f t="shared" si="91"/>
        <v>0</v>
      </c>
      <c r="Z256">
        <f t="shared" si="92"/>
        <v>1</v>
      </c>
      <c r="AA256">
        <f t="shared" si="93"/>
        <v>0</v>
      </c>
      <c r="AB256">
        <f t="shared" si="94"/>
        <v>0</v>
      </c>
      <c r="AC256">
        <f t="shared" si="95"/>
        <v>0</v>
      </c>
      <c r="AD256">
        <f t="shared" si="96"/>
        <v>0</v>
      </c>
      <c r="AE256">
        <f t="shared" si="97"/>
        <v>1</v>
      </c>
      <c r="AF256">
        <f t="shared" si="98"/>
        <v>0</v>
      </c>
      <c r="AG256">
        <f t="shared" si="99"/>
        <v>0</v>
      </c>
      <c r="AH256">
        <f t="shared" si="100"/>
        <v>0</v>
      </c>
      <c r="AI256">
        <f t="shared" si="101"/>
        <v>0</v>
      </c>
      <c r="AJ256">
        <f t="shared" si="102"/>
        <v>0</v>
      </c>
      <c r="AK256">
        <f t="shared" si="103"/>
        <v>1</v>
      </c>
      <c r="AL256">
        <f t="shared" si="104"/>
        <v>0</v>
      </c>
      <c r="AM256">
        <f t="shared" si="105"/>
        <v>0</v>
      </c>
      <c r="AN256">
        <f t="shared" si="106"/>
        <v>1</v>
      </c>
      <c r="AO256">
        <f t="shared" si="107"/>
        <v>0</v>
      </c>
      <c r="AP256">
        <f t="shared" si="108"/>
        <v>0</v>
      </c>
      <c r="AQ256">
        <f t="shared" si="109"/>
        <v>0</v>
      </c>
      <c r="AR256">
        <f t="shared" si="110"/>
        <v>1</v>
      </c>
      <c r="AS256">
        <f t="shared" si="111"/>
        <v>0</v>
      </c>
    </row>
    <row r="257" spans="2:45" x14ac:dyDescent="0.3">
      <c r="B257">
        <v>256</v>
      </c>
      <c r="C257" s="1">
        <v>40799</v>
      </c>
      <c r="D257">
        <v>3</v>
      </c>
      <c r="E257">
        <v>0</v>
      </c>
      <c r="F257">
        <v>9</v>
      </c>
      <c r="G257">
        <v>2</v>
      </c>
      <c r="H257">
        <v>1</v>
      </c>
      <c r="I257">
        <v>701</v>
      </c>
      <c r="J257">
        <v>4062</v>
      </c>
      <c r="K257" s="8">
        <v>4763</v>
      </c>
      <c r="L257">
        <v>26.684152999999998</v>
      </c>
      <c r="M257">
        <v>30.177700000000002</v>
      </c>
      <c r="N257">
        <v>71.25</v>
      </c>
      <c r="O257">
        <v>9.5008680000000005</v>
      </c>
      <c r="P257">
        <v>0</v>
      </c>
      <c r="Q257">
        <v>1</v>
      </c>
      <c r="R257">
        <f t="shared" si="84"/>
        <v>0</v>
      </c>
      <c r="S257">
        <f t="shared" si="85"/>
        <v>0</v>
      </c>
      <c r="T257">
        <f t="shared" si="86"/>
        <v>0</v>
      </c>
      <c r="U257">
        <f t="shared" si="87"/>
        <v>0</v>
      </c>
      <c r="V257">
        <f t="shared" si="88"/>
        <v>0</v>
      </c>
      <c r="W257">
        <f t="shared" si="89"/>
        <v>0</v>
      </c>
      <c r="X257">
        <f t="shared" si="90"/>
        <v>0</v>
      </c>
      <c r="Y257">
        <f t="shared" si="91"/>
        <v>0</v>
      </c>
      <c r="Z257">
        <f t="shared" si="92"/>
        <v>1</v>
      </c>
      <c r="AA257">
        <f t="shared" si="93"/>
        <v>0</v>
      </c>
      <c r="AB257">
        <f t="shared" si="94"/>
        <v>0</v>
      </c>
      <c r="AC257">
        <f t="shared" si="95"/>
        <v>0</v>
      </c>
      <c r="AD257">
        <f t="shared" si="96"/>
        <v>0</v>
      </c>
      <c r="AE257">
        <f t="shared" si="97"/>
        <v>0</v>
      </c>
      <c r="AF257">
        <f t="shared" si="98"/>
        <v>1</v>
      </c>
      <c r="AG257">
        <f t="shared" si="99"/>
        <v>0</v>
      </c>
      <c r="AH257">
        <f t="shared" si="100"/>
        <v>0</v>
      </c>
      <c r="AI257">
        <f t="shared" si="101"/>
        <v>0</v>
      </c>
      <c r="AJ257">
        <f t="shared" si="102"/>
        <v>0</v>
      </c>
      <c r="AK257">
        <f t="shared" si="103"/>
        <v>1</v>
      </c>
      <c r="AL257">
        <f t="shared" si="104"/>
        <v>0</v>
      </c>
      <c r="AM257">
        <f t="shared" si="105"/>
        <v>0</v>
      </c>
      <c r="AN257">
        <f t="shared" si="106"/>
        <v>1</v>
      </c>
      <c r="AO257">
        <f t="shared" si="107"/>
        <v>0</v>
      </c>
      <c r="AP257">
        <f t="shared" si="108"/>
        <v>0</v>
      </c>
      <c r="AQ257">
        <f t="shared" si="109"/>
        <v>0</v>
      </c>
      <c r="AR257">
        <f t="shared" si="110"/>
        <v>1</v>
      </c>
      <c r="AS257">
        <f t="shared" si="111"/>
        <v>0</v>
      </c>
    </row>
    <row r="258" spans="2:45" x14ac:dyDescent="0.3">
      <c r="B258">
        <v>257</v>
      </c>
      <c r="C258" s="1">
        <v>40800</v>
      </c>
      <c r="D258">
        <v>3</v>
      </c>
      <c r="E258">
        <v>0</v>
      </c>
      <c r="F258">
        <v>9</v>
      </c>
      <c r="G258">
        <v>3</v>
      </c>
      <c r="H258">
        <v>1</v>
      </c>
      <c r="I258">
        <v>647</v>
      </c>
      <c r="J258">
        <v>4138</v>
      </c>
      <c r="K258" s="8">
        <v>4785</v>
      </c>
      <c r="L258">
        <v>27.606653000000001</v>
      </c>
      <c r="M258">
        <v>31.344999999999999</v>
      </c>
      <c r="N258">
        <v>69.708299999999994</v>
      </c>
      <c r="O258">
        <v>11.209099999999999</v>
      </c>
      <c r="P258">
        <v>0</v>
      </c>
      <c r="Q258">
        <v>1</v>
      </c>
      <c r="R258">
        <f t="shared" si="84"/>
        <v>0</v>
      </c>
      <c r="S258">
        <f t="shared" si="85"/>
        <v>0</v>
      </c>
      <c r="T258">
        <f t="shared" si="86"/>
        <v>0</v>
      </c>
      <c r="U258">
        <f t="shared" si="87"/>
        <v>0</v>
      </c>
      <c r="V258">
        <f t="shared" si="88"/>
        <v>0</v>
      </c>
      <c r="W258">
        <f t="shared" si="89"/>
        <v>0</v>
      </c>
      <c r="X258">
        <f t="shared" si="90"/>
        <v>0</v>
      </c>
      <c r="Y258">
        <f t="shared" si="91"/>
        <v>0</v>
      </c>
      <c r="Z258">
        <f t="shared" si="92"/>
        <v>1</v>
      </c>
      <c r="AA258">
        <f t="shared" si="93"/>
        <v>0</v>
      </c>
      <c r="AB258">
        <f t="shared" si="94"/>
        <v>0</v>
      </c>
      <c r="AC258">
        <f t="shared" si="95"/>
        <v>0</v>
      </c>
      <c r="AD258">
        <f t="shared" si="96"/>
        <v>0</v>
      </c>
      <c r="AE258">
        <f t="shared" si="97"/>
        <v>0</v>
      </c>
      <c r="AF258">
        <f t="shared" si="98"/>
        <v>0</v>
      </c>
      <c r="AG258">
        <f t="shared" si="99"/>
        <v>1</v>
      </c>
      <c r="AH258">
        <f t="shared" si="100"/>
        <v>0</v>
      </c>
      <c r="AI258">
        <f t="shared" si="101"/>
        <v>0</v>
      </c>
      <c r="AJ258">
        <f t="shared" si="102"/>
        <v>0</v>
      </c>
      <c r="AK258">
        <f t="shared" si="103"/>
        <v>1</v>
      </c>
      <c r="AL258">
        <f t="shared" si="104"/>
        <v>0</v>
      </c>
      <c r="AM258">
        <f t="shared" si="105"/>
        <v>0</v>
      </c>
      <c r="AN258">
        <f t="shared" si="106"/>
        <v>1</v>
      </c>
      <c r="AO258">
        <f t="shared" si="107"/>
        <v>0</v>
      </c>
      <c r="AP258">
        <f t="shared" si="108"/>
        <v>0</v>
      </c>
      <c r="AQ258">
        <f t="shared" si="109"/>
        <v>0</v>
      </c>
      <c r="AR258">
        <f t="shared" si="110"/>
        <v>1</v>
      </c>
      <c r="AS258">
        <f t="shared" si="111"/>
        <v>0</v>
      </c>
    </row>
    <row r="259" spans="2:45" x14ac:dyDescent="0.3">
      <c r="B259">
        <v>258</v>
      </c>
      <c r="C259" s="1">
        <v>40801</v>
      </c>
      <c r="D259">
        <v>3</v>
      </c>
      <c r="E259">
        <v>0</v>
      </c>
      <c r="F259">
        <v>9</v>
      </c>
      <c r="G259">
        <v>4</v>
      </c>
      <c r="H259">
        <v>2</v>
      </c>
      <c r="I259">
        <v>428</v>
      </c>
      <c r="J259">
        <v>3231</v>
      </c>
      <c r="K259" s="8">
        <v>3659</v>
      </c>
      <c r="L259">
        <v>23.677499999999998</v>
      </c>
      <c r="M259">
        <v>27.68355</v>
      </c>
      <c r="N259">
        <v>70.916700000000006</v>
      </c>
      <c r="O259">
        <v>18.166782000000001</v>
      </c>
      <c r="P259">
        <v>0</v>
      </c>
      <c r="Q259">
        <v>1</v>
      </c>
      <c r="R259">
        <f t="shared" ref="R259:R322" si="112">IF($F259=1,1,0)</f>
        <v>0</v>
      </c>
      <c r="S259">
        <f t="shared" ref="S259:S322" si="113">IF($F259=2,1,0)</f>
        <v>0</v>
      </c>
      <c r="T259">
        <f t="shared" ref="T259:T322" si="114">IF($F259=3,1,0)</f>
        <v>0</v>
      </c>
      <c r="U259">
        <f t="shared" ref="U259:U322" si="115">IF($F259=4,1,0)</f>
        <v>0</v>
      </c>
      <c r="V259">
        <f t="shared" ref="V259:V322" si="116">IF($F259=5,1,0)</f>
        <v>0</v>
      </c>
      <c r="W259">
        <f t="shared" ref="W259:W322" si="117">IF($F259=6,1,0)</f>
        <v>0</v>
      </c>
      <c r="X259">
        <f t="shared" ref="X259:X322" si="118">IF($F259=7,1,0)</f>
        <v>0</v>
      </c>
      <c r="Y259">
        <f t="shared" ref="Y259:Y322" si="119">IF($F259=8,1,0)</f>
        <v>0</v>
      </c>
      <c r="Z259">
        <f t="shared" ref="Z259:Z322" si="120">IF($F259=9,1,0)</f>
        <v>1</v>
      </c>
      <c r="AA259">
        <f t="shared" ref="AA259:AA322" si="121">IF($F259=10,1,0)</f>
        <v>0</v>
      </c>
      <c r="AB259">
        <f t="shared" ref="AB259:AB322" si="122">IF($F259=11,1,0)</f>
        <v>0</v>
      </c>
      <c r="AC259">
        <f t="shared" ref="AC259:AC322" si="123">IF($F259=12,1,0)</f>
        <v>0</v>
      </c>
      <c r="AD259">
        <f t="shared" ref="AD259:AD322" si="124">IF($G259=0,1,0)</f>
        <v>0</v>
      </c>
      <c r="AE259">
        <f t="shared" ref="AE259:AE322" si="125">IF($G259=1,1,0)</f>
        <v>0</v>
      </c>
      <c r="AF259">
        <f t="shared" ref="AF259:AF322" si="126">IF($G259=2,1,0)</f>
        <v>0</v>
      </c>
      <c r="AG259">
        <f t="shared" ref="AG259:AG322" si="127">IF($G259=3,1,0)</f>
        <v>0</v>
      </c>
      <c r="AH259">
        <f t="shared" ref="AH259:AH322" si="128">IF($G259=4,1,0)</f>
        <v>1</v>
      </c>
      <c r="AI259">
        <f t="shared" ref="AI259:AI322" si="129">IF($G259=5,1,0)</f>
        <v>0</v>
      </c>
      <c r="AJ259">
        <f t="shared" ref="AJ259:AJ322" si="130">IF($G259=6,1,0)</f>
        <v>0</v>
      </c>
      <c r="AK259">
        <f t="shared" ref="AK259:AK322" si="131">IF($H259=1,1,0)</f>
        <v>0</v>
      </c>
      <c r="AL259">
        <f t="shared" ref="AL259:AL322" si="132">IF($H259=2,1,0)</f>
        <v>1</v>
      </c>
      <c r="AM259">
        <f t="shared" ref="AM259:AM322" si="133">IF($H259=3,1,0)</f>
        <v>0</v>
      </c>
      <c r="AN259">
        <f t="shared" ref="AN259:AN322" si="134">IF($E259=0,1,0)</f>
        <v>1</v>
      </c>
      <c r="AO259">
        <f t="shared" ref="AO259:AO322" si="135">IF($E259=1,1,0)</f>
        <v>0</v>
      </c>
      <c r="AP259">
        <f t="shared" ref="AP259:AP322" si="136">IF($D259=1,1,0)</f>
        <v>0</v>
      </c>
      <c r="AQ259">
        <f t="shared" ref="AQ259:AQ322" si="137">IF($D259=2,1,0)</f>
        <v>0</v>
      </c>
      <c r="AR259">
        <f t="shared" ref="AR259:AR322" si="138">IF($D259=3,1,0)</f>
        <v>1</v>
      </c>
      <c r="AS259">
        <f t="shared" ref="AS259:AS322" si="139">IF($D259=4,1,0)</f>
        <v>0</v>
      </c>
    </row>
    <row r="260" spans="2:45" x14ac:dyDescent="0.3">
      <c r="B260">
        <v>259</v>
      </c>
      <c r="C260" s="1">
        <v>40802</v>
      </c>
      <c r="D260">
        <v>3</v>
      </c>
      <c r="E260">
        <v>0</v>
      </c>
      <c r="F260">
        <v>9</v>
      </c>
      <c r="G260">
        <v>5</v>
      </c>
      <c r="H260">
        <v>2</v>
      </c>
      <c r="I260">
        <v>742</v>
      </c>
      <c r="J260">
        <v>4018</v>
      </c>
      <c r="K260" s="8">
        <v>4760</v>
      </c>
      <c r="L260">
        <v>19.235847</v>
      </c>
      <c r="M260">
        <v>23.07375</v>
      </c>
      <c r="N260">
        <v>59.041699999999999</v>
      </c>
      <c r="O260">
        <v>11.000261</v>
      </c>
      <c r="P260">
        <v>0</v>
      </c>
      <c r="Q260">
        <v>1</v>
      </c>
      <c r="R260">
        <f t="shared" si="112"/>
        <v>0</v>
      </c>
      <c r="S260">
        <f t="shared" si="113"/>
        <v>0</v>
      </c>
      <c r="T260">
        <f t="shared" si="114"/>
        <v>0</v>
      </c>
      <c r="U260">
        <f t="shared" si="115"/>
        <v>0</v>
      </c>
      <c r="V260">
        <f t="shared" si="116"/>
        <v>0</v>
      </c>
      <c r="W260">
        <f t="shared" si="117"/>
        <v>0</v>
      </c>
      <c r="X260">
        <f t="shared" si="118"/>
        <v>0</v>
      </c>
      <c r="Y260">
        <f t="shared" si="119"/>
        <v>0</v>
      </c>
      <c r="Z260">
        <f t="shared" si="120"/>
        <v>1</v>
      </c>
      <c r="AA260">
        <f t="shared" si="121"/>
        <v>0</v>
      </c>
      <c r="AB260">
        <f t="shared" si="122"/>
        <v>0</v>
      </c>
      <c r="AC260">
        <f t="shared" si="123"/>
        <v>0</v>
      </c>
      <c r="AD260">
        <f t="shared" si="124"/>
        <v>0</v>
      </c>
      <c r="AE260">
        <f t="shared" si="125"/>
        <v>0</v>
      </c>
      <c r="AF260">
        <f t="shared" si="126"/>
        <v>0</v>
      </c>
      <c r="AG260">
        <f t="shared" si="127"/>
        <v>0</v>
      </c>
      <c r="AH260">
        <f t="shared" si="128"/>
        <v>0</v>
      </c>
      <c r="AI260">
        <f t="shared" si="129"/>
        <v>1</v>
      </c>
      <c r="AJ260">
        <f t="shared" si="130"/>
        <v>0</v>
      </c>
      <c r="AK260">
        <f t="shared" si="131"/>
        <v>0</v>
      </c>
      <c r="AL260">
        <f t="shared" si="132"/>
        <v>1</v>
      </c>
      <c r="AM260">
        <f t="shared" si="133"/>
        <v>0</v>
      </c>
      <c r="AN260">
        <f t="shared" si="134"/>
        <v>1</v>
      </c>
      <c r="AO260">
        <f t="shared" si="135"/>
        <v>0</v>
      </c>
      <c r="AP260">
        <f t="shared" si="136"/>
        <v>0</v>
      </c>
      <c r="AQ260">
        <f t="shared" si="137"/>
        <v>0</v>
      </c>
      <c r="AR260">
        <f t="shared" si="138"/>
        <v>1</v>
      </c>
      <c r="AS260">
        <f t="shared" si="139"/>
        <v>0</v>
      </c>
    </row>
    <row r="261" spans="2:45" x14ac:dyDescent="0.3">
      <c r="B261">
        <v>260</v>
      </c>
      <c r="C261" s="1">
        <v>40803</v>
      </c>
      <c r="D261">
        <v>3</v>
      </c>
      <c r="E261">
        <v>0</v>
      </c>
      <c r="F261">
        <v>9</v>
      </c>
      <c r="G261">
        <v>6</v>
      </c>
      <c r="H261">
        <v>2</v>
      </c>
      <c r="I261">
        <v>1434</v>
      </c>
      <c r="J261">
        <v>3077</v>
      </c>
      <c r="K261" s="8">
        <v>4511</v>
      </c>
      <c r="L261">
        <v>20.158346999999999</v>
      </c>
      <c r="M261">
        <v>23.925599999999999</v>
      </c>
      <c r="N261">
        <v>71.833299999999994</v>
      </c>
      <c r="O261">
        <v>12.708225000000001</v>
      </c>
      <c r="P261">
        <v>0</v>
      </c>
      <c r="Q261">
        <v>0</v>
      </c>
      <c r="R261">
        <f t="shared" si="112"/>
        <v>0</v>
      </c>
      <c r="S261">
        <f t="shared" si="113"/>
        <v>0</v>
      </c>
      <c r="T261">
        <f t="shared" si="114"/>
        <v>0</v>
      </c>
      <c r="U261">
        <f t="shared" si="115"/>
        <v>0</v>
      </c>
      <c r="V261">
        <f t="shared" si="116"/>
        <v>0</v>
      </c>
      <c r="W261">
        <f t="shared" si="117"/>
        <v>0</v>
      </c>
      <c r="X261">
        <f t="shared" si="118"/>
        <v>0</v>
      </c>
      <c r="Y261">
        <f t="shared" si="119"/>
        <v>0</v>
      </c>
      <c r="Z261">
        <f t="shared" si="120"/>
        <v>1</v>
      </c>
      <c r="AA261">
        <f t="shared" si="121"/>
        <v>0</v>
      </c>
      <c r="AB261">
        <f t="shared" si="122"/>
        <v>0</v>
      </c>
      <c r="AC261">
        <f t="shared" si="123"/>
        <v>0</v>
      </c>
      <c r="AD261">
        <f t="shared" si="124"/>
        <v>0</v>
      </c>
      <c r="AE261">
        <f t="shared" si="125"/>
        <v>0</v>
      </c>
      <c r="AF261">
        <f t="shared" si="126"/>
        <v>0</v>
      </c>
      <c r="AG261">
        <f t="shared" si="127"/>
        <v>0</v>
      </c>
      <c r="AH261">
        <f t="shared" si="128"/>
        <v>0</v>
      </c>
      <c r="AI261">
        <f t="shared" si="129"/>
        <v>0</v>
      </c>
      <c r="AJ261">
        <f t="shared" si="130"/>
        <v>1</v>
      </c>
      <c r="AK261">
        <f t="shared" si="131"/>
        <v>0</v>
      </c>
      <c r="AL261">
        <f t="shared" si="132"/>
        <v>1</v>
      </c>
      <c r="AM261">
        <f t="shared" si="133"/>
        <v>0</v>
      </c>
      <c r="AN261">
        <f t="shared" si="134"/>
        <v>1</v>
      </c>
      <c r="AO261">
        <f t="shared" si="135"/>
        <v>0</v>
      </c>
      <c r="AP261">
        <f t="shared" si="136"/>
        <v>0</v>
      </c>
      <c r="AQ261">
        <f t="shared" si="137"/>
        <v>0</v>
      </c>
      <c r="AR261">
        <f t="shared" si="138"/>
        <v>1</v>
      </c>
      <c r="AS261">
        <f t="shared" si="139"/>
        <v>0</v>
      </c>
    </row>
    <row r="262" spans="2:45" x14ac:dyDescent="0.3">
      <c r="B262">
        <v>261</v>
      </c>
      <c r="C262" s="1">
        <v>40804</v>
      </c>
      <c r="D262">
        <v>3</v>
      </c>
      <c r="E262">
        <v>0</v>
      </c>
      <c r="F262">
        <v>9</v>
      </c>
      <c r="G262">
        <v>0</v>
      </c>
      <c r="H262">
        <v>1</v>
      </c>
      <c r="I262">
        <v>1353</v>
      </c>
      <c r="J262">
        <v>2921</v>
      </c>
      <c r="K262" s="8">
        <v>4274</v>
      </c>
      <c r="L262">
        <v>20.807500000000001</v>
      </c>
      <c r="M262">
        <v>24.52685</v>
      </c>
      <c r="N262">
        <v>69.5</v>
      </c>
      <c r="O262">
        <v>11.958361</v>
      </c>
      <c r="P262">
        <v>0</v>
      </c>
      <c r="Q262">
        <v>0</v>
      </c>
      <c r="R262">
        <f t="shared" si="112"/>
        <v>0</v>
      </c>
      <c r="S262">
        <f t="shared" si="113"/>
        <v>0</v>
      </c>
      <c r="T262">
        <f t="shared" si="114"/>
        <v>0</v>
      </c>
      <c r="U262">
        <f t="shared" si="115"/>
        <v>0</v>
      </c>
      <c r="V262">
        <f t="shared" si="116"/>
        <v>0</v>
      </c>
      <c r="W262">
        <f t="shared" si="117"/>
        <v>0</v>
      </c>
      <c r="X262">
        <f t="shared" si="118"/>
        <v>0</v>
      </c>
      <c r="Y262">
        <f t="shared" si="119"/>
        <v>0</v>
      </c>
      <c r="Z262">
        <f t="shared" si="120"/>
        <v>1</v>
      </c>
      <c r="AA262">
        <f t="shared" si="121"/>
        <v>0</v>
      </c>
      <c r="AB262">
        <f t="shared" si="122"/>
        <v>0</v>
      </c>
      <c r="AC262">
        <f t="shared" si="123"/>
        <v>0</v>
      </c>
      <c r="AD262">
        <f t="shared" si="124"/>
        <v>1</v>
      </c>
      <c r="AE262">
        <f t="shared" si="125"/>
        <v>0</v>
      </c>
      <c r="AF262">
        <f t="shared" si="126"/>
        <v>0</v>
      </c>
      <c r="AG262">
        <f t="shared" si="127"/>
        <v>0</v>
      </c>
      <c r="AH262">
        <f t="shared" si="128"/>
        <v>0</v>
      </c>
      <c r="AI262">
        <f t="shared" si="129"/>
        <v>0</v>
      </c>
      <c r="AJ262">
        <f t="shared" si="130"/>
        <v>0</v>
      </c>
      <c r="AK262">
        <f t="shared" si="131"/>
        <v>1</v>
      </c>
      <c r="AL262">
        <f t="shared" si="132"/>
        <v>0</v>
      </c>
      <c r="AM262">
        <f t="shared" si="133"/>
        <v>0</v>
      </c>
      <c r="AN262">
        <f t="shared" si="134"/>
        <v>1</v>
      </c>
      <c r="AO262">
        <f t="shared" si="135"/>
        <v>0</v>
      </c>
      <c r="AP262">
        <f t="shared" si="136"/>
        <v>0</v>
      </c>
      <c r="AQ262">
        <f t="shared" si="137"/>
        <v>0</v>
      </c>
      <c r="AR262">
        <f t="shared" si="138"/>
        <v>1</v>
      </c>
      <c r="AS262">
        <f t="shared" si="139"/>
        <v>0</v>
      </c>
    </row>
    <row r="263" spans="2:45" x14ac:dyDescent="0.3">
      <c r="B263">
        <v>262</v>
      </c>
      <c r="C263" s="1">
        <v>40805</v>
      </c>
      <c r="D263">
        <v>3</v>
      </c>
      <c r="E263">
        <v>0</v>
      </c>
      <c r="F263">
        <v>9</v>
      </c>
      <c r="G263">
        <v>1</v>
      </c>
      <c r="H263">
        <v>2</v>
      </c>
      <c r="I263">
        <v>691</v>
      </c>
      <c r="J263">
        <v>3848</v>
      </c>
      <c r="K263" s="8">
        <v>4539</v>
      </c>
      <c r="L263">
        <v>22.515847000000001</v>
      </c>
      <c r="M263">
        <v>26.483750000000001</v>
      </c>
      <c r="N263">
        <v>69</v>
      </c>
      <c r="O263">
        <v>10.166714000000001</v>
      </c>
      <c r="P263">
        <v>0</v>
      </c>
      <c r="Q263">
        <v>1</v>
      </c>
      <c r="R263">
        <f t="shared" si="112"/>
        <v>0</v>
      </c>
      <c r="S263">
        <f t="shared" si="113"/>
        <v>0</v>
      </c>
      <c r="T263">
        <f t="shared" si="114"/>
        <v>0</v>
      </c>
      <c r="U263">
        <f t="shared" si="115"/>
        <v>0</v>
      </c>
      <c r="V263">
        <f t="shared" si="116"/>
        <v>0</v>
      </c>
      <c r="W263">
        <f t="shared" si="117"/>
        <v>0</v>
      </c>
      <c r="X263">
        <f t="shared" si="118"/>
        <v>0</v>
      </c>
      <c r="Y263">
        <f t="shared" si="119"/>
        <v>0</v>
      </c>
      <c r="Z263">
        <f t="shared" si="120"/>
        <v>1</v>
      </c>
      <c r="AA263">
        <f t="shared" si="121"/>
        <v>0</v>
      </c>
      <c r="AB263">
        <f t="shared" si="122"/>
        <v>0</v>
      </c>
      <c r="AC263">
        <f t="shared" si="123"/>
        <v>0</v>
      </c>
      <c r="AD263">
        <f t="shared" si="124"/>
        <v>0</v>
      </c>
      <c r="AE263">
        <f t="shared" si="125"/>
        <v>1</v>
      </c>
      <c r="AF263">
        <f t="shared" si="126"/>
        <v>0</v>
      </c>
      <c r="AG263">
        <f t="shared" si="127"/>
        <v>0</v>
      </c>
      <c r="AH263">
        <f t="shared" si="128"/>
        <v>0</v>
      </c>
      <c r="AI263">
        <f t="shared" si="129"/>
        <v>0</v>
      </c>
      <c r="AJ263">
        <f t="shared" si="130"/>
        <v>0</v>
      </c>
      <c r="AK263">
        <f t="shared" si="131"/>
        <v>0</v>
      </c>
      <c r="AL263">
        <f t="shared" si="132"/>
        <v>1</v>
      </c>
      <c r="AM263">
        <f t="shared" si="133"/>
        <v>0</v>
      </c>
      <c r="AN263">
        <f t="shared" si="134"/>
        <v>1</v>
      </c>
      <c r="AO263">
        <f t="shared" si="135"/>
        <v>0</v>
      </c>
      <c r="AP263">
        <f t="shared" si="136"/>
        <v>0</v>
      </c>
      <c r="AQ263">
        <f t="shared" si="137"/>
        <v>0</v>
      </c>
      <c r="AR263">
        <f t="shared" si="138"/>
        <v>1</v>
      </c>
      <c r="AS263">
        <f t="shared" si="139"/>
        <v>0</v>
      </c>
    </row>
    <row r="264" spans="2:45" x14ac:dyDescent="0.3">
      <c r="B264">
        <v>263</v>
      </c>
      <c r="C264" s="1">
        <v>40806</v>
      </c>
      <c r="D264">
        <v>3</v>
      </c>
      <c r="E264">
        <v>0</v>
      </c>
      <c r="F264">
        <v>9</v>
      </c>
      <c r="G264">
        <v>2</v>
      </c>
      <c r="H264">
        <v>2</v>
      </c>
      <c r="I264">
        <v>438</v>
      </c>
      <c r="J264">
        <v>3203</v>
      </c>
      <c r="K264" s="8">
        <v>3641</v>
      </c>
      <c r="L264">
        <v>23.028347</v>
      </c>
      <c r="M264">
        <v>26.610849999999999</v>
      </c>
      <c r="N264">
        <v>88.125</v>
      </c>
      <c r="O264">
        <v>9.0419180000000008</v>
      </c>
      <c r="P264">
        <v>0</v>
      </c>
      <c r="Q264">
        <v>1</v>
      </c>
      <c r="R264">
        <f t="shared" si="112"/>
        <v>0</v>
      </c>
      <c r="S264">
        <f t="shared" si="113"/>
        <v>0</v>
      </c>
      <c r="T264">
        <f t="shared" si="114"/>
        <v>0</v>
      </c>
      <c r="U264">
        <f t="shared" si="115"/>
        <v>0</v>
      </c>
      <c r="V264">
        <f t="shared" si="116"/>
        <v>0</v>
      </c>
      <c r="W264">
        <f t="shared" si="117"/>
        <v>0</v>
      </c>
      <c r="X264">
        <f t="shared" si="118"/>
        <v>0</v>
      </c>
      <c r="Y264">
        <f t="shared" si="119"/>
        <v>0</v>
      </c>
      <c r="Z264">
        <f t="shared" si="120"/>
        <v>1</v>
      </c>
      <c r="AA264">
        <f t="shared" si="121"/>
        <v>0</v>
      </c>
      <c r="AB264">
        <f t="shared" si="122"/>
        <v>0</v>
      </c>
      <c r="AC264">
        <f t="shared" si="123"/>
        <v>0</v>
      </c>
      <c r="AD264">
        <f t="shared" si="124"/>
        <v>0</v>
      </c>
      <c r="AE264">
        <f t="shared" si="125"/>
        <v>0</v>
      </c>
      <c r="AF264">
        <f t="shared" si="126"/>
        <v>1</v>
      </c>
      <c r="AG264">
        <f t="shared" si="127"/>
        <v>0</v>
      </c>
      <c r="AH264">
        <f t="shared" si="128"/>
        <v>0</v>
      </c>
      <c r="AI264">
        <f t="shared" si="129"/>
        <v>0</v>
      </c>
      <c r="AJ264">
        <f t="shared" si="130"/>
        <v>0</v>
      </c>
      <c r="AK264">
        <f t="shared" si="131"/>
        <v>0</v>
      </c>
      <c r="AL264">
        <f t="shared" si="132"/>
        <v>1</v>
      </c>
      <c r="AM264">
        <f t="shared" si="133"/>
        <v>0</v>
      </c>
      <c r="AN264">
        <f t="shared" si="134"/>
        <v>1</v>
      </c>
      <c r="AO264">
        <f t="shared" si="135"/>
        <v>0</v>
      </c>
      <c r="AP264">
        <f t="shared" si="136"/>
        <v>0</v>
      </c>
      <c r="AQ264">
        <f t="shared" si="137"/>
        <v>0</v>
      </c>
      <c r="AR264">
        <f t="shared" si="138"/>
        <v>1</v>
      </c>
      <c r="AS264">
        <f t="shared" si="139"/>
        <v>0</v>
      </c>
    </row>
    <row r="265" spans="2:45" x14ac:dyDescent="0.3">
      <c r="B265">
        <v>264</v>
      </c>
      <c r="C265" s="1">
        <v>40807</v>
      </c>
      <c r="D265">
        <v>3</v>
      </c>
      <c r="E265">
        <v>0</v>
      </c>
      <c r="F265">
        <v>9</v>
      </c>
      <c r="G265">
        <v>3</v>
      </c>
      <c r="H265">
        <v>2</v>
      </c>
      <c r="I265">
        <v>539</v>
      </c>
      <c r="J265">
        <v>3813</v>
      </c>
      <c r="K265" s="8">
        <v>4352</v>
      </c>
      <c r="L265">
        <v>24.395</v>
      </c>
      <c r="M265">
        <v>27.52665</v>
      </c>
      <c r="N265">
        <v>90</v>
      </c>
      <c r="O265">
        <v>6.4590813999999996</v>
      </c>
      <c r="P265">
        <v>0</v>
      </c>
      <c r="Q265">
        <v>1</v>
      </c>
      <c r="R265">
        <f t="shared" si="112"/>
        <v>0</v>
      </c>
      <c r="S265">
        <f t="shared" si="113"/>
        <v>0</v>
      </c>
      <c r="T265">
        <f t="shared" si="114"/>
        <v>0</v>
      </c>
      <c r="U265">
        <f t="shared" si="115"/>
        <v>0</v>
      </c>
      <c r="V265">
        <f t="shared" si="116"/>
        <v>0</v>
      </c>
      <c r="W265">
        <f t="shared" si="117"/>
        <v>0</v>
      </c>
      <c r="X265">
        <f t="shared" si="118"/>
        <v>0</v>
      </c>
      <c r="Y265">
        <f t="shared" si="119"/>
        <v>0</v>
      </c>
      <c r="Z265">
        <f t="shared" si="120"/>
        <v>1</v>
      </c>
      <c r="AA265">
        <f t="shared" si="121"/>
        <v>0</v>
      </c>
      <c r="AB265">
        <f t="shared" si="122"/>
        <v>0</v>
      </c>
      <c r="AC265">
        <f t="shared" si="123"/>
        <v>0</v>
      </c>
      <c r="AD265">
        <f t="shared" si="124"/>
        <v>0</v>
      </c>
      <c r="AE265">
        <f t="shared" si="125"/>
        <v>0</v>
      </c>
      <c r="AF265">
        <f t="shared" si="126"/>
        <v>0</v>
      </c>
      <c r="AG265">
        <f t="shared" si="127"/>
        <v>1</v>
      </c>
      <c r="AH265">
        <f t="shared" si="128"/>
        <v>0</v>
      </c>
      <c r="AI265">
        <f t="shared" si="129"/>
        <v>0</v>
      </c>
      <c r="AJ265">
        <f t="shared" si="130"/>
        <v>0</v>
      </c>
      <c r="AK265">
        <f t="shared" si="131"/>
        <v>0</v>
      </c>
      <c r="AL265">
        <f t="shared" si="132"/>
        <v>1</v>
      </c>
      <c r="AM265">
        <f t="shared" si="133"/>
        <v>0</v>
      </c>
      <c r="AN265">
        <f t="shared" si="134"/>
        <v>1</v>
      </c>
      <c r="AO265">
        <f t="shared" si="135"/>
        <v>0</v>
      </c>
      <c r="AP265">
        <f t="shared" si="136"/>
        <v>0</v>
      </c>
      <c r="AQ265">
        <f t="shared" si="137"/>
        <v>0</v>
      </c>
      <c r="AR265">
        <f t="shared" si="138"/>
        <v>1</v>
      </c>
      <c r="AS265">
        <f t="shared" si="139"/>
        <v>0</v>
      </c>
    </row>
    <row r="266" spans="2:45" x14ac:dyDescent="0.3">
      <c r="B266">
        <v>265</v>
      </c>
      <c r="C266" s="1">
        <v>40808</v>
      </c>
      <c r="D266">
        <v>3</v>
      </c>
      <c r="E266">
        <v>0</v>
      </c>
      <c r="F266">
        <v>9</v>
      </c>
      <c r="G266">
        <v>4</v>
      </c>
      <c r="H266">
        <v>2</v>
      </c>
      <c r="I266">
        <v>555</v>
      </c>
      <c r="J266">
        <v>4240</v>
      </c>
      <c r="K266" s="8">
        <v>4795</v>
      </c>
      <c r="L266">
        <v>25.761652999999999</v>
      </c>
      <c r="M266">
        <v>27.748149999999999</v>
      </c>
      <c r="N266">
        <v>90.208299999999994</v>
      </c>
      <c r="O266">
        <v>8.5843749999999996</v>
      </c>
      <c r="P266">
        <v>0</v>
      </c>
      <c r="Q266">
        <v>1</v>
      </c>
      <c r="R266">
        <f t="shared" si="112"/>
        <v>0</v>
      </c>
      <c r="S266">
        <f t="shared" si="113"/>
        <v>0</v>
      </c>
      <c r="T266">
        <f t="shared" si="114"/>
        <v>0</v>
      </c>
      <c r="U266">
        <f t="shared" si="115"/>
        <v>0</v>
      </c>
      <c r="V266">
        <f t="shared" si="116"/>
        <v>0</v>
      </c>
      <c r="W266">
        <f t="shared" si="117"/>
        <v>0</v>
      </c>
      <c r="X266">
        <f t="shared" si="118"/>
        <v>0</v>
      </c>
      <c r="Y266">
        <f t="shared" si="119"/>
        <v>0</v>
      </c>
      <c r="Z266">
        <f t="shared" si="120"/>
        <v>1</v>
      </c>
      <c r="AA266">
        <f t="shared" si="121"/>
        <v>0</v>
      </c>
      <c r="AB266">
        <f t="shared" si="122"/>
        <v>0</v>
      </c>
      <c r="AC266">
        <f t="shared" si="123"/>
        <v>0</v>
      </c>
      <c r="AD266">
        <f t="shared" si="124"/>
        <v>0</v>
      </c>
      <c r="AE266">
        <f t="shared" si="125"/>
        <v>0</v>
      </c>
      <c r="AF266">
        <f t="shared" si="126"/>
        <v>0</v>
      </c>
      <c r="AG266">
        <f t="shared" si="127"/>
        <v>0</v>
      </c>
      <c r="AH266">
        <f t="shared" si="128"/>
        <v>1</v>
      </c>
      <c r="AI266">
        <f t="shared" si="129"/>
        <v>0</v>
      </c>
      <c r="AJ266">
        <f t="shared" si="130"/>
        <v>0</v>
      </c>
      <c r="AK266">
        <f t="shared" si="131"/>
        <v>0</v>
      </c>
      <c r="AL266">
        <f t="shared" si="132"/>
        <v>1</v>
      </c>
      <c r="AM266">
        <f t="shared" si="133"/>
        <v>0</v>
      </c>
      <c r="AN266">
        <f t="shared" si="134"/>
        <v>1</v>
      </c>
      <c r="AO266">
        <f t="shared" si="135"/>
        <v>0</v>
      </c>
      <c r="AP266">
        <f t="shared" si="136"/>
        <v>0</v>
      </c>
      <c r="AQ266">
        <f t="shared" si="137"/>
        <v>0</v>
      </c>
      <c r="AR266">
        <f t="shared" si="138"/>
        <v>1</v>
      </c>
      <c r="AS266">
        <f t="shared" si="139"/>
        <v>0</v>
      </c>
    </row>
    <row r="267" spans="2:45" x14ac:dyDescent="0.3">
      <c r="B267">
        <v>266</v>
      </c>
      <c r="C267" s="1">
        <v>40809</v>
      </c>
      <c r="D267">
        <v>4</v>
      </c>
      <c r="E267">
        <v>0</v>
      </c>
      <c r="F267">
        <v>9</v>
      </c>
      <c r="G267">
        <v>5</v>
      </c>
      <c r="H267">
        <v>2</v>
      </c>
      <c r="I267">
        <v>258</v>
      </c>
      <c r="J267">
        <v>2137</v>
      </c>
      <c r="K267" s="8">
        <v>2395</v>
      </c>
      <c r="L267">
        <v>24.975847000000002</v>
      </c>
      <c r="M267">
        <v>26.106249999999999</v>
      </c>
      <c r="N267">
        <v>97.25</v>
      </c>
      <c r="O267">
        <v>5.2505689000000002</v>
      </c>
      <c r="P267">
        <v>0</v>
      </c>
      <c r="Q267">
        <v>1</v>
      </c>
      <c r="R267">
        <f t="shared" si="112"/>
        <v>0</v>
      </c>
      <c r="S267">
        <f t="shared" si="113"/>
        <v>0</v>
      </c>
      <c r="T267">
        <f t="shared" si="114"/>
        <v>0</v>
      </c>
      <c r="U267">
        <f t="shared" si="115"/>
        <v>0</v>
      </c>
      <c r="V267">
        <f t="shared" si="116"/>
        <v>0</v>
      </c>
      <c r="W267">
        <f t="shared" si="117"/>
        <v>0</v>
      </c>
      <c r="X267">
        <f t="shared" si="118"/>
        <v>0</v>
      </c>
      <c r="Y267">
        <f t="shared" si="119"/>
        <v>0</v>
      </c>
      <c r="Z267">
        <f t="shared" si="120"/>
        <v>1</v>
      </c>
      <c r="AA267">
        <f t="shared" si="121"/>
        <v>0</v>
      </c>
      <c r="AB267">
        <f t="shared" si="122"/>
        <v>0</v>
      </c>
      <c r="AC267">
        <f t="shared" si="123"/>
        <v>0</v>
      </c>
      <c r="AD267">
        <f t="shared" si="124"/>
        <v>0</v>
      </c>
      <c r="AE267">
        <f t="shared" si="125"/>
        <v>0</v>
      </c>
      <c r="AF267">
        <f t="shared" si="126"/>
        <v>0</v>
      </c>
      <c r="AG267">
        <f t="shared" si="127"/>
        <v>0</v>
      </c>
      <c r="AH267">
        <f t="shared" si="128"/>
        <v>0</v>
      </c>
      <c r="AI267">
        <f t="shared" si="129"/>
        <v>1</v>
      </c>
      <c r="AJ267">
        <f t="shared" si="130"/>
        <v>0</v>
      </c>
      <c r="AK267">
        <f t="shared" si="131"/>
        <v>0</v>
      </c>
      <c r="AL267">
        <f t="shared" si="132"/>
        <v>1</v>
      </c>
      <c r="AM267">
        <f t="shared" si="133"/>
        <v>0</v>
      </c>
      <c r="AN267">
        <f t="shared" si="134"/>
        <v>1</v>
      </c>
      <c r="AO267">
        <f t="shared" si="135"/>
        <v>0</v>
      </c>
      <c r="AP267">
        <f t="shared" si="136"/>
        <v>0</v>
      </c>
      <c r="AQ267">
        <f t="shared" si="137"/>
        <v>0</v>
      </c>
      <c r="AR267">
        <f t="shared" si="138"/>
        <v>0</v>
      </c>
      <c r="AS267">
        <f t="shared" si="139"/>
        <v>1</v>
      </c>
    </row>
    <row r="268" spans="2:45" x14ac:dyDescent="0.3">
      <c r="B268">
        <v>267</v>
      </c>
      <c r="C268" s="1">
        <v>40810</v>
      </c>
      <c r="D268">
        <v>4</v>
      </c>
      <c r="E268">
        <v>0</v>
      </c>
      <c r="F268">
        <v>9</v>
      </c>
      <c r="G268">
        <v>6</v>
      </c>
      <c r="H268">
        <v>2</v>
      </c>
      <c r="I268">
        <v>1776</v>
      </c>
      <c r="J268">
        <v>3647</v>
      </c>
      <c r="K268" s="8">
        <v>5423</v>
      </c>
      <c r="L268">
        <v>24.873346999999999</v>
      </c>
      <c r="M268">
        <v>28.220600000000001</v>
      </c>
      <c r="N268">
        <v>86.25</v>
      </c>
      <c r="O268">
        <v>5.2516810999999999</v>
      </c>
      <c r="P268">
        <v>0</v>
      </c>
      <c r="Q268">
        <v>0</v>
      </c>
      <c r="R268">
        <f t="shared" si="112"/>
        <v>0</v>
      </c>
      <c r="S268">
        <f t="shared" si="113"/>
        <v>0</v>
      </c>
      <c r="T268">
        <f t="shared" si="114"/>
        <v>0</v>
      </c>
      <c r="U268">
        <f t="shared" si="115"/>
        <v>0</v>
      </c>
      <c r="V268">
        <f t="shared" si="116"/>
        <v>0</v>
      </c>
      <c r="W268">
        <f t="shared" si="117"/>
        <v>0</v>
      </c>
      <c r="X268">
        <f t="shared" si="118"/>
        <v>0</v>
      </c>
      <c r="Y268">
        <f t="shared" si="119"/>
        <v>0</v>
      </c>
      <c r="Z268">
        <f t="shared" si="120"/>
        <v>1</v>
      </c>
      <c r="AA268">
        <f t="shared" si="121"/>
        <v>0</v>
      </c>
      <c r="AB268">
        <f t="shared" si="122"/>
        <v>0</v>
      </c>
      <c r="AC268">
        <f t="shared" si="123"/>
        <v>0</v>
      </c>
      <c r="AD268">
        <f t="shared" si="124"/>
        <v>0</v>
      </c>
      <c r="AE268">
        <f t="shared" si="125"/>
        <v>0</v>
      </c>
      <c r="AF268">
        <f t="shared" si="126"/>
        <v>0</v>
      </c>
      <c r="AG268">
        <f t="shared" si="127"/>
        <v>0</v>
      </c>
      <c r="AH268">
        <f t="shared" si="128"/>
        <v>0</v>
      </c>
      <c r="AI268">
        <f t="shared" si="129"/>
        <v>0</v>
      </c>
      <c r="AJ268">
        <f t="shared" si="130"/>
        <v>1</v>
      </c>
      <c r="AK268">
        <f t="shared" si="131"/>
        <v>0</v>
      </c>
      <c r="AL268">
        <f t="shared" si="132"/>
        <v>1</v>
      </c>
      <c r="AM268">
        <f t="shared" si="133"/>
        <v>0</v>
      </c>
      <c r="AN268">
        <f t="shared" si="134"/>
        <v>1</v>
      </c>
      <c r="AO268">
        <f t="shared" si="135"/>
        <v>0</v>
      </c>
      <c r="AP268">
        <f t="shared" si="136"/>
        <v>0</v>
      </c>
      <c r="AQ268">
        <f t="shared" si="137"/>
        <v>0</v>
      </c>
      <c r="AR268">
        <f t="shared" si="138"/>
        <v>0</v>
      </c>
      <c r="AS268">
        <f t="shared" si="139"/>
        <v>1</v>
      </c>
    </row>
    <row r="269" spans="2:45" x14ac:dyDescent="0.3">
      <c r="B269">
        <v>268</v>
      </c>
      <c r="C269" s="1">
        <v>40811</v>
      </c>
      <c r="D269">
        <v>4</v>
      </c>
      <c r="E269">
        <v>0</v>
      </c>
      <c r="F269">
        <v>9</v>
      </c>
      <c r="G269">
        <v>0</v>
      </c>
      <c r="H269">
        <v>2</v>
      </c>
      <c r="I269">
        <v>1544</v>
      </c>
      <c r="J269">
        <v>3466</v>
      </c>
      <c r="K269" s="8">
        <v>5010</v>
      </c>
      <c r="L269">
        <v>26.000847</v>
      </c>
      <c r="M269">
        <v>28.63185</v>
      </c>
      <c r="N269">
        <v>84.5</v>
      </c>
      <c r="O269">
        <v>3.3754064000000001</v>
      </c>
      <c r="P269">
        <v>0</v>
      </c>
      <c r="Q269">
        <v>0</v>
      </c>
      <c r="R269">
        <f t="shared" si="112"/>
        <v>0</v>
      </c>
      <c r="S269">
        <f t="shared" si="113"/>
        <v>0</v>
      </c>
      <c r="T269">
        <f t="shared" si="114"/>
        <v>0</v>
      </c>
      <c r="U269">
        <f t="shared" si="115"/>
        <v>0</v>
      </c>
      <c r="V269">
        <f t="shared" si="116"/>
        <v>0</v>
      </c>
      <c r="W269">
        <f t="shared" si="117"/>
        <v>0</v>
      </c>
      <c r="X269">
        <f t="shared" si="118"/>
        <v>0</v>
      </c>
      <c r="Y269">
        <f t="shared" si="119"/>
        <v>0</v>
      </c>
      <c r="Z269">
        <f t="shared" si="120"/>
        <v>1</v>
      </c>
      <c r="AA269">
        <f t="shared" si="121"/>
        <v>0</v>
      </c>
      <c r="AB269">
        <f t="shared" si="122"/>
        <v>0</v>
      </c>
      <c r="AC269">
        <f t="shared" si="123"/>
        <v>0</v>
      </c>
      <c r="AD269">
        <f t="shared" si="124"/>
        <v>1</v>
      </c>
      <c r="AE269">
        <f t="shared" si="125"/>
        <v>0</v>
      </c>
      <c r="AF269">
        <f t="shared" si="126"/>
        <v>0</v>
      </c>
      <c r="AG269">
        <f t="shared" si="127"/>
        <v>0</v>
      </c>
      <c r="AH269">
        <f t="shared" si="128"/>
        <v>0</v>
      </c>
      <c r="AI269">
        <f t="shared" si="129"/>
        <v>0</v>
      </c>
      <c r="AJ269">
        <f t="shared" si="130"/>
        <v>0</v>
      </c>
      <c r="AK269">
        <f t="shared" si="131"/>
        <v>0</v>
      </c>
      <c r="AL269">
        <f t="shared" si="132"/>
        <v>1</v>
      </c>
      <c r="AM269">
        <f t="shared" si="133"/>
        <v>0</v>
      </c>
      <c r="AN269">
        <f t="shared" si="134"/>
        <v>1</v>
      </c>
      <c r="AO269">
        <f t="shared" si="135"/>
        <v>0</v>
      </c>
      <c r="AP269">
        <f t="shared" si="136"/>
        <v>0</v>
      </c>
      <c r="AQ269">
        <f t="shared" si="137"/>
        <v>0</v>
      </c>
      <c r="AR269">
        <f t="shared" si="138"/>
        <v>0</v>
      </c>
      <c r="AS269">
        <f t="shared" si="139"/>
        <v>1</v>
      </c>
    </row>
    <row r="270" spans="2:45" x14ac:dyDescent="0.3">
      <c r="B270">
        <v>269</v>
      </c>
      <c r="C270" s="1">
        <v>40812</v>
      </c>
      <c r="D270">
        <v>4</v>
      </c>
      <c r="E270">
        <v>0</v>
      </c>
      <c r="F270">
        <v>9</v>
      </c>
      <c r="G270">
        <v>1</v>
      </c>
      <c r="H270">
        <v>2</v>
      </c>
      <c r="I270">
        <v>684</v>
      </c>
      <c r="J270">
        <v>3946</v>
      </c>
      <c r="K270" s="8">
        <v>4630</v>
      </c>
      <c r="L270">
        <v>26.615846999999999</v>
      </c>
      <c r="M270">
        <v>29.452100000000002</v>
      </c>
      <c r="N270">
        <v>84.833299999999994</v>
      </c>
      <c r="O270">
        <v>7.4169</v>
      </c>
      <c r="P270">
        <v>0</v>
      </c>
      <c r="Q270">
        <v>1</v>
      </c>
      <c r="R270">
        <f t="shared" si="112"/>
        <v>0</v>
      </c>
      <c r="S270">
        <f t="shared" si="113"/>
        <v>0</v>
      </c>
      <c r="T270">
        <f t="shared" si="114"/>
        <v>0</v>
      </c>
      <c r="U270">
        <f t="shared" si="115"/>
        <v>0</v>
      </c>
      <c r="V270">
        <f t="shared" si="116"/>
        <v>0</v>
      </c>
      <c r="W270">
        <f t="shared" si="117"/>
        <v>0</v>
      </c>
      <c r="X270">
        <f t="shared" si="118"/>
        <v>0</v>
      </c>
      <c r="Y270">
        <f t="shared" si="119"/>
        <v>0</v>
      </c>
      <c r="Z270">
        <f t="shared" si="120"/>
        <v>1</v>
      </c>
      <c r="AA270">
        <f t="shared" si="121"/>
        <v>0</v>
      </c>
      <c r="AB270">
        <f t="shared" si="122"/>
        <v>0</v>
      </c>
      <c r="AC270">
        <f t="shared" si="123"/>
        <v>0</v>
      </c>
      <c r="AD270">
        <f t="shared" si="124"/>
        <v>0</v>
      </c>
      <c r="AE270">
        <f t="shared" si="125"/>
        <v>1</v>
      </c>
      <c r="AF270">
        <f t="shared" si="126"/>
        <v>0</v>
      </c>
      <c r="AG270">
        <f t="shared" si="127"/>
        <v>0</v>
      </c>
      <c r="AH270">
        <f t="shared" si="128"/>
        <v>0</v>
      </c>
      <c r="AI270">
        <f t="shared" si="129"/>
        <v>0</v>
      </c>
      <c r="AJ270">
        <f t="shared" si="130"/>
        <v>0</v>
      </c>
      <c r="AK270">
        <f t="shared" si="131"/>
        <v>0</v>
      </c>
      <c r="AL270">
        <f t="shared" si="132"/>
        <v>1</v>
      </c>
      <c r="AM270">
        <f t="shared" si="133"/>
        <v>0</v>
      </c>
      <c r="AN270">
        <f t="shared" si="134"/>
        <v>1</v>
      </c>
      <c r="AO270">
        <f t="shared" si="135"/>
        <v>0</v>
      </c>
      <c r="AP270">
        <f t="shared" si="136"/>
        <v>0</v>
      </c>
      <c r="AQ270">
        <f t="shared" si="137"/>
        <v>0</v>
      </c>
      <c r="AR270">
        <f t="shared" si="138"/>
        <v>0</v>
      </c>
      <c r="AS270">
        <f t="shared" si="139"/>
        <v>1</v>
      </c>
    </row>
    <row r="271" spans="2:45" x14ac:dyDescent="0.3">
      <c r="B271">
        <v>270</v>
      </c>
      <c r="C271" s="1">
        <v>40813</v>
      </c>
      <c r="D271">
        <v>4</v>
      </c>
      <c r="E271">
        <v>0</v>
      </c>
      <c r="F271">
        <v>9</v>
      </c>
      <c r="G271">
        <v>2</v>
      </c>
      <c r="H271">
        <v>2</v>
      </c>
      <c r="I271">
        <v>477</v>
      </c>
      <c r="J271">
        <v>3643</v>
      </c>
      <c r="K271" s="8">
        <v>4120</v>
      </c>
      <c r="L271">
        <v>26.103346999999999</v>
      </c>
      <c r="M271">
        <v>28.72625</v>
      </c>
      <c r="N271">
        <v>88.541700000000006</v>
      </c>
      <c r="O271">
        <v>7.9174569999999997</v>
      </c>
      <c r="P271">
        <v>0</v>
      </c>
      <c r="Q271">
        <v>1</v>
      </c>
      <c r="R271">
        <f t="shared" si="112"/>
        <v>0</v>
      </c>
      <c r="S271">
        <f t="shared" si="113"/>
        <v>0</v>
      </c>
      <c r="T271">
        <f t="shared" si="114"/>
        <v>0</v>
      </c>
      <c r="U271">
        <f t="shared" si="115"/>
        <v>0</v>
      </c>
      <c r="V271">
        <f t="shared" si="116"/>
        <v>0</v>
      </c>
      <c r="W271">
        <f t="shared" si="117"/>
        <v>0</v>
      </c>
      <c r="X271">
        <f t="shared" si="118"/>
        <v>0</v>
      </c>
      <c r="Y271">
        <f t="shared" si="119"/>
        <v>0</v>
      </c>
      <c r="Z271">
        <f t="shared" si="120"/>
        <v>1</v>
      </c>
      <c r="AA271">
        <f t="shared" si="121"/>
        <v>0</v>
      </c>
      <c r="AB271">
        <f t="shared" si="122"/>
        <v>0</v>
      </c>
      <c r="AC271">
        <f t="shared" si="123"/>
        <v>0</v>
      </c>
      <c r="AD271">
        <f t="shared" si="124"/>
        <v>0</v>
      </c>
      <c r="AE271">
        <f t="shared" si="125"/>
        <v>0</v>
      </c>
      <c r="AF271">
        <f t="shared" si="126"/>
        <v>1</v>
      </c>
      <c r="AG271">
        <f t="shared" si="127"/>
        <v>0</v>
      </c>
      <c r="AH271">
        <f t="shared" si="128"/>
        <v>0</v>
      </c>
      <c r="AI271">
        <f t="shared" si="129"/>
        <v>0</v>
      </c>
      <c r="AJ271">
        <f t="shared" si="130"/>
        <v>0</v>
      </c>
      <c r="AK271">
        <f t="shared" si="131"/>
        <v>0</v>
      </c>
      <c r="AL271">
        <f t="shared" si="132"/>
        <v>1</v>
      </c>
      <c r="AM271">
        <f t="shared" si="133"/>
        <v>0</v>
      </c>
      <c r="AN271">
        <f t="shared" si="134"/>
        <v>1</v>
      </c>
      <c r="AO271">
        <f t="shared" si="135"/>
        <v>0</v>
      </c>
      <c r="AP271">
        <f t="shared" si="136"/>
        <v>0</v>
      </c>
      <c r="AQ271">
        <f t="shared" si="137"/>
        <v>0</v>
      </c>
      <c r="AR271">
        <f t="shared" si="138"/>
        <v>0</v>
      </c>
      <c r="AS271">
        <f t="shared" si="139"/>
        <v>1</v>
      </c>
    </row>
    <row r="272" spans="2:45" x14ac:dyDescent="0.3">
      <c r="B272">
        <v>271</v>
      </c>
      <c r="C272" s="1">
        <v>40814</v>
      </c>
      <c r="D272">
        <v>4</v>
      </c>
      <c r="E272">
        <v>0</v>
      </c>
      <c r="F272">
        <v>9</v>
      </c>
      <c r="G272">
        <v>3</v>
      </c>
      <c r="H272">
        <v>2</v>
      </c>
      <c r="I272">
        <v>480</v>
      </c>
      <c r="J272">
        <v>3427</v>
      </c>
      <c r="K272" s="8">
        <v>3907</v>
      </c>
      <c r="L272">
        <v>26.035</v>
      </c>
      <c r="M272">
        <v>28.757899999999999</v>
      </c>
      <c r="N272">
        <v>84.875</v>
      </c>
      <c r="O272">
        <v>9.9581429999999997</v>
      </c>
      <c r="P272">
        <v>0</v>
      </c>
      <c r="Q272">
        <v>1</v>
      </c>
      <c r="R272">
        <f t="shared" si="112"/>
        <v>0</v>
      </c>
      <c r="S272">
        <f t="shared" si="113"/>
        <v>0</v>
      </c>
      <c r="T272">
        <f t="shared" si="114"/>
        <v>0</v>
      </c>
      <c r="U272">
        <f t="shared" si="115"/>
        <v>0</v>
      </c>
      <c r="V272">
        <f t="shared" si="116"/>
        <v>0</v>
      </c>
      <c r="W272">
        <f t="shared" si="117"/>
        <v>0</v>
      </c>
      <c r="X272">
        <f t="shared" si="118"/>
        <v>0</v>
      </c>
      <c r="Y272">
        <f t="shared" si="119"/>
        <v>0</v>
      </c>
      <c r="Z272">
        <f t="shared" si="120"/>
        <v>1</v>
      </c>
      <c r="AA272">
        <f t="shared" si="121"/>
        <v>0</v>
      </c>
      <c r="AB272">
        <f t="shared" si="122"/>
        <v>0</v>
      </c>
      <c r="AC272">
        <f t="shared" si="123"/>
        <v>0</v>
      </c>
      <c r="AD272">
        <f t="shared" si="124"/>
        <v>0</v>
      </c>
      <c r="AE272">
        <f t="shared" si="125"/>
        <v>0</v>
      </c>
      <c r="AF272">
        <f t="shared" si="126"/>
        <v>0</v>
      </c>
      <c r="AG272">
        <f t="shared" si="127"/>
        <v>1</v>
      </c>
      <c r="AH272">
        <f t="shared" si="128"/>
        <v>0</v>
      </c>
      <c r="AI272">
        <f t="shared" si="129"/>
        <v>0</v>
      </c>
      <c r="AJ272">
        <f t="shared" si="130"/>
        <v>0</v>
      </c>
      <c r="AK272">
        <f t="shared" si="131"/>
        <v>0</v>
      </c>
      <c r="AL272">
        <f t="shared" si="132"/>
        <v>1</v>
      </c>
      <c r="AM272">
        <f t="shared" si="133"/>
        <v>0</v>
      </c>
      <c r="AN272">
        <f t="shared" si="134"/>
        <v>1</v>
      </c>
      <c r="AO272">
        <f t="shared" si="135"/>
        <v>0</v>
      </c>
      <c r="AP272">
        <f t="shared" si="136"/>
        <v>0</v>
      </c>
      <c r="AQ272">
        <f t="shared" si="137"/>
        <v>0</v>
      </c>
      <c r="AR272">
        <f t="shared" si="138"/>
        <v>0</v>
      </c>
      <c r="AS272">
        <f t="shared" si="139"/>
        <v>1</v>
      </c>
    </row>
    <row r="273" spans="2:45" x14ac:dyDescent="0.3">
      <c r="B273">
        <v>272</v>
      </c>
      <c r="C273" s="1">
        <v>40815</v>
      </c>
      <c r="D273">
        <v>4</v>
      </c>
      <c r="E273">
        <v>0</v>
      </c>
      <c r="F273">
        <v>9</v>
      </c>
      <c r="G273">
        <v>4</v>
      </c>
      <c r="H273">
        <v>1</v>
      </c>
      <c r="I273">
        <v>653</v>
      </c>
      <c r="J273">
        <v>4186</v>
      </c>
      <c r="K273" s="8">
        <v>4839</v>
      </c>
      <c r="L273">
        <v>25.283346999999999</v>
      </c>
      <c r="M273">
        <v>28.7256</v>
      </c>
      <c r="N273">
        <v>69.916700000000006</v>
      </c>
      <c r="O273">
        <v>11.583161</v>
      </c>
      <c r="P273">
        <v>0</v>
      </c>
      <c r="Q273">
        <v>1</v>
      </c>
      <c r="R273">
        <f t="shared" si="112"/>
        <v>0</v>
      </c>
      <c r="S273">
        <f t="shared" si="113"/>
        <v>0</v>
      </c>
      <c r="T273">
        <f t="shared" si="114"/>
        <v>0</v>
      </c>
      <c r="U273">
        <f t="shared" si="115"/>
        <v>0</v>
      </c>
      <c r="V273">
        <f t="shared" si="116"/>
        <v>0</v>
      </c>
      <c r="W273">
        <f t="shared" si="117"/>
        <v>0</v>
      </c>
      <c r="X273">
        <f t="shared" si="118"/>
        <v>0</v>
      </c>
      <c r="Y273">
        <f t="shared" si="119"/>
        <v>0</v>
      </c>
      <c r="Z273">
        <f t="shared" si="120"/>
        <v>1</v>
      </c>
      <c r="AA273">
        <f t="shared" si="121"/>
        <v>0</v>
      </c>
      <c r="AB273">
        <f t="shared" si="122"/>
        <v>0</v>
      </c>
      <c r="AC273">
        <f t="shared" si="123"/>
        <v>0</v>
      </c>
      <c r="AD273">
        <f t="shared" si="124"/>
        <v>0</v>
      </c>
      <c r="AE273">
        <f t="shared" si="125"/>
        <v>0</v>
      </c>
      <c r="AF273">
        <f t="shared" si="126"/>
        <v>0</v>
      </c>
      <c r="AG273">
        <f t="shared" si="127"/>
        <v>0</v>
      </c>
      <c r="AH273">
        <f t="shared" si="128"/>
        <v>1</v>
      </c>
      <c r="AI273">
        <f t="shared" si="129"/>
        <v>0</v>
      </c>
      <c r="AJ273">
        <f t="shared" si="130"/>
        <v>0</v>
      </c>
      <c r="AK273">
        <f t="shared" si="131"/>
        <v>1</v>
      </c>
      <c r="AL273">
        <f t="shared" si="132"/>
        <v>0</v>
      </c>
      <c r="AM273">
        <f t="shared" si="133"/>
        <v>0</v>
      </c>
      <c r="AN273">
        <f t="shared" si="134"/>
        <v>1</v>
      </c>
      <c r="AO273">
        <f t="shared" si="135"/>
        <v>0</v>
      </c>
      <c r="AP273">
        <f t="shared" si="136"/>
        <v>0</v>
      </c>
      <c r="AQ273">
        <f t="shared" si="137"/>
        <v>0</v>
      </c>
      <c r="AR273">
        <f t="shared" si="138"/>
        <v>0</v>
      </c>
      <c r="AS273">
        <f t="shared" si="139"/>
        <v>1</v>
      </c>
    </row>
    <row r="274" spans="2:45" x14ac:dyDescent="0.3">
      <c r="B274">
        <v>273</v>
      </c>
      <c r="C274" s="1">
        <v>40816</v>
      </c>
      <c r="D274">
        <v>4</v>
      </c>
      <c r="E274">
        <v>0</v>
      </c>
      <c r="F274">
        <v>9</v>
      </c>
      <c r="G274">
        <v>5</v>
      </c>
      <c r="H274">
        <v>1</v>
      </c>
      <c r="I274">
        <v>830</v>
      </c>
      <c r="J274">
        <v>4372</v>
      </c>
      <c r="K274" s="8">
        <v>5202</v>
      </c>
      <c r="L274">
        <v>23.130846999999999</v>
      </c>
      <c r="M274">
        <v>27.24145</v>
      </c>
      <c r="N274">
        <v>64.75</v>
      </c>
      <c r="O274">
        <v>13.833824999999999</v>
      </c>
      <c r="P274">
        <v>0</v>
      </c>
      <c r="Q274">
        <v>1</v>
      </c>
      <c r="R274">
        <f t="shared" si="112"/>
        <v>0</v>
      </c>
      <c r="S274">
        <f t="shared" si="113"/>
        <v>0</v>
      </c>
      <c r="T274">
        <f t="shared" si="114"/>
        <v>0</v>
      </c>
      <c r="U274">
        <f t="shared" si="115"/>
        <v>0</v>
      </c>
      <c r="V274">
        <f t="shared" si="116"/>
        <v>0</v>
      </c>
      <c r="W274">
        <f t="shared" si="117"/>
        <v>0</v>
      </c>
      <c r="X274">
        <f t="shared" si="118"/>
        <v>0</v>
      </c>
      <c r="Y274">
        <f t="shared" si="119"/>
        <v>0</v>
      </c>
      <c r="Z274">
        <f t="shared" si="120"/>
        <v>1</v>
      </c>
      <c r="AA274">
        <f t="shared" si="121"/>
        <v>0</v>
      </c>
      <c r="AB274">
        <f t="shared" si="122"/>
        <v>0</v>
      </c>
      <c r="AC274">
        <f t="shared" si="123"/>
        <v>0</v>
      </c>
      <c r="AD274">
        <f t="shared" si="124"/>
        <v>0</v>
      </c>
      <c r="AE274">
        <f t="shared" si="125"/>
        <v>0</v>
      </c>
      <c r="AF274">
        <f t="shared" si="126"/>
        <v>0</v>
      </c>
      <c r="AG274">
        <f t="shared" si="127"/>
        <v>0</v>
      </c>
      <c r="AH274">
        <f t="shared" si="128"/>
        <v>0</v>
      </c>
      <c r="AI274">
        <f t="shared" si="129"/>
        <v>1</v>
      </c>
      <c r="AJ274">
        <f t="shared" si="130"/>
        <v>0</v>
      </c>
      <c r="AK274">
        <f t="shared" si="131"/>
        <v>1</v>
      </c>
      <c r="AL274">
        <f t="shared" si="132"/>
        <v>0</v>
      </c>
      <c r="AM274">
        <f t="shared" si="133"/>
        <v>0</v>
      </c>
      <c r="AN274">
        <f t="shared" si="134"/>
        <v>1</v>
      </c>
      <c r="AO274">
        <f t="shared" si="135"/>
        <v>0</v>
      </c>
      <c r="AP274">
        <f t="shared" si="136"/>
        <v>0</v>
      </c>
      <c r="AQ274">
        <f t="shared" si="137"/>
        <v>0</v>
      </c>
      <c r="AR274">
        <f t="shared" si="138"/>
        <v>0</v>
      </c>
      <c r="AS274">
        <f t="shared" si="139"/>
        <v>1</v>
      </c>
    </row>
    <row r="275" spans="2:45" x14ac:dyDescent="0.3">
      <c r="B275">
        <v>274</v>
      </c>
      <c r="C275" s="1">
        <v>40817</v>
      </c>
      <c r="D275">
        <v>4</v>
      </c>
      <c r="E275">
        <v>0</v>
      </c>
      <c r="F275">
        <v>10</v>
      </c>
      <c r="G275">
        <v>6</v>
      </c>
      <c r="H275">
        <v>2</v>
      </c>
      <c r="I275">
        <v>480</v>
      </c>
      <c r="J275">
        <v>1949</v>
      </c>
      <c r="K275" s="8">
        <v>2429</v>
      </c>
      <c r="L275">
        <v>16.809999999999999</v>
      </c>
      <c r="M275">
        <v>20.643149999999999</v>
      </c>
      <c r="N275">
        <v>75.375</v>
      </c>
      <c r="O275">
        <v>19.583832000000001</v>
      </c>
      <c r="P275">
        <v>0</v>
      </c>
      <c r="Q275">
        <v>0</v>
      </c>
      <c r="R275">
        <f t="shared" si="112"/>
        <v>0</v>
      </c>
      <c r="S275">
        <f t="shared" si="113"/>
        <v>0</v>
      </c>
      <c r="T275">
        <f t="shared" si="114"/>
        <v>0</v>
      </c>
      <c r="U275">
        <f t="shared" si="115"/>
        <v>0</v>
      </c>
      <c r="V275">
        <f t="shared" si="116"/>
        <v>0</v>
      </c>
      <c r="W275">
        <f t="shared" si="117"/>
        <v>0</v>
      </c>
      <c r="X275">
        <f t="shared" si="118"/>
        <v>0</v>
      </c>
      <c r="Y275">
        <f t="shared" si="119"/>
        <v>0</v>
      </c>
      <c r="Z275">
        <f t="shared" si="120"/>
        <v>0</v>
      </c>
      <c r="AA275">
        <f t="shared" si="121"/>
        <v>1</v>
      </c>
      <c r="AB275">
        <f t="shared" si="122"/>
        <v>0</v>
      </c>
      <c r="AC275">
        <f t="shared" si="123"/>
        <v>0</v>
      </c>
      <c r="AD275">
        <f t="shared" si="124"/>
        <v>0</v>
      </c>
      <c r="AE275">
        <f t="shared" si="125"/>
        <v>0</v>
      </c>
      <c r="AF275">
        <f t="shared" si="126"/>
        <v>0</v>
      </c>
      <c r="AG275">
        <f t="shared" si="127"/>
        <v>0</v>
      </c>
      <c r="AH275">
        <f t="shared" si="128"/>
        <v>0</v>
      </c>
      <c r="AI275">
        <f t="shared" si="129"/>
        <v>0</v>
      </c>
      <c r="AJ275">
        <f t="shared" si="130"/>
        <v>1</v>
      </c>
      <c r="AK275">
        <f t="shared" si="131"/>
        <v>0</v>
      </c>
      <c r="AL275">
        <f t="shared" si="132"/>
        <v>1</v>
      </c>
      <c r="AM275">
        <f t="shared" si="133"/>
        <v>0</v>
      </c>
      <c r="AN275">
        <f t="shared" si="134"/>
        <v>1</v>
      </c>
      <c r="AO275">
        <f t="shared" si="135"/>
        <v>0</v>
      </c>
      <c r="AP275">
        <f t="shared" si="136"/>
        <v>0</v>
      </c>
      <c r="AQ275">
        <f t="shared" si="137"/>
        <v>0</v>
      </c>
      <c r="AR275">
        <f t="shared" si="138"/>
        <v>0</v>
      </c>
      <c r="AS275">
        <f t="shared" si="139"/>
        <v>1</v>
      </c>
    </row>
    <row r="276" spans="2:45" x14ac:dyDescent="0.3">
      <c r="B276">
        <v>275</v>
      </c>
      <c r="C276" s="1">
        <v>40818</v>
      </c>
      <c r="D276">
        <v>4</v>
      </c>
      <c r="E276">
        <v>0</v>
      </c>
      <c r="F276">
        <v>10</v>
      </c>
      <c r="G276">
        <v>0</v>
      </c>
      <c r="H276">
        <v>2</v>
      </c>
      <c r="I276">
        <v>616</v>
      </c>
      <c r="J276">
        <v>2302</v>
      </c>
      <c r="K276" s="8">
        <v>2918</v>
      </c>
      <c r="L276">
        <v>14.623347000000001</v>
      </c>
      <c r="M276">
        <v>17.26585</v>
      </c>
      <c r="N276">
        <v>79.166700000000006</v>
      </c>
      <c r="O276">
        <v>14.874871000000001</v>
      </c>
      <c r="P276">
        <v>0</v>
      </c>
      <c r="Q276">
        <v>0</v>
      </c>
      <c r="R276">
        <f t="shared" si="112"/>
        <v>0</v>
      </c>
      <c r="S276">
        <f t="shared" si="113"/>
        <v>0</v>
      </c>
      <c r="T276">
        <f t="shared" si="114"/>
        <v>0</v>
      </c>
      <c r="U276">
        <f t="shared" si="115"/>
        <v>0</v>
      </c>
      <c r="V276">
        <f t="shared" si="116"/>
        <v>0</v>
      </c>
      <c r="W276">
        <f t="shared" si="117"/>
        <v>0</v>
      </c>
      <c r="X276">
        <f t="shared" si="118"/>
        <v>0</v>
      </c>
      <c r="Y276">
        <f t="shared" si="119"/>
        <v>0</v>
      </c>
      <c r="Z276">
        <f t="shared" si="120"/>
        <v>0</v>
      </c>
      <c r="AA276">
        <f t="shared" si="121"/>
        <v>1</v>
      </c>
      <c r="AB276">
        <f t="shared" si="122"/>
        <v>0</v>
      </c>
      <c r="AC276">
        <f t="shared" si="123"/>
        <v>0</v>
      </c>
      <c r="AD276">
        <f t="shared" si="124"/>
        <v>1</v>
      </c>
      <c r="AE276">
        <f t="shared" si="125"/>
        <v>0</v>
      </c>
      <c r="AF276">
        <f t="shared" si="126"/>
        <v>0</v>
      </c>
      <c r="AG276">
        <f t="shared" si="127"/>
        <v>0</v>
      </c>
      <c r="AH276">
        <f t="shared" si="128"/>
        <v>0</v>
      </c>
      <c r="AI276">
        <f t="shared" si="129"/>
        <v>0</v>
      </c>
      <c r="AJ276">
        <f t="shared" si="130"/>
        <v>0</v>
      </c>
      <c r="AK276">
        <f t="shared" si="131"/>
        <v>0</v>
      </c>
      <c r="AL276">
        <f t="shared" si="132"/>
        <v>1</v>
      </c>
      <c r="AM276">
        <f t="shared" si="133"/>
        <v>0</v>
      </c>
      <c r="AN276">
        <f t="shared" si="134"/>
        <v>1</v>
      </c>
      <c r="AO276">
        <f t="shared" si="135"/>
        <v>0</v>
      </c>
      <c r="AP276">
        <f t="shared" si="136"/>
        <v>0</v>
      </c>
      <c r="AQ276">
        <f t="shared" si="137"/>
        <v>0</v>
      </c>
      <c r="AR276">
        <f t="shared" si="138"/>
        <v>0</v>
      </c>
      <c r="AS276">
        <f t="shared" si="139"/>
        <v>1</v>
      </c>
    </row>
    <row r="277" spans="2:45" x14ac:dyDescent="0.3">
      <c r="B277">
        <v>276</v>
      </c>
      <c r="C277" s="1">
        <v>40819</v>
      </c>
      <c r="D277">
        <v>4</v>
      </c>
      <c r="E277">
        <v>0</v>
      </c>
      <c r="F277">
        <v>10</v>
      </c>
      <c r="G277">
        <v>1</v>
      </c>
      <c r="H277">
        <v>2</v>
      </c>
      <c r="I277">
        <v>330</v>
      </c>
      <c r="J277">
        <v>3240</v>
      </c>
      <c r="K277" s="8">
        <v>3570</v>
      </c>
      <c r="L277">
        <v>15.750847</v>
      </c>
      <c r="M277">
        <v>19.6023</v>
      </c>
      <c r="N277">
        <v>76.083299999999994</v>
      </c>
      <c r="O277">
        <v>5.5841685999999999</v>
      </c>
      <c r="P277">
        <v>0</v>
      </c>
      <c r="Q277">
        <v>1</v>
      </c>
      <c r="R277">
        <f t="shared" si="112"/>
        <v>0</v>
      </c>
      <c r="S277">
        <f t="shared" si="113"/>
        <v>0</v>
      </c>
      <c r="T277">
        <f t="shared" si="114"/>
        <v>0</v>
      </c>
      <c r="U277">
        <f t="shared" si="115"/>
        <v>0</v>
      </c>
      <c r="V277">
        <f t="shared" si="116"/>
        <v>0</v>
      </c>
      <c r="W277">
        <f t="shared" si="117"/>
        <v>0</v>
      </c>
      <c r="X277">
        <f t="shared" si="118"/>
        <v>0</v>
      </c>
      <c r="Y277">
        <f t="shared" si="119"/>
        <v>0</v>
      </c>
      <c r="Z277">
        <f t="shared" si="120"/>
        <v>0</v>
      </c>
      <c r="AA277">
        <f t="shared" si="121"/>
        <v>1</v>
      </c>
      <c r="AB277">
        <f t="shared" si="122"/>
        <v>0</v>
      </c>
      <c r="AC277">
        <f t="shared" si="123"/>
        <v>0</v>
      </c>
      <c r="AD277">
        <f t="shared" si="124"/>
        <v>0</v>
      </c>
      <c r="AE277">
        <f t="shared" si="125"/>
        <v>1</v>
      </c>
      <c r="AF277">
        <f t="shared" si="126"/>
        <v>0</v>
      </c>
      <c r="AG277">
        <f t="shared" si="127"/>
        <v>0</v>
      </c>
      <c r="AH277">
        <f t="shared" si="128"/>
        <v>0</v>
      </c>
      <c r="AI277">
        <f t="shared" si="129"/>
        <v>0</v>
      </c>
      <c r="AJ277">
        <f t="shared" si="130"/>
        <v>0</v>
      </c>
      <c r="AK277">
        <f t="shared" si="131"/>
        <v>0</v>
      </c>
      <c r="AL277">
        <f t="shared" si="132"/>
        <v>1</v>
      </c>
      <c r="AM277">
        <f t="shared" si="133"/>
        <v>0</v>
      </c>
      <c r="AN277">
        <f t="shared" si="134"/>
        <v>1</v>
      </c>
      <c r="AO277">
        <f t="shared" si="135"/>
        <v>0</v>
      </c>
      <c r="AP277">
        <f t="shared" si="136"/>
        <v>0</v>
      </c>
      <c r="AQ277">
        <f t="shared" si="137"/>
        <v>0</v>
      </c>
      <c r="AR277">
        <f t="shared" si="138"/>
        <v>0</v>
      </c>
      <c r="AS277">
        <f t="shared" si="139"/>
        <v>1</v>
      </c>
    </row>
    <row r="278" spans="2:45" x14ac:dyDescent="0.3">
      <c r="B278">
        <v>277</v>
      </c>
      <c r="C278" s="1">
        <v>40820</v>
      </c>
      <c r="D278">
        <v>4</v>
      </c>
      <c r="E278">
        <v>0</v>
      </c>
      <c r="F278">
        <v>10</v>
      </c>
      <c r="G278">
        <v>2</v>
      </c>
      <c r="H278">
        <v>1</v>
      </c>
      <c r="I278">
        <v>486</v>
      </c>
      <c r="J278">
        <v>3970</v>
      </c>
      <c r="K278" s="8">
        <v>4456</v>
      </c>
      <c r="L278">
        <v>19.850847000000002</v>
      </c>
      <c r="M278">
        <v>23.642900000000001</v>
      </c>
      <c r="N278">
        <v>71</v>
      </c>
      <c r="O278">
        <v>13.792218</v>
      </c>
      <c r="P278">
        <v>0</v>
      </c>
      <c r="Q278">
        <v>1</v>
      </c>
      <c r="R278">
        <f t="shared" si="112"/>
        <v>0</v>
      </c>
      <c r="S278">
        <f t="shared" si="113"/>
        <v>0</v>
      </c>
      <c r="T278">
        <f t="shared" si="114"/>
        <v>0</v>
      </c>
      <c r="U278">
        <f t="shared" si="115"/>
        <v>0</v>
      </c>
      <c r="V278">
        <f t="shared" si="116"/>
        <v>0</v>
      </c>
      <c r="W278">
        <f t="shared" si="117"/>
        <v>0</v>
      </c>
      <c r="X278">
        <f t="shared" si="118"/>
        <v>0</v>
      </c>
      <c r="Y278">
        <f t="shared" si="119"/>
        <v>0</v>
      </c>
      <c r="Z278">
        <f t="shared" si="120"/>
        <v>0</v>
      </c>
      <c r="AA278">
        <f t="shared" si="121"/>
        <v>1</v>
      </c>
      <c r="AB278">
        <f t="shared" si="122"/>
        <v>0</v>
      </c>
      <c r="AC278">
        <f t="shared" si="123"/>
        <v>0</v>
      </c>
      <c r="AD278">
        <f t="shared" si="124"/>
        <v>0</v>
      </c>
      <c r="AE278">
        <f t="shared" si="125"/>
        <v>0</v>
      </c>
      <c r="AF278">
        <f t="shared" si="126"/>
        <v>1</v>
      </c>
      <c r="AG278">
        <f t="shared" si="127"/>
        <v>0</v>
      </c>
      <c r="AH278">
        <f t="shared" si="128"/>
        <v>0</v>
      </c>
      <c r="AI278">
        <f t="shared" si="129"/>
        <v>0</v>
      </c>
      <c r="AJ278">
        <f t="shared" si="130"/>
        <v>0</v>
      </c>
      <c r="AK278">
        <f t="shared" si="131"/>
        <v>1</v>
      </c>
      <c r="AL278">
        <f t="shared" si="132"/>
        <v>0</v>
      </c>
      <c r="AM278">
        <f t="shared" si="133"/>
        <v>0</v>
      </c>
      <c r="AN278">
        <f t="shared" si="134"/>
        <v>1</v>
      </c>
      <c r="AO278">
        <f t="shared" si="135"/>
        <v>0</v>
      </c>
      <c r="AP278">
        <f t="shared" si="136"/>
        <v>0</v>
      </c>
      <c r="AQ278">
        <f t="shared" si="137"/>
        <v>0</v>
      </c>
      <c r="AR278">
        <f t="shared" si="138"/>
        <v>0</v>
      </c>
      <c r="AS278">
        <f t="shared" si="139"/>
        <v>1</v>
      </c>
    </row>
    <row r="279" spans="2:45" x14ac:dyDescent="0.3">
      <c r="B279">
        <v>278</v>
      </c>
      <c r="C279" s="1">
        <v>40821</v>
      </c>
      <c r="D279">
        <v>4</v>
      </c>
      <c r="E279">
        <v>0</v>
      </c>
      <c r="F279">
        <v>10</v>
      </c>
      <c r="G279">
        <v>3</v>
      </c>
      <c r="H279">
        <v>1</v>
      </c>
      <c r="I279">
        <v>559</v>
      </c>
      <c r="J279">
        <v>4267</v>
      </c>
      <c r="K279" s="8">
        <v>4826</v>
      </c>
      <c r="L279">
        <v>22.071653000000001</v>
      </c>
      <c r="M279">
        <v>26.3569</v>
      </c>
      <c r="N279">
        <v>64.791700000000006</v>
      </c>
      <c r="O279">
        <v>11.87575</v>
      </c>
      <c r="P279">
        <v>0</v>
      </c>
      <c r="Q279">
        <v>1</v>
      </c>
      <c r="R279">
        <f t="shared" si="112"/>
        <v>0</v>
      </c>
      <c r="S279">
        <f t="shared" si="113"/>
        <v>0</v>
      </c>
      <c r="T279">
        <f t="shared" si="114"/>
        <v>0</v>
      </c>
      <c r="U279">
        <f t="shared" si="115"/>
        <v>0</v>
      </c>
      <c r="V279">
        <f t="shared" si="116"/>
        <v>0</v>
      </c>
      <c r="W279">
        <f t="shared" si="117"/>
        <v>0</v>
      </c>
      <c r="X279">
        <f t="shared" si="118"/>
        <v>0</v>
      </c>
      <c r="Y279">
        <f t="shared" si="119"/>
        <v>0</v>
      </c>
      <c r="Z279">
        <f t="shared" si="120"/>
        <v>0</v>
      </c>
      <c r="AA279">
        <f t="shared" si="121"/>
        <v>1</v>
      </c>
      <c r="AB279">
        <f t="shared" si="122"/>
        <v>0</v>
      </c>
      <c r="AC279">
        <f t="shared" si="123"/>
        <v>0</v>
      </c>
      <c r="AD279">
        <f t="shared" si="124"/>
        <v>0</v>
      </c>
      <c r="AE279">
        <f t="shared" si="125"/>
        <v>0</v>
      </c>
      <c r="AF279">
        <f t="shared" si="126"/>
        <v>0</v>
      </c>
      <c r="AG279">
        <f t="shared" si="127"/>
        <v>1</v>
      </c>
      <c r="AH279">
        <f t="shared" si="128"/>
        <v>0</v>
      </c>
      <c r="AI279">
        <f t="shared" si="129"/>
        <v>0</v>
      </c>
      <c r="AJ279">
        <f t="shared" si="130"/>
        <v>0</v>
      </c>
      <c r="AK279">
        <f t="shared" si="131"/>
        <v>1</v>
      </c>
      <c r="AL279">
        <f t="shared" si="132"/>
        <v>0</v>
      </c>
      <c r="AM279">
        <f t="shared" si="133"/>
        <v>0</v>
      </c>
      <c r="AN279">
        <f t="shared" si="134"/>
        <v>1</v>
      </c>
      <c r="AO279">
        <f t="shared" si="135"/>
        <v>0</v>
      </c>
      <c r="AP279">
        <f t="shared" si="136"/>
        <v>0</v>
      </c>
      <c r="AQ279">
        <f t="shared" si="137"/>
        <v>0</v>
      </c>
      <c r="AR279">
        <f t="shared" si="138"/>
        <v>0</v>
      </c>
      <c r="AS279">
        <f t="shared" si="139"/>
        <v>1</v>
      </c>
    </row>
    <row r="280" spans="2:45" x14ac:dyDescent="0.3">
      <c r="B280">
        <v>279</v>
      </c>
      <c r="C280" s="1">
        <v>40822</v>
      </c>
      <c r="D280">
        <v>4</v>
      </c>
      <c r="E280">
        <v>0</v>
      </c>
      <c r="F280">
        <v>10</v>
      </c>
      <c r="G280">
        <v>4</v>
      </c>
      <c r="H280">
        <v>1</v>
      </c>
      <c r="I280">
        <v>639</v>
      </c>
      <c r="J280">
        <v>4126</v>
      </c>
      <c r="K280" s="8">
        <v>4765</v>
      </c>
      <c r="L280">
        <v>20.260846999999998</v>
      </c>
      <c r="M280">
        <v>24.021249999999998</v>
      </c>
      <c r="N280">
        <v>62.083300000000001</v>
      </c>
      <c r="O280">
        <v>9.0419180000000008</v>
      </c>
      <c r="P280">
        <v>0</v>
      </c>
      <c r="Q280">
        <v>1</v>
      </c>
      <c r="R280">
        <f t="shared" si="112"/>
        <v>0</v>
      </c>
      <c r="S280">
        <f t="shared" si="113"/>
        <v>0</v>
      </c>
      <c r="T280">
        <f t="shared" si="114"/>
        <v>0</v>
      </c>
      <c r="U280">
        <f t="shared" si="115"/>
        <v>0</v>
      </c>
      <c r="V280">
        <f t="shared" si="116"/>
        <v>0</v>
      </c>
      <c r="W280">
        <f t="shared" si="117"/>
        <v>0</v>
      </c>
      <c r="X280">
        <f t="shared" si="118"/>
        <v>0</v>
      </c>
      <c r="Y280">
        <f t="shared" si="119"/>
        <v>0</v>
      </c>
      <c r="Z280">
        <f t="shared" si="120"/>
        <v>0</v>
      </c>
      <c r="AA280">
        <f t="shared" si="121"/>
        <v>1</v>
      </c>
      <c r="AB280">
        <f t="shared" si="122"/>
        <v>0</v>
      </c>
      <c r="AC280">
        <f t="shared" si="123"/>
        <v>0</v>
      </c>
      <c r="AD280">
        <f t="shared" si="124"/>
        <v>0</v>
      </c>
      <c r="AE280">
        <f t="shared" si="125"/>
        <v>0</v>
      </c>
      <c r="AF280">
        <f t="shared" si="126"/>
        <v>0</v>
      </c>
      <c r="AG280">
        <f t="shared" si="127"/>
        <v>0</v>
      </c>
      <c r="AH280">
        <f t="shared" si="128"/>
        <v>1</v>
      </c>
      <c r="AI280">
        <f t="shared" si="129"/>
        <v>0</v>
      </c>
      <c r="AJ280">
        <f t="shared" si="130"/>
        <v>0</v>
      </c>
      <c r="AK280">
        <f t="shared" si="131"/>
        <v>1</v>
      </c>
      <c r="AL280">
        <f t="shared" si="132"/>
        <v>0</v>
      </c>
      <c r="AM280">
        <f t="shared" si="133"/>
        <v>0</v>
      </c>
      <c r="AN280">
        <f t="shared" si="134"/>
        <v>1</v>
      </c>
      <c r="AO280">
        <f t="shared" si="135"/>
        <v>0</v>
      </c>
      <c r="AP280">
        <f t="shared" si="136"/>
        <v>0</v>
      </c>
      <c r="AQ280">
        <f t="shared" si="137"/>
        <v>0</v>
      </c>
      <c r="AR280">
        <f t="shared" si="138"/>
        <v>0</v>
      </c>
      <c r="AS280">
        <f t="shared" si="139"/>
        <v>1</v>
      </c>
    </row>
    <row r="281" spans="2:45" x14ac:dyDescent="0.3">
      <c r="B281">
        <v>280</v>
      </c>
      <c r="C281" s="1">
        <v>40823</v>
      </c>
      <c r="D281">
        <v>4</v>
      </c>
      <c r="E281">
        <v>0</v>
      </c>
      <c r="F281">
        <v>10</v>
      </c>
      <c r="G281">
        <v>5</v>
      </c>
      <c r="H281">
        <v>1</v>
      </c>
      <c r="I281">
        <v>949</v>
      </c>
      <c r="J281">
        <v>4036</v>
      </c>
      <c r="K281" s="8">
        <v>4985</v>
      </c>
      <c r="L281">
        <v>20.944153</v>
      </c>
      <c r="M281">
        <v>25.220199999999998</v>
      </c>
      <c r="N281">
        <v>68.416700000000006</v>
      </c>
      <c r="O281">
        <v>1.5002439000000001</v>
      </c>
      <c r="P281">
        <v>0</v>
      </c>
      <c r="Q281">
        <v>1</v>
      </c>
      <c r="R281">
        <f t="shared" si="112"/>
        <v>0</v>
      </c>
      <c r="S281">
        <f t="shared" si="113"/>
        <v>0</v>
      </c>
      <c r="T281">
        <f t="shared" si="114"/>
        <v>0</v>
      </c>
      <c r="U281">
        <f t="shared" si="115"/>
        <v>0</v>
      </c>
      <c r="V281">
        <f t="shared" si="116"/>
        <v>0</v>
      </c>
      <c r="W281">
        <f t="shared" si="117"/>
        <v>0</v>
      </c>
      <c r="X281">
        <f t="shared" si="118"/>
        <v>0</v>
      </c>
      <c r="Y281">
        <f t="shared" si="119"/>
        <v>0</v>
      </c>
      <c r="Z281">
        <f t="shared" si="120"/>
        <v>0</v>
      </c>
      <c r="AA281">
        <f t="shared" si="121"/>
        <v>1</v>
      </c>
      <c r="AB281">
        <f t="shared" si="122"/>
        <v>0</v>
      </c>
      <c r="AC281">
        <f t="shared" si="123"/>
        <v>0</v>
      </c>
      <c r="AD281">
        <f t="shared" si="124"/>
        <v>0</v>
      </c>
      <c r="AE281">
        <f t="shared" si="125"/>
        <v>0</v>
      </c>
      <c r="AF281">
        <f t="shared" si="126"/>
        <v>0</v>
      </c>
      <c r="AG281">
        <f t="shared" si="127"/>
        <v>0</v>
      </c>
      <c r="AH281">
        <f t="shared" si="128"/>
        <v>0</v>
      </c>
      <c r="AI281">
        <f t="shared" si="129"/>
        <v>1</v>
      </c>
      <c r="AJ281">
        <f t="shared" si="130"/>
        <v>0</v>
      </c>
      <c r="AK281">
        <f t="shared" si="131"/>
        <v>1</v>
      </c>
      <c r="AL281">
        <f t="shared" si="132"/>
        <v>0</v>
      </c>
      <c r="AM281">
        <f t="shared" si="133"/>
        <v>0</v>
      </c>
      <c r="AN281">
        <f t="shared" si="134"/>
        <v>1</v>
      </c>
      <c r="AO281">
        <f t="shared" si="135"/>
        <v>0</v>
      </c>
      <c r="AP281">
        <f t="shared" si="136"/>
        <v>0</v>
      </c>
      <c r="AQ281">
        <f t="shared" si="137"/>
        <v>0</v>
      </c>
      <c r="AR281">
        <f t="shared" si="138"/>
        <v>0</v>
      </c>
      <c r="AS281">
        <f t="shared" si="139"/>
        <v>1</v>
      </c>
    </row>
    <row r="282" spans="2:45" x14ac:dyDescent="0.3">
      <c r="B282">
        <v>281</v>
      </c>
      <c r="C282" s="1">
        <v>40824</v>
      </c>
      <c r="D282">
        <v>4</v>
      </c>
      <c r="E282">
        <v>0</v>
      </c>
      <c r="F282">
        <v>10</v>
      </c>
      <c r="G282">
        <v>6</v>
      </c>
      <c r="H282">
        <v>1</v>
      </c>
      <c r="I282">
        <v>2235</v>
      </c>
      <c r="J282">
        <v>3174</v>
      </c>
      <c r="K282" s="8">
        <v>5409</v>
      </c>
      <c r="L282">
        <v>21.388347</v>
      </c>
      <c r="M282">
        <v>25.662099999999999</v>
      </c>
      <c r="N282">
        <v>70.125</v>
      </c>
      <c r="O282">
        <v>3.0420813999999998</v>
      </c>
      <c r="P282">
        <v>0</v>
      </c>
      <c r="Q282">
        <v>0</v>
      </c>
      <c r="R282">
        <f t="shared" si="112"/>
        <v>0</v>
      </c>
      <c r="S282">
        <f t="shared" si="113"/>
        <v>0</v>
      </c>
      <c r="T282">
        <f t="shared" si="114"/>
        <v>0</v>
      </c>
      <c r="U282">
        <f t="shared" si="115"/>
        <v>0</v>
      </c>
      <c r="V282">
        <f t="shared" si="116"/>
        <v>0</v>
      </c>
      <c r="W282">
        <f t="shared" si="117"/>
        <v>0</v>
      </c>
      <c r="X282">
        <f t="shared" si="118"/>
        <v>0</v>
      </c>
      <c r="Y282">
        <f t="shared" si="119"/>
        <v>0</v>
      </c>
      <c r="Z282">
        <f t="shared" si="120"/>
        <v>0</v>
      </c>
      <c r="AA282">
        <f t="shared" si="121"/>
        <v>1</v>
      </c>
      <c r="AB282">
        <f t="shared" si="122"/>
        <v>0</v>
      </c>
      <c r="AC282">
        <f t="shared" si="123"/>
        <v>0</v>
      </c>
      <c r="AD282">
        <f t="shared" si="124"/>
        <v>0</v>
      </c>
      <c r="AE282">
        <f t="shared" si="125"/>
        <v>0</v>
      </c>
      <c r="AF282">
        <f t="shared" si="126"/>
        <v>0</v>
      </c>
      <c r="AG282">
        <f t="shared" si="127"/>
        <v>0</v>
      </c>
      <c r="AH282">
        <f t="shared" si="128"/>
        <v>0</v>
      </c>
      <c r="AI282">
        <f t="shared" si="129"/>
        <v>0</v>
      </c>
      <c r="AJ282">
        <f t="shared" si="130"/>
        <v>1</v>
      </c>
      <c r="AK282">
        <f t="shared" si="131"/>
        <v>1</v>
      </c>
      <c r="AL282">
        <f t="shared" si="132"/>
        <v>0</v>
      </c>
      <c r="AM282">
        <f t="shared" si="133"/>
        <v>0</v>
      </c>
      <c r="AN282">
        <f t="shared" si="134"/>
        <v>1</v>
      </c>
      <c r="AO282">
        <f t="shared" si="135"/>
        <v>0</v>
      </c>
      <c r="AP282">
        <f t="shared" si="136"/>
        <v>0</v>
      </c>
      <c r="AQ282">
        <f t="shared" si="137"/>
        <v>0</v>
      </c>
      <c r="AR282">
        <f t="shared" si="138"/>
        <v>0</v>
      </c>
      <c r="AS282">
        <f t="shared" si="139"/>
        <v>1</v>
      </c>
    </row>
    <row r="283" spans="2:45" x14ac:dyDescent="0.3">
      <c r="B283">
        <v>282</v>
      </c>
      <c r="C283" s="1">
        <v>40825</v>
      </c>
      <c r="D283">
        <v>4</v>
      </c>
      <c r="E283">
        <v>0</v>
      </c>
      <c r="F283">
        <v>10</v>
      </c>
      <c r="G283">
        <v>0</v>
      </c>
      <c r="H283">
        <v>1</v>
      </c>
      <c r="I283">
        <v>2397</v>
      </c>
      <c r="J283">
        <v>3114</v>
      </c>
      <c r="K283" s="8">
        <v>5511</v>
      </c>
      <c r="L283">
        <v>22.174153</v>
      </c>
      <c r="M283">
        <v>26.199149999999999</v>
      </c>
      <c r="N283">
        <v>72.75</v>
      </c>
      <c r="O283">
        <v>4.25115</v>
      </c>
      <c r="P283">
        <v>0</v>
      </c>
      <c r="Q283">
        <v>0</v>
      </c>
      <c r="R283">
        <f t="shared" si="112"/>
        <v>0</v>
      </c>
      <c r="S283">
        <f t="shared" si="113"/>
        <v>0</v>
      </c>
      <c r="T283">
        <f t="shared" si="114"/>
        <v>0</v>
      </c>
      <c r="U283">
        <f t="shared" si="115"/>
        <v>0</v>
      </c>
      <c r="V283">
        <f t="shared" si="116"/>
        <v>0</v>
      </c>
      <c r="W283">
        <f t="shared" si="117"/>
        <v>0</v>
      </c>
      <c r="X283">
        <f t="shared" si="118"/>
        <v>0</v>
      </c>
      <c r="Y283">
        <f t="shared" si="119"/>
        <v>0</v>
      </c>
      <c r="Z283">
        <f t="shared" si="120"/>
        <v>0</v>
      </c>
      <c r="AA283">
        <f t="shared" si="121"/>
        <v>1</v>
      </c>
      <c r="AB283">
        <f t="shared" si="122"/>
        <v>0</v>
      </c>
      <c r="AC283">
        <f t="shared" si="123"/>
        <v>0</v>
      </c>
      <c r="AD283">
        <f t="shared" si="124"/>
        <v>1</v>
      </c>
      <c r="AE283">
        <f t="shared" si="125"/>
        <v>0</v>
      </c>
      <c r="AF283">
        <f t="shared" si="126"/>
        <v>0</v>
      </c>
      <c r="AG283">
        <f t="shared" si="127"/>
        <v>0</v>
      </c>
      <c r="AH283">
        <f t="shared" si="128"/>
        <v>0</v>
      </c>
      <c r="AI283">
        <f t="shared" si="129"/>
        <v>0</v>
      </c>
      <c r="AJ283">
        <f t="shared" si="130"/>
        <v>0</v>
      </c>
      <c r="AK283">
        <f t="shared" si="131"/>
        <v>1</v>
      </c>
      <c r="AL283">
        <f t="shared" si="132"/>
        <v>0</v>
      </c>
      <c r="AM283">
        <f t="shared" si="133"/>
        <v>0</v>
      </c>
      <c r="AN283">
        <f t="shared" si="134"/>
        <v>1</v>
      </c>
      <c r="AO283">
        <f t="shared" si="135"/>
        <v>0</v>
      </c>
      <c r="AP283">
        <f t="shared" si="136"/>
        <v>0</v>
      </c>
      <c r="AQ283">
        <f t="shared" si="137"/>
        <v>0</v>
      </c>
      <c r="AR283">
        <f t="shared" si="138"/>
        <v>0</v>
      </c>
      <c r="AS283">
        <f t="shared" si="139"/>
        <v>1</v>
      </c>
    </row>
    <row r="284" spans="2:45" x14ac:dyDescent="0.3">
      <c r="B284">
        <v>283</v>
      </c>
      <c r="C284" s="1">
        <v>40826</v>
      </c>
      <c r="D284">
        <v>4</v>
      </c>
      <c r="E284">
        <v>0</v>
      </c>
      <c r="F284">
        <v>10</v>
      </c>
      <c r="G284">
        <v>1</v>
      </c>
      <c r="H284">
        <v>1</v>
      </c>
      <c r="I284">
        <v>1514</v>
      </c>
      <c r="J284">
        <v>3603</v>
      </c>
      <c r="K284" s="8">
        <v>5117</v>
      </c>
      <c r="L284">
        <v>23.404153000000001</v>
      </c>
      <c r="M284">
        <v>27.146249999999998</v>
      </c>
      <c r="N284">
        <v>73.375</v>
      </c>
      <c r="O284">
        <v>2.8343813999999998</v>
      </c>
      <c r="P284">
        <v>1</v>
      </c>
      <c r="Q284">
        <v>0</v>
      </c>
      <c r="R284">
        <f t="shared" si="112"/>
        <v>0</v>
      </c>
      <c r="S284">
        <f t="shared" si="113"/>
        <v>0</v>
      </c>
      <c r="T284">
        <f t="shared" si="114"/>
        <v>0</v>
      </c>
      <c r="U284">
        <f t="shared" si="115"/>
        <v>0</v>
      </c>
      <c r="V284">
        <f t="shared" si="116"/>
        <v>0</v>
      </c>
      <c r="W284">
        <f t="shared" si="117"/>
        <v>0</v>
      </c>
      <c r="X284">
        <f t="shared" si="118"/>
        <v>0</v>
      </c>
      <c r="Y284">
        <f t="shared" si="119"/>
        <v>0</v>
      </c>
      <c r="Z284">
        <f t="shared" si="120"/>
        <v>0</v>
      </c>
      <c r="AA284">
        <f t="shared" si="121"/>
        <v>1</v>
      </c>
      <c r="AB284">
        <f t="shared" si="122"/>
        <v>0</v>
      </c>
      <c r="AC284">
        <f t="shared" si="123"/>
        <v>0</v>
      </c>
      <c r="AD284">
        <f t="shared" si="124"/>
        <v>0</v>
      </c>
      <c r="AE284">
        <f t="shared" si="125"/>
        <v>1</v>
      </c>
      <c r="AF284">
        <f t="shared" si="126"/>
        <v>0</v>
      </c>
      <c r="AG284">
        <f t="shared" si="127"/>
        <v>0</v>
      </c>
      <c r="AH284">
        <f t="shared" si="128"/>
        <v>0</v>
      </c>
      <c r="AI284">
        <f t="shared" si="129"/>
        <v>0</v>
      </c>
      <c r="AJ284">
        <f t="shared" si="130"/>
        <v>0</v>
      </c>
      <c r="AK284">
        <f t="shared" si="131"/>
        <v>1</v>
      </c>
      <c r="AL284">
        <f t="shared" si="132"/>
        <v>0</v>
      </c>
      <c r="AM284">
        <f t="shared" si="133"/>
        <v>0</v>
      </c>
      <c r="AN284">
        <f t="shared" si="134"/>
        <v>1</v>
      </c>
      <c r="AO284">
        <f t="shared" si="135"/>
        <v>0</v>
      </c>
      <c r="AP284">
        <f t="shared" si="136"/>
        <v>0</v>
      </c>
      <c r="AQ284">
        <f t="shared" si="137"/>
        <v>0</v>
      </c>
      <c r="AR284">
        <f t="shared" si="138"/>
        <v>0</v>
      </c>
      <c r="AS284">
        <f t="shared" si="139"/>
        <v>1</v>
      </c>
    </row>
    <row r="285" spans="2:45" x14ac:dyDescent="0.3">
      <c r="B285">
        <v>284</v>
      </c>
      <c r="C285" s="1">
        <v>40827</v>
      </c>
      <c r="D285">
        <v>4</v>
      </c>
      <c r="E285">
        <v>0</v>
      </c>
      <c r="F285">
        <v>10</v>
      </c>
      <c r="G285">
        <v>2</v>
      </c>
      <c r="H285">
        <v>2</v>
      </c>
      <c r="I285">
        <v>667</v>
      </c>
      <c r="J285">
        <v>3896</v>
      </c>
      <c r="K285" s="8">
        <v>4563</v>
      </c>
      <c r="L285">
        <v>23.233346999999998</v>
      </c>
      <c r="M285">
        <v>27.3048</v>
      </c>
      <c r="N285">
        <v>80.875</v>
      </c>
      <c r="O285">
        <v>9.5838140000000003</v>
      </c>
      <c r="P285">
        <v>0</v>
      </c>
      <c r="Q285">
        <v>1</v>
      </c>
      <c r="R285">
        <f t="shared" si="112"/>
        <v>0</v>
      </c>
      <c r="S285">
        <f t="shared" si="113"/>
        <v>0</v>
      </c>
      <c r="T285">
        <f t="shared" si="114"/>
        <v>0</v>
      </c>
      <c r="U285">
        <f t="shared" si="115"/>
        <v>0</v>
      </c>
      <c r="V285">
        <f t="shared" si="116"/>
        <v>0</v>
      </c>
      <c r="W285">
        <f t="shared" si="117"/>
        <v>0</v>
      </c>
      <c r="X285">
        <f t="shared" si="118"/>
        <v>0</v>
      </c>
      <c r="Y285">
        <f t="shared" si="119"/>
        <v>0</v>
      </c>
      <c r="Z285">
        <f t="shared" si="120"/>
        <v>0</v>
      </c>
      <c r="AA285">
        <f t="shared" si="121"/>
        <v>1</v>
      </c>
      <c r="AB285">
        <f t="shared" si="122"/>
        <v>0</v>
      </c>
      <c r="AC285">
        <f t="shared" si="123"/>
        <v>0</v>
      </c>
      <c r="AD285">
        <f t="shared" si="124"/>
        <v>0</v>
      </c>
      <c r="AE285">
        <f t="shared" si="125"/>
        <v>0</v>
      </c>
      <c r="AF285">
        <f t="shared" si="126"/>
        <v>1</v>
      </c>
      <c r="AG285">
        <f t="shared" si="127"/>
        <v>0</v>
      </c>
      <c r="AH285">
        <f t="shared" si="128"/>
        <v>0</v>
      </c>
      <c r="AI285">
        <f t="shared" si="129"/>
        <v>0</v>
      </c>
      <c r="AJ285">
        <f t="shared" si="130"/>
        <v>0</v>
      </c>
      <c r="AK285">
        <f t="shared" si="131"/>
        <v>0</v>
      </c>
      <c r="AL285">
        <f t="shared" si="132"/>
        <v>1</v>
      </c>
      <c r="AM285">
        <f t="shared" si="133"/>
        <v>0</v>
      </c>
      <c r="AN285">
        <f t="shared" si="134"/>
        <v>1</v>
      </c>
      <c r="AO285">
        <f t="shared" si="135"/>
        <v>0</v>
      </c>
      <c r="AP285">
        <f t="shared" si="136"/>
        <v>0</v>
      </c>
      <c r="AQ285">
        <f t="shared" si="137"/>
        <v>0</v>
      </c>
      <c r="AR285">
        <f t="shared" si="138"/>
        <v>0</v>
      </c>
      <c r="AS285">
        <f t="shared" si="139"/>
        <v>1</v>
      </c>
    </row>
    <row r="286" spans="2:45" x14ac:dyDescent="0.3">
      <c r="B286">
        <v>285</v>
      </c>
      <c r="C286" s="1">
        <v>40828</v>
      </c>
      <c r="D286">
        <v>4</v>
      </c>
      <c r="E286">
        <v>0</v>
      </c>
      <c r="F286">
        <v>10</v>
      </c>
      <c r="G286">
        <v>3</v>
      </c>
      <c r="H286">
        <v>3</v>
      </c>
      <c r="I286">
        <v>217</v>
      </c>
      <c r="J286">
        <v>2199</v>
      </c>
      <c r="K286" s="8">
        <v>2416</v>
      </c>
      <c r="L286">
        <v>22.276653</v>
      </c>
      <c r="M286">
        <v>25.885850000000001</v>
      </c>
      <c r="N286">
        <v>90.625</v>
      </c>
      <c r="O286">
        <v>16.626049999999999</v>
      </c>
      <c r="P286">
        <v>0</v>
      </c>
      <c r="Q286">
        <v>1</v>
      </c>
      <c r="R286">
        <f t="shared" si="112"/>
        <v>0</v>
      </c>
      <c r="S286">
        <f t="shared" si="113"/>
        <v>0</v>
      </c>
      <c r="T286">
        <f t="shared" si="114"/>
        <v>0</v>
      </c>
      <c r="U286">
        <f t="shared" si="115"/>
        <v>0</v>
      </c>
      <c r="V286">
        <f t="shared" si="116"/>
        <v>0</v>
      </c>
      <c r="W286">
        <f t="shared" si="117"/>
        <v>0</v>
      </c>
      <c r="X286">
        <f t="shared" si="118"/>
        <v>0</v>
      </c>
      <c r="Y286">
        <f t="shared" si="119"/>
        <v>0</v>
      </c>
      <c r="Z286">
        <f t="shared" si="120"/>
        <v>0</v>
      </c>
      <c r="AA286">
        <f t="shared" si="121"/>
        <v>1</v>
      </c>
      <c r="AB286">
        <f t="shared" si="122"/>
        <v>0</v>
      </c>
      <c r="AC286">
        <f t="shared" si="123"/>
        <v>0</v>
      </c>
      <c r="AD286">
        <f t="shared" si="124"/>
        <v>0</v>
      </c>
      <c r="AE286">
        <f t="shared" si="125"/>
        <v>0</v>
      </c>
      <c r="AF286">
        <f t="shared" si="126"/>
        <v>0</v>
      </c>
      <c r="AG286">
        <f t="shared" si="127"/>
        <v>1</v>
      </c>
      <c r="AH286">
        <f t="shared" si="128"/>
        <v>0</v>
      </c>
      <c r="AI286">
        <f t="shared" si="129"/>
        <v>0</v>
      </c>
      <c r="AJ286">
        <f t="shared" si="130"/>
        <v>0</v>
      </c>
      <c r="AK286">
        <f t="shared" si="131"/>
        <v>0</v>
      </c>
      <c r="AL286">
        <f t="shared" si="132"/>
        <v>0</v>
      </c>
      <c r="AM286">
        <f t="shared" si="133"/>
        <v>1</v>
      </c>
      <c r="AN286">
        <f t="shared" si="134"/>
        <v>1</v>
      </c>
      <c r="AO286">
        <f t="shared" si="135"/>
        <v>0</v>
      </c>
      <c r="AP286">
        <f t="shared" si="136"/>
        <v>0</v>
      </c>
      <c r="AQ286">
        <f t="shared" si="137"/>
        <v>0</v>
      </c>
      <c r="AR286">
        <f t="shared" si="138"/>
        <v>0</v>
      </c>
      <c r="AS286">
        <f t="shared" si="139"/>
        <v>1</v>
      </c>
    </row>
    <row r="287" spans="2:45" x14ac:dyDescent="0.3">
      <c r="B287">
        <v>286</v>
      </c>
      <c r="C287" s="1">
        <v>40829</v>
      </c>
      <c r="D287">
        <v>4</v>
      </c>
      <c r="E287">
        <v>0</v>
      </c>
      <c r="F287">
        <v>10</v>
      </c>
      <c r="G287">
        <v>4</v>
      </c>
      <c r="H287">
        <v>2</v>
      </c>
      <c r="I287">
        <v>290</v>
      </c>
      <c r="J287">
        <v>2623</v>
      </c>
      <c r="K287" s="8">
        <v>2913</v>
      </c>
      <c r="L287">
        <v>24.155847000000001</v>
      </c>
      <c r="M287">
        <v>27.590199999999999</v>
      </c>
      <c r="N287">
        <v>89.666700000000006</v>
      </c>
      <c r="O287">
        <v>9.4997290000000003</v>
      </c>
      <c r="P287">
        <v>0</v>
      </c>
      <c r="Q287">
        <v>1</v>
      </c>
      <c r="R287">
        <f t="shared" si="112"/>
        <v>0</v>
      </c>
      <c r="S287">
        <f t="shared" si="113"/>
        <v>0</v>
      </c>
      <c r="T287">
        <f t="shared" si="114"/>
        <v>0</v>
      </c>
      <c r="U287">
        <f t="shared" si="115"/>
        <v>0</v>
      </c>
      <c r="V287">
        <f t="shared" si="116"/>
        <v>0</v>
      </c>
      <c r="W287">
        <f t="shared" si="117"/>
        <v>0</v>
      </c>
      <c r="X287">
        <f t="shared" si="118"/>
        <v>0</v>
      </c>
      <c r="Y287">
        <f t="shared" si="119"/>
        <v>0</v>
      </c>
      <c r="Z287">
        <f t="shared" si="120"/>
        <v>0</v>
      </c>
      <c r="AA287">
        <f t="shared" si="121"/>
        <v>1</v>
      </c>
      <c r="AB287">
        <f t="shared" si="122"/>
        <v>0</v>
      </c>
      <c r="AC287">
        <f t="shared" si="123"/>
        <v>0</v>
      </c>
      <c r="AD287">
        <f t="shared" si="124"/>
        <v>0</v>
      </c>
      <c r="AE287">
        <f t="shared" si="125"/>
        <v>0</v>
      </c>
      <c r="AF287">
        <f t="shared" si="126"/>
        <v>0</v>
      </c>
      <c r="AG287">
        <f t="shared" si="127"/>
        <v>0</v>
      </c>
      <c r="AH287">
        <f t="shared" si="128"/>
        <v>1</v>
      </c>
      <c r="AI287">
        <f t="shared" si="129"/>
        <v>0</v>
      </c>
      <c r="AJ287">
        <f t="shared" si="130"/>
        <v>0</v>
      </c>
      <c r="AK287">
        <f t="shared" si="131"/>
        <v>0</v>
      </c>
      <c r="AL287">
        <f t="shared" si="132"/>
        <v>1</v>
      </c>
      <c r="AM287">
        <f t="shared" si="133"/>
        <v>0</v>
      </c>
      <c r="AN287">
        <f t="shared" si="134"/>
        <v>1</v>
      </c>
      <c r="AO287">
        <f t="shared" si="135"/>
        <v>0</v>
      </c>
      <c r="AP287">
        <f t="shared" si="136"/>
        <v>0</v>
      </c>
      <c r="AQ287">
        <f t="shared" si="137"/>
        <v>0</v>
      </c>
      <c r="AR287">
        <f t="shared" si="138"/>
        <v>0</v>
      </c>
      <c r="AS287">
        <f t="shared" si="139"/>
        <v>1</v>
      </c>
    </row>
    <row r="288" spans="2:45" x14ac:dyDescent="0.3">
      <c r="B288">
        <v>287</v>
      </c>
      <c r="C288" s="1">
        <v>40830</v>
      </c>
      <c r="D288">
        <v>4</v>
      </c>
      <c r="E288">
        <v>0</v>
      </c>
      <c r="F288">
        <v>10</v>
      </c>
      <c r="G288">
        <v>5</v>
      </c>
      <c r="H288">
        <v>2</v>
      </c>
      <c r="I288">
        <v>529</v>
      </c>
      <c r="J288">
        <v>3115</v>
      </c>
      <c r="K288" s="8">
        <v>3644</v>
      </c>
      <c r="L288">
        <v>22.584153000000001</v>
      </c>
      <c r="M288">
        <v>26.483750000000001</v>
      </c>
      <c r="N288">
        <v>71.625</v>
      </c>
      <c r="O288">
        <v>15.000161</v>
      </c>
      <c r="P288">
        <v>0</v>
      </c>
      <c r="Q288">
        <v>1</v>
      </c>
      <c r="R288">
        <f t="shared" si="112"/>
        <v>0</v>
      </c>
      <c r="S288">
        <f t="shared" si="113"/>
        <v>0</v>
      </c>
      <c r="T288">
        <f t="shared" si="114"/>
        <v>0</v>
      </c>
      <c r="U288">
        <f t="shared" si="115"/>
        <v>0</v>
      </c>
      <c r="V288">
        <f t="shared" si="116"/>
        <v>0</v>
      </c>
      <c r="W288">
        <f t="shared" si="117"/>
        <v>0</v>
      </c>
      <c r="X288">
        <f t="shared" si="118"/>
        <v>0</v>
      </c>
      <c r="Y288">
        <f t="shared" si="119"/>
        <v>0</v>
      </c>
      <c r="Z288">
        <f t="shared" si="120"/>
        <v>0</v>
      </c>
      <c r="AA288">
        <f t="shared" si="121"/>
        <v>1</v>
      </c>
      <c r="AB288">
        <f t="shared" si="122"/>
        <v>0</v>
      </c>
      <c r="AC288">
        <f t="shared" si="123"/>
        <v>0</v>
      </c>
      <c r="AD288">
        <f t="shared" si="124"/>
        <v>0</v>
      </c>
      <c r="AE288">
        <f t="shared" si="125"/>
        <v>0</v>
      </c>
      <c r="AF288">
        <f t="shared" si="126"/>
        <v>0</v>
      </c>
      <c r="AG288">
        <f t="shared" si="127"/>
        <v>0</v>
      </c>
      <c r="AH288">
        <f t="shared" si="128"/>
        <v>0</v>
      </c>
      <c r="AI288">
        <f t="shared" si="129"/>
        <v>1</v>
      </c>
      <c r="AJ288">
        <f t="shared" si="130"/>
        <v>0</v>
      </c>
      <c r="AK288">
        <f t="shared" si="131"/>
        <v>0</v>
      </c>
      <c r="AL288">
        <f t="shared" si="132"/>
        <v>1</v>
      </c>
      <c r="AM288">
        <f t="shared" si="133"/>
        <v>0</v>
      </c>
      <c r="AN288">
        <f t="shared" si="134"/>
        <v>1</v>
      </c>
      <c r="AO288">
        <f t="shared" si="135"/>
        <v>0</v>
      </c>
      <c r="AP288">
        <f t="shared" si="136"/>
        <v>0</v>
      </c>
      <c r="AQ288">
        <f t="shared" si="137"/>
        <v>0</v>
      </c>
      <c r="AR288">
        <f t="shared" si="138"/>
        <v>0</v>
      </c>
      <c r="AS288">
        <f t="shared" si="139"/>
        <v>1</v>
      </c>
    </row>
    <row r="289" spans="2:45" x14ac:dyDescent="0.3">
      <c r="B289">
        <v>288</v>
      </c>
      <c r="C289" s="1">
        <v>40831</v>
      </c>
      <c r="D289">
        <v>4</v>
      </c>
      <c r="E289">
        <v>0</v>
      </c>
      <c r="F289">
        <v>10</v>
      </c>
      <c r="G289">
        <v>6</v>
      </c>
      <c r="H289">
        <v>1</v>
      </c>
      <c r="I289">
        <v>1899</v>
      </c>
      <c r="J289">
        <v>3318</v>
      </c>
      <c r="K289" s="8">
        <v>5217</v>
      </c>
      <c r="L289">
        <v>20.773347000000001</v>
      </c>
      <c r="M289">
        <v>24.936250000000001</v>
      </c>
      <c r="N289">
        <v>48.333300000000001</v>
      </c>
      <c r="O289">
        <v>17.291561000000002</v>
      </c>
      <c r="P289">
        <v>0</v>
      </c>
      <c r="Q289">
        <v>0</v>
      </c>
      <c r="R289">
        <f t="shared" si="112"/>
        <v>0</v>
      </c>
      <c r="S289">
        <f t="shared" si="113"/>
        <v>0</v>
      </c>
      <c r="T289">
        <f t="shared" si="114"/>
        <v>0</v>
      </c>
      <c r="U289">
        <f t="shared" si="115"/>
        <v>0</v>
      </c>
      <c r="V289">
        <f t="shared" si="116"/>
        <v>0</v>
      </c>
      <c r="W289">
        <f t="shared" si="117"/>
        <v>0</v>
      </c>
      <c r="X289">
        <f t="shared" si="118"/>
        <v>0</v>
      </c>
      <c r="Y289">
        <f t="shared" si="119"/>
        <v>0</v>
      </c>
      <c r="Z289">
        <f t="shared" si="120"/>
        <v>0</v>
      </c>
      <c r="AA289">
        <f t="shared" si="121"/>
        <v>1</v>
      </c>
      <c r="AB289">
        <f t="shared" si="122"/>
        <v>0</v>
      </c>
      <c r="AC289">
        <f t="shared" si="123"/>
        <v>0</v>
      </c>
      <c r="AD289">
        <f t="shared" si="124"/>
        <v>0</v>
      </c>
      <c r="AE289">
        <f t="shared" si="125"/>
        <v>0</v>
      </c>
      <c r="AF289">
        <f t="shared" si="126"/>
        <v>0</v>
      </c>
      <c r="AG289">
        <f t="shared" si="127"/>
        <v>0</v>
      </c>
      <c r="AH289">
        <f t="shared" si="128"/>
        <v>0</v>
      </c>
      <c r="AI289">
        <f t="shared" si="129"/>
        <v>0</v>
      </c>
      <c r="AJ289">
        <f t="shared" si="130"/>
        <v>1</v>
      </c>
      <c r="AK289">
        <f t="shared" si="131"/>
        <v>1</v>
      </c>
      <c r="AL289">
        <f t="shared" si="132"/>
        <v>0</v>
      </c>
      <c r="AM289">
        <f t="shared" si="133"/>
        <v>0</v>
      </c>
      <c r="AN289">
        <f t="shared" si="134"/>
        <v>1</v>
      </c>
      <c r="AO289">
        <f t="shared" si="135"/>
        <v>0</v>
      </c>
      <c r="AP289">
        <f t="shared" si="136"/>
        <v>0</v>
      </c>
      <c r="AQ289">
        <f t="shared" si="137"/>
        <v>0</v>
      </c>
      <c r="AR289">
        <f t="shared" si="138"/>
        <v>0</v>
      </c>
      <c r="AS289">
        <f t="shared" si="139"/>
        <v>1</v>
      </c>
    </row>
    <row r="290" spans="2:45" x14ac:dyDescent="0.3">
      <c r="B290">
        <v>289</v>
      </c>
      <c r="C290" s="1">
        <v>40832</v>
      </c>
      <c r="D290">
        <v>4</v>
      </c>
      <c r="E290">
        <v>0</v>
      </c>
      <c r="F290">
        <v>10</v>
      </c>
      <c r="G290">
        <v>0</v>
      </c>
      <c r="H290">
        <v>1</v>
      </c>
      <c r="I290">
        <v>1748</v>
      </c>
      <c r="J290">
        <v>3293</v>
      </c>
      <c r="K290" s="8">
        <v>5041</v>
      </c>
      <c r="L290">
        <v>20.978346999999999</v>
      </c>
      <c r="M290">
        <v>25.157699999999998</v>
      </c>
      <c r="N290">
        <v>48.666699999999999</v>
      </c>
      <c r="O290">
        <v>18.875039000000001</v>
      </c>
      <c r="P290">
        <v>0</v>
      </c>
      <c r="Q290">
        <v>0</v>
      </c>
      <c r="R290">
        <f t="shared" si="112"/>
        <v>0</v>
      </c>
      <c r="S290">
        <f t="shared" si="113"/>
        <v>0</v>
      </c>
      <c r="T290">
        <f t="shared" si="114"/>
        <v>0</v>
      </c>
      <c r="U290">
        <f t="shared" si="115"/>
        <v>0</v>
      </c>
      <c r="V290">
        <f t="shared" si="116"/>
        <v>0</v>
      </c>
      <c r="W290">
        <f t="shared" si="117"/>
        <v>0</v>
      </c>
      <c r="X290">
        <f t="shared" si="118"/>
        <v>0</v>
      </c>
      <c r="Y290">
        <f t="shared" si="119"/>
        <v>0</v>
      </c>
      <c r="Z290">
        <f t="shared" si="120"/>
        <v>0</v>
      </c>
      <c r="AA290">
        <f t="shared" si="121"/>
        <v>1</v>
      </c>
      <c r="AB290">
        <f t="shared" si="122"/>
        <v>0</v>
      </c>
      <c r="AC290">
        <f t="shared" si="123"/>
        <v>0</v>
      </c>
      <c r="AD290">
        <f t="shared" si="124"/>
        <v>1</v>
      </c>
      <c r="AE290">
        <f t="shared" si="125"/>
        <v>0</v>
      </c>
      <c r="AF290">
        <f t="shared" si="126"/>
        <v>0</v>
      </c>
      <c r="AG290">
        <f t="shared" si="127"/>
        <v>0</v>
      </c>
      <c r="AH290">
        <f t="shared" si="128"/>
        <v>0</v>
      </c>
      <c r="AI290">
        <f t="shared" si="129"/>
        <v>0</v>
      </c>
      <c r="AJ290">
        <f t="shared" si="130"/>
        <v>0</v>
      </c>
      <c r="AK290">
        <f t="shared" si="131"/>
        <v>1</v>
      </c>
      <c r="AL290">
        <f t="shared" si="132"/>
        <v>0</v>
      </c>
      <c r="AM290">
        <f t="shared" si="133"/>
        <v>0</v>
      </c>
      <c r="AN290">
        <f t="shared" si="134"/>
        <v>1</v>
      </c>
      <c r="AO290">
        <f t="shared" si="135"/>
        <v>0</v>
      </c>
      <c r="AP290">
        <f t="shared" si="136"/>
        <v>0</v>
      </c>
      <c r="AQ290">
        <f t="shared" si="137"/>
        <v>0</v>
      </c>
      <c r="AR290">
        <f t="shared" si="138"/>
        <v>0</v>
      </c>
      <c r="AS290">
        <f t="shared" si="139"/>
        <v>1</v>
      </c>
    </row>
    <row r="291" spans="2:45" x14ac:dyDescent="0.3">
      <c r="B291">
        <v>290</v>
      </c>
      <c r="C291" s="1">
        <v>40833</v>
      </c>
      <c r="D291">
        <v>4</v>
      </c>
      <c r="E291">
        <v>0</v>
      </c>
      <c r="F291">
        <v>10</v>
      </c>
      <c r="G291">
        <v>1</v>
      </c>
      <c r="H291">
        <v>1</v>
      </c>
      <c r="I291">
        <v>713</v>
      </c>
      <c r="J291">
        <v>3857</v>
      </c>
      <c r="K291" s="8">
        <v>4570</v>
      </c>
      <c r="L291">
        <v>21.900846999999999</v>
      </c>
      <c r="M291">
        <v>25.536249999999999</v>
      </c>
      <c r="N291">
        <v>57.958300000000001</v>
      </c>
      <c r="O291">
        <v>11.750393000000001</v>
      </c>
      <c r="P291">
        <v>0</v>
      </c>
      <c r="Q291">
        <v>1</v>
      </c>
      <c r="R291">
        <f t="shared" si="112"/>
        <v>0</v>
      </c>
      <c r="S291">
        <f t="shared" si="113"/>
        <v>0</v>
      </c>
      <c r="T291">
        <f t="shared" si="114"/>
        <v>0</v>
      </c>
      <c r="U291">
        <f t="shared" si="115"/>
        <v>0</v>
      </c>
      <c r="V291">
        <f t="shared" si="116"/>
        <v>0</v>
      </c>
      <c r="W291">
        <f t="shared" si="117"/>
        <v>0</v>
      </c>
      <c r="X291">
        <f t="shared" si="118"/>
        <v>0</v>
      </c>
      <c r="Y291">
        <f t="shared" si="119"/>
        <v>0</v>
      </c>
      <c r="Z291">
        <f t="shared" si="120"/>
        <v>0</v>
      </c>
      <c r="AA291">
        <f t="shared" si="121"/>
        <v>1</v>
      </c>
      <c r="AB291">
        <f t="shared" si="122"/>
        <v>0</v>
      </c>
      <c r="AC291">
        <f t="shared" si="123"/>
        <v>0</v>
      </c>
      <c r="AD291">
        <f t="shared" si="124"/>
        <v>0</v>
      </c>
      <c r="AE291">
        <f t="shared" si="125"/>
        <v>1</v>
      </c>
      <c r="AF291">
        <f t="shared" si="126"/>
        <v>0</v>
      </c>
      <c r="AG291">
        <f t="shared" si="127"/>
        <v>0</v>
      </c>
      <c r="AH291">
        <f t="shared" si="128"/>
        <v>0</v>
      </c>
      <c r="AI291">
        <f t="shared" si="129"/>
        <v>0</v>
      </c>
      <c r="AJ291">
        <f t="shared" si="130"/>
        <v>0</v>
      </c>
      <c r="AK291">
        <f t="shared" si="131"/>
        <v>1</v>
      </c>
      <c r="AL291">
        <f t="shared" si="132"/>
        <v>0</v>
      </c>
      <c r="AM291">
        <f t="shared" si="133"/>
        <v>0</v>
      </c>
      <c r="AN291">
        <f t="shared" si="134"/>
        <v>1</v>
      </c>
      <c r="AO291">
        <f t="shared" si="135"/>
        <v>0</v>
      </c>
      <c r="AP291">
        <f t="shared" si="136"/>
        <v>0</v>
      </c>
      <c r="AQ291">
        <f t="shared" si="137"/>
        <v>0</v>
      </c>
      <c r="AR291">
        <f t="shared" si="138"/>
        <v>0</v>
      </c>
      <c r="AS291">
        <f t="shared" si="139"/>
        <v>1</v>
      </c>
    </row>
    <row r="292" spans="2:45" x14ac:dyDescent="0.3">
      <c r="B292">
        <v>291</v>
      </c>
      <c r="C292" s="1">
        <v>40834</v>
      </c>
      <c r="D292">
        <v>4</v>
      </c>
      <c r="E292">
        <v>0</v>
      </c>
      <c r="F292">
        <v>10</v>
      </c>
      <c r="G292">
        <v>2</v>
      </c>
      <c r="H292">
        <v>2</v>
      </c>
      <c r="I292">
        <v>637</v>
      </c>
      <c r="J292">
        <v>4111</v>
      </c>
      <c r="K292" s="8">
        <v>4748</v>
      </c>
      <c r="L292">
        <v>21.8325</v>
      </c>
      <c r="M292">
        <v>26.136050000000001</v>
      </c>
      <c r="N292">
        <v>70.166700000000006</v>
      </c>
      <c r="O292">
        <v>7.3758290000000004</v>
      </c>
      <c r="P292">
        <v>0</v>
      </c>
      <c r="Q292">
        <v>1</v>
      </c>
      <c r="R292">
        <f t="shared" si="112"/>
        <v>0</v>
      </c>
      <c r="S292">
        <f t="shared" si="113"/>
        <v>0</v>
      </c>
      <c r="T292">
        <f t="shared" si="114"/>
        <v>0</v>
      </c>
      <c r="U292">
        <f t="shared" si="115"/>
        <v>0</v>
      </c>
      <c r="V292">
        <f t="shared" si="116"/>
        <v>0</v>
      </c>
      <c r="W292">
        <f t="shared" si="117"/>
        <v>0</v>
      </c>
      <c r="X292">
        <f t="shared" si="118"/>
        <v>0</v>
      </c>
      <c r="Y292">
        <f t="shared" si="119"/>
        <v>0</v>
      </c>
      <c r="Z292">
        <f t="shared" si="120"/>
        <v>0</v>
      </c>
      <c r="AA292">
        <f t="shared" si="121"/>
        <v>1</v>
      </c>
      <c r="AB292">
        <f t="shared" si="122"/>
        <v>0</v>
      </c>
      <c r="AC292">
        <f t="shared" si="123"/>
        <v>0</v>
      </c>
      <c r="AD292">
        <f t="shared" si="124"/>
        <v>0</v>
      </c>
      <c r="AE292">
        <f t="shared" si="125"/>
        <v>0</v>
      </c>
      <c r="AF292">
        <f t="shared" si="126"/>
        <v>1</v>
      </c>
      <c r="AG292">
        <f t="shared" si="127"/>
        <v>0</v>
      </c>
      <c r="AH292">
        <f t="shared" si="128"/>
        <v>0</v>
      </c>
      <c r="AI292">
        <f t="shared" si="129"/>
        <v>0</v>
      </c>
      <c r="AJ292">
        <f t="shared" si="130"/>
        <v>0</v>
      </c>
      <c r="AK292">
        <f t="shared" si="131"/>
        <v>0</v>
      </c>
      <c r="AL292">
        <f t="shared" si="132"/>
        <v>1</v>
      </c>
      <c r="AM292">
        <f t="shared" si="133"/>
        <v>0</v>
      </c>
      <c r="AN292">
        <f t="shared" si="134"/>
        <v>1</v>
      </c>
      <c r="AO292">
        <f t="shared" si="135"/>
        <v>0</v>
      </c>
      <c r="AP292">
        <f t="shared" si="136"/>
        <v>0</v>
      </c>
      <c r="AQ292">
        <f t="shared" si="137"/>
        <v>0</v>
      </c>
      <c r="AR292">
        <f t="shared" si="138"/>
        <v>0</v>
      </c>
      <c r="AS292">
        <f t="shared" si="139"/>
        <v>1</v>
      </c>
    </row>
    <row r="293" spans="2:45" x14ac:dyDescent="0.3">
      <c r="B293">
        <v>292</v>
      </c>
      <c r="C293" s="1">
        <v>40835</v>
      </c>
      <c r="D293">
        <v>4</v>
      </c>
      <c r="E293">
        <v>0</v>
      </c>
      <c r="F293">
        <v>10</v>
      </c>
      <c r="G293">
        <v>3</v>
      </c>
      <c r="H293">
        <v>3</v>
      </c>
      <c r="I293">
        <v>254</v>
      </c>
      <c r="J293">
        <v>2170</v>
      </c>
      <c r="K293" s="8">
        <v>2424</v>
      </c>
      <c r="L293">
        <v>22.211299</v>
      </c>
      <c r="M293">
        <v>25.692399999999999</v>
      </c>
      <c r="N293">
        <v>89.521699999999996</v>
      </c>
      <c r="O293">
        <v>16.303712999999998</v>
      </c>
      <c r="P293">
        <v>0</v>
      </c>
      <c r="Q293">
        <v>1</v>
      </c>
      <c r="R293">
        <f t="shared" si="112"/>
        <v>0</v>
      </c>
      <c r="S293">
        <f t="shared" si="113"/>
        <v>0</v>
      </c>
      <c r="T293">
        <f t="shared" si="114"/>
        <v>0</v>
      </c>
      <c r="U293">
        <f t="shared" si="115"/>
        <v>0</v>
      </c>
      <c r="V293">
        <f t="shared" si="116"/>
        <v>0</v>
      </c>
      <c r="W293">
        <f t="shared" si="117"/>
        <v>0</v>
      </c>
      <c r="X293">
        <f t="shared" si="118"/>
        <v>0</v>
      </c>
      <c r="Y293">
        <f t="shared" si="119"/>
        <v>0</v>
      </c>
      <c r="Z293">
        <f t="shared" si="120"/>
        <v>0</v>
      </c>
      <c r="AA293">
        <f t="shared" si="121"/>
        <v>1</v>
      </c>
      <c r="AB293">
        <f t="shared" si="122"/>
        <v>0</v>
      </c>
      <c r="AC293">
        <f t="shared" si="123"/>
        <v>0</v>
      </c>
      <c r="AD293">
        <f t="shared" si="124"/>
        <v>0</v>
      </c>
      <c r="AE293">
        <f t="shared" si="125"/>
        <v>0</v>
      </c>
      <c r="AF293">
        <f t="shared" si="126"/>
        <v>0</v>
      </c>
      <c r="AG293">
        <f t="shared" si="127"/>
        <v>1</v>
      </c>
      <c r="AH293">
        <f t="shared" si="128"/>
        <v>0</v>
      </c>
      <c r="AI293">
        <f t="shared" si="129"/>
        <v>0</v>
      </c>
      <c r="AJ293">
        <f t="shared" si="130"/>
        <v>0</v>
      </c>
      <c r="AK293">
        <f t="shared" si="131"/>
        <v>0</v>
      </c>
      <c r="AL293">
        <f t="shared" si="132"/>
        <v>0</v>
      </c>
      <c r="AM293">
        <f t="shared" si="133"/>
        <v>1</v>
      </c>
      <c r="AN293">
        <f t="shared" si="134"/>
        <v>1</v>
      </c>
      <c r="AO293">
        <f t="shared" si="135"/>
        <v>0</v>
      </c>
      <c r="AP293">
        <f t="shared" si="136"/>
        <v>0</v>
      </c>
      <c r="AQ293">
        <f t="shared" si="137"/>
        <v>0</v>
      </c>
      <c r="AR293">
        <f t="shared" si="138"/>
        <v>0</v>
      </c>
      <c r="AS293">
        <f t="shared" si="139"/>
        <v>1</v>
      </c>
    </row>
    <row r="294" spans="2:45" x14ac:dyDescent="0.3">
      <c r="B294">
        <v>293</v>
      </c>
      <c r="C294" s="1">
        <v>40836</v>
      </c>
      <c r="D294">
        <v>4</v>
      </c>
      <c r="E294">
        <v>0</v>
      </c>
      <c r="F294">
        <v>10</v>
      </c>
      <c r="G294">
        <v>4</v>
      </c>
      <c r="H294">
        <v>1</v>
      </c>
      <c r="I294">
        <v>471</v>
      </c>
      <c r="J294">
        <v>3724</v>
      </c>
      <c r="K294" s="8">
        <v>4195</v>
      </c>
      <c r="L294">
        <v>19.509153000000001</v>
      </c>
      <c r="M294">
        <v>23.326250000000002</v>
      </c>
      <c r="N294">
        <v>63.625</v>
      </c>
      <c r="O294">
        <v>28.292425000000001</v>
      </c>
      <c r="P294">
        <v>0</v>
      </c>
      <c r="Q294">
        <v>1</v>
      </c>
      <c r="R294">
        <f t="shared" si="112"/>
        <v>0</v>
      </c>
      <c r="S294">
        <f t="shared" si="113"/>
        <v>0</v>
      </c>
      <c r="T294">
        <f t="shared" si="114"/>
        <v>0</v>
      </c>
      <c r="U294">
        <f t="shared" si="115"/>
        <v>0</v>
      </c>
      <c r="V294">
        <f t="shared" si="116"/>
        <v>0</v>
      </c>
      <c r="W294">
        <f t="shared" si="117"/>
        <v>0</v>
      </c>
      <c r="X294">
        <f t="shared" si="118"/>
        <v>0</v>
      </c>
      <c r="Y294">
        <f t="shared" si="119"/>
        <v>0</v>
      </c>
      <c r="Z294">
        <f t="shared" si="120"/>
        <v>0</v>
      </c>
      <c r="AA294">
        <f t="shared" si="121"/>
        <v>1</v>
      </c>
      <c r="AB294">
        <f t="shared" si="122"/>
        <v>0</v>
      </c>
      <c r="AC294">
        <f t="shared" si="123"/>
        <v>0</v>
      </c>
      <c r="AD294">
        <f t="shared" si="124"/>
        <v>0</v>
      </c>
      <c r="AE294">
        <f t="shared" si="125"/>
        <v>0</v>
      </c>
      <c r="AF294">
        <f t="shared" si="126"/>
        <v>0</v>
      </c>
      <c r="AG294">
        <f t="shared" si="127"/>
        <v>0</v>
      </c>
      <c r="AH294">
        <f t="shared" si="128"/>
        <v>1</v>
      </c>
      <c r="AI294">
        <f t="shared" si="129"/>
        <v>0</v>
      </c>
      <c r="AJ294">
        <f t="shared" si="130"/>
        <v>0</v>
      </c>
      <c r="AK294">
        <f t="shared" si="131"/>
        <v>1</v>
      </c>
      <c r="AL294">
        <f t="shared" si="132"/>
        <v>0</v>
      </c>
      <c r="AM294">
        <f t="shared" si="133"/>
        <v>0</v>
      </c>
      <c r="AN294">
        <f t="shared" si="134"/>
        <v>1</v>
      </c>
      <c r="AO294">
        <f t="shared" si="135"/>
        <v>0</v>
      </c>
      <c r="AP294">
        <f t="shared" si="136"/>
        <v>0</v>
      </c>
      <c r="AQ294">
        <f t="shared" si="137"/>
        <v>0</v>
      </c>
      <c r="AR294">
        <f t="shared" si="138"/>
        <v>0</v>
      </c>
      <c r="AS294">
        <f t="shared" si="139"/>
        <v>1</v>
      </c>
    </row>
    <row r="295" spans="2:45" x14ac:dyDescent="0.3">
      <c r="B295">
        <v>294</v>
      </c>
      <c r="C295" s="1">
        <v>40837</v>
      </c>
      <c r="D295">
        <v>4</v>
      </c>
      <c r="E295">
        <v>0</v>
      </c>
      <c r="F295">
        <v>10</v>
      </c>
      <c r="G295">
        <v>5</v>
      </c>
      <c r="H295">
        <v>1</v>
      </c>
      <c r="I295">
        <v>676</v>
      </c>
      <c r="J295">
        <v>3628</v>
      </c>
      <c r="K295" s="8">
        <v>4304</v>
      </c>
      <c r="L295">
        <v>17.5275</v>
      </c>
      <c r="M295">
        <v>21.1798</v>
      </c>
      <c r="N295">
        <v>57.416699999999999</v>
      </c>
      <c r="O295">
        <v>14.833532</v>
      </c>
      <c r="P295">
        <v>0</v>
      </c>
      <c r="Q295">
        <v>1</v>
      </c>
      <c r="R295">
        <f t="shared" si="112"/>
        <v>0</v>
      </c>
      <c r="S295">
        <f t="shared" si="113"/>
        <v>0</v>
      </c>
      <c r="T295">
        <f t="shared" si="114"/>
        <v>0</v>
      </c>
      <c r="U295">
        <f t="shared" si="115"/>
        <v>0</v>
      </c>
      <c r="V295">
        <f t="shared" si="116"/>
        <v>0</v>
      </c>
      <c r="W295">
        <f t="shared" si="117"/>
        <v>0</v>
      </c>
      <c r="X295">
        <f t="shared" si="118"/>
        <v>0</v>
      </c>
      <c r="Y295">
        <f t="shared" si="119"/>
        <v>0</v>
      </c>
      <c r="Z295">
        <f t="shared" si="120"/>
        <v>0</v>
      </c>
      <c r="AA295">
        <f t="shared" si="121"/>
        <v>1</v>
      </c>
      <c r="AB295">
        <f t="shared" si="122"/>
        <v>0</v>
      </c>
      <c r="AC295">
        <f t="shared" si="123"/>
        <v>0</v>
      </c>
      <c r="AD295">
        <f t="shared" si="124"/>
        <v>0</v>
      </c>
      <c r="AE295">
        <f t="shared" si="125"/>
        <v>0</v>
      </c>
      <c r="AF295">
        <f t="shared" si="126"/>
        <v>0</v>
      </c>
      <c r="AG295">
        <f t="shared" si="127"/>
        <v>0</v>
      </c>
      <c r="AH295">
        <f t="shared" si="128"/>
        <v>0</v>
      </c>
      <c r="AI295">
        <f t="shared" si="129"/>
        <v>1</v>
      </c>
      <c r="AJ295">
        <f t="shared" si="130"/>
        <v>0</v>
      </c>
      <c r="AK295">
        <f t="shared" si="131"/>
        <v>1</v>
      </c>
      <c r="AL295">
        <f t="shared" si="132"/>
        <v>0</v>
      </c>
      <c r="AM295">
        <f t="shared" si="133"/>
        <v>0</v>
      </c>
      <c r="AN295">
        <f t="shared" si="134"/>
        <v>1</v>
      </c>
      <c r="AO295">
        <f t="shared" si="135"/>
        <v>0</v>
      </c>
      <c r="AP295">
        <f t="shared" si="136"/>
        <v>0</v>
      </c>
      <c r="AQ295">
        <f t="shared" si="137"/>
        <v>0</v>
      </c>
      <c r="AR295">
        <f t="shared" si="138"/>
        <v>0</v>
      </c>
      <c r="AS295">
        <f t="shared" si="139"/>
        <v>1</v>
      </c>
    </row>
    <row r="296" spans="2:45" x14ac:dyDescent="0.3">
      <c r="B296">
        <v>295</v>
      </c>
      <c r="C296" s="1">
        <v>40838</v>
      </c>
      <c r="D296">
        <v>4</v>
      </c>
      <c r="E296">
        <v>0</v>
      </c>
      <c r="F296">
        <v>10</v>
      </c>
      <c r="G296">
        <v>6</v>
      </c>
      <c r="H296">
        <v>1</v>
      </c>
      <c r="I296">
        <v>1499</v>
      </c>
      <c r="J296">
        <v>2809</v>
      </c>
      <c r="K296" s="8">
        <v>4308</v>
      </c>
      <c r="L296">
        <v>17.322500000000002</v>
      </c>
      <c r="M296">
        <v>21.2746</v>
      </c>
      <c r="N296">
        <v>62.916699999999999</v>
      </c>
      <c r="O296">
        <v>6.2086689000000002</v>
      </c>
      <c r="P296">
        <v>0</v>
      </c>
      <c r="Q296">
        <v>0</v>
      </c>
      <c r="R296">
        <f t="shared" si="112"/>
        <v>0</v>
      </c>
      <c r="S296">
        <f t="shared" si="113"/>
        <v>0</v>
      </c>
      <c r="T296">
        <f t="shared" si="114"/>
        <v>0</v>
      </c>
      <c r="U296">
        <f t="shared" si="115"/>
        <v>0</v>
      </c>
      <c r="V296">
        <f t="shared" si="116"/>
        <v>0</v>
      </c>
      <c r="W296">
        <f t="shared" si="117"/>
        <v>0</v>
      </c>
      <c r="X296">
        <f t="shared" si="118"/>
        <v>0</v>
      </c>
      <c r="Y296">
        <f t="shared" si="119"/>
        <v>0</v>
      </c>
      <c r="Z296">
        <f t="shared" si="120"/>
        <v>0</v>
      </c>
      <c r="AA296">
        <f t="shared" si="121"/>
        <v>1</v>
      </c>
      <c r="AB296">
        <f t="shared" si="122"/>
        <v>0</v>
      </c>
      <c r="AC296">
        <f t="shared" si="123"/>
        <v>0</v>
      </c>
      <c r="AD296">
        <f t="shared" si="124"/>
        <v>0</v>
      </c>
      <c r="AE296">
        <f t="shared" si="125"/>
        <v>0</v>
      </c>
      <c r="AF296">
        <f t="shared" si="126"/>
        <v>0</v>
      </c>
      <c r="AG296">
        <f t="shared" si="127"/>
        <v>0</v>
      </c>
      <c r="AH296">
        <f t="shared" si="128"/>
        <v>0</v>
      </c>
      <c r="AI296">
        <f t="shared" si="129"/>
        <v>0</v>
      </c>
      <c r="AJ296">
        <f t="shared" si="130"/>
        <v>1</v>
      </c>
      <c r="AK296">
        <f t="shared" si="131"/>
        <v>1</v>
      </c>
      <c r="AL296">
        <f t="shared" si="132"/>
        <v>0</v>
      </c>
      <c r="AM296">
        <f t="shared" si="133"/>
        <v>0</v>
      </c>
      <c r="AN296">
        <f t="shared" si="134"/>
        <v>1</v>
      </c>
      <c r="AO296">
        <f t="shared" si="135"/>
        <v>0</v>
      </c>
      <c r="AP296">
        <f t="shared" si="136"/>
        <v>0</v>
      </c>
      <c r="AQ296">
        <f t="shared" si="137"/>
        <v>0</v>
      </c>
      <c r="AR296">
        <f t="shared" si="138"/>
        <v>0</v>
      </c>
      <c r="AS296">
        <f t="shared" si="139"/>
        <v>1</v>
      </c>
    </row>
    <row r="297" spans="2:45" x14ac:dyDescent="0.3">
      <c r="B297">
        <v>296</v>
      </c>
      <c r="C297" s="1">
        <v>40839</v>
      </c>
      <c r="D297">
        <v>4</v>
      </c>
      <c r="E297">
        <v>0</v>
      </c>
      <c r="F297">
        <v>10</v>
      </c>
      <c r="G297">
        <v>0</v>
      </c>
      <c r="H297">
        <v>1</v>
      </c>
      <c r="I297">
        <v>1619</v>
      </c>
      <c r="J297">
        <v>2762</v>
      </c>
      <c r="K297" s="8">
        <v>4381</v>
      </c>
      <c r="L297">
        <v>17.288347000000002</v>
      </c>
      <c r="M297">
        <v>21.11665</v>
      </c>
      <c r="N297">
        <v>74.125</v>
      </c>
      <c r="O297">
        <v>6.6673375000000004</v>
      </c>
      <c r="P297">
        <v>0</v>
      </c>
      <c r="Q297">
        <v>0</v>
      </c>
      <c r="R297">
        <f t="shared" si="112"/>
        <v>0</v>
      </c>
      <c r="S297">
        <f t="shared" si="113"/>
        <v>0</v>
      </c>
      <c r="T297">
        <f t="shared" si="114"/>
        <v>0</v>
      </c>
      <c r="U297">
        <f t="shared" si="115"/>
        <v>0</v>
      </c>
      <c r="V297">
        <f t="shared" si="116"/>
        <v>0</v>
      </c>
      <c r="W297">
        <f t="shared" si="117"/>
        <v>0</v>
      </c>
      <c r="X297">
        <f t="shared" si="118"/>
        <v>0</v>
      </c>
      <c r="Y297">
        <f t="shared" si="119"/>
        <v>0</v>
      </c>
      <c r="Z297">
        <f t="shared" si="120"/>
        <v>0</v>
      </c>
      <c r="AA297">
        <f t="shared" si="121"/>
        <v>1</v>
      </c>
      <c r="AB297">
        <f t="shared" si="122"/>
        <v>0</v>
      </c>
      <c r="AC297">
        <f t="shared" si="123"/>
        <v>0</v>
      </c>
      <c r="AD297">
        <f t="shared" si="124"/>
        <v>1</v>
      </c>
      <c r="AE297">
        <f t="shared" si="125"/>
        <v>0</v>
      </c>
      <c r="AF297">
        <f t="shared" si="126"/>
        <v>0</v>
      </c>
      <c r="AG297">
        <f t="shared" si="127"/>
        <v>0</v>
      </c>
      <c r="AH297">
        <f t="shared" si="128"/>
        <v>0</v>
      </c>
      <c r="AI297">
        <f t="shared" si="129"/>
        <v>0</v>
      </c>
      <c r="AJ297">
        <f t="shared" si="130"/>
        <v>0</v>
      </c>
      <c r="AK297">
        <f t="shared" si="131"/>
        <v>1</v>
      </c>
      <c r="AL297">
        <f t="shared" si="132"/>
        <v>0</v>
      </c>
      <c r="AM297">
        <f t="shared" si="133"/>
        <v>0</v>
      </c>
      <c r="AN297">
        <f t="shared" si="134"/>
        <v>1</v>
      </c>
      <c r="AO297">
        <f t="shared" si="135"/>
        <v>0</v>
      </c>
      <c r="AP297">
        <f t="shared" si="136"/>
        <v>0</v>
      </c>
      <c r="AQ297">
        <f t="shared" si="137"/>
        <v>0</v>
      </c>
      <c r="AR297">
        <f t="shared" si="138"/>
        <v>0</v>
      </c>
      <c r="AS297">
        <f t="shared" si="139"/>
        <v>1</v>
      </c>
    </row>
    <row r="298" spans="2:45" x14ac:dyDescent="0.3">
      <c r="B298">
        <v>297</v>
      </c>
      <c r="C298" s="1">
        <v>40840</v>
      </c>
      <c r="D298">
        <v>4</v>
      </c>
      <c r="E298">
        <v>0</v>
      </c>
      <c r="F298">
        <v>10</v>
      </c>
      <c r="G298">
        <v>1</v>
      </c>
      <c r="H298">
        <v>1</v>
      </c>
      <c r="I298">
        <v>699</v>
      </c>
      <c r="J298">
        <v>3488</v>
      </c>
      <c r="K298" s="8">
        <v>4187</v>
      </c>
      <c r="L298">
        <v>18.996652999999998</v>
      </c>
      <c r="M298">
        <v>22.853349999999999</v>
      </c>
      <c r="N298">
        <v>77.208299999999994</v>
      </c>
      <c r="O298">
        <v>7.9590639999999997</v>
      </c>
      <c r="P298">
        <v>0</v>
      </c>
      <c r="Q298">
        <v>1</v>
      </c>
      <c r="R298">
        <f t="shared" si="112"/>
        <v>0</v>
      </c>
      <c r="S298">
        <f t="shared" si="113"/>
        <v>0</v>
      </c>
      <c r="T298">
        <f t="shared" si="114"/>
        <v>0</v>
      </c>
      <c r="U298">
        <f t="shared" si="115"/>
        <v>0</v>
      </c>
      <c r="V298">
        <f t="shared" si="116"/>
        <v>0</v>
      </c>
      <c r="W298">
        <f t="shared" si="117"/>
        <v>0</v>
      </c>
      <c r="X298">
        <f t="shared" si="118"/>
        <v>0</v>
      </c>
      <c r="Y298">
        <f t="shared" si="119"/>
        <v>0</v>
      </c>
      <c r="Z298">
        <f t="shared" si="120"/>
        <v>0</v>
      </c>
      <c r="AA298">
        <f t="shared" si="121"/>
        <v>1</v>
      </c>
      <c r="AB298">
        <f t="shared" si="122"/>
        <v>0</v>
      </c>
      <c r="AC298">
        <f t="shared" si="123"/>
        <v>0</v>
      </c>
      <c r="AD298">
        <f t="shared" si="124"/>
        <v>0</v>
      </c>
      <c r="AE298">
        <f t="shared" si="125"/>
        <v>1</v>
      </c>
      <c r="AF298">
        <f t="shared" si="126"/>
        <v>0</v>
      </c>
      <c r="AG298">
        <f t="shared" si="127"/>
        <v>0</v>
      </c>
      <c r="AH298">
        <f t="shared" si="128"/>
        <v>0</v>
      </c>
      <c r="AI298">
        <f t="shared" si="129"/>
        <v>0</v>
      </c>
      <c r="AJ298">
        <f t="shared" si="130"/>
        <v>0</v>
      </c>
      <c r="AK298">
        <f t="shared" si="131"/>
        <v>1</v>
      </c>
      <c r="AL298">
        <f t="shared" si="132"/>
        <v>0</v>
      </c>
      <c r="AM298">
        <f t="shared" si="133"/>
        <v>0</v>
      </c>
      <c r="AN298">
        <f t="shared" si="134"/>
        <v>1</v>
      </c>
      <c r="AO298">
        <f t="shared" si="135"/>
        <v>0</v>
      </c>
      <c r="AP298">
        <f t="shared" si="136"/>
        <v>0</v>
      </c>
      <c r="AQ298">
        <f t="shared" si="137"/>
        <v>0</v>
      </c>
      <c r="AR298">
        <f t="shared" si="138"/>
        <v>0</v>
      </c>
      <c r="AS298">
        <f t="shared" si="139"/>
        <v>1</v>
      </c>
    </row>
    <row r="299" spans="2:45" x14ac:dyDescent="0.3">
      <c r="B299">
        <v>298</v>
      </c>
      <c r="C299" s="1">
        <v>40841</v>
      </c>
      <c r="D299">
        <v>4</v>
      </c>
      <c r="E299">
        <v>0</v>
      </c>
      <c r="F299">
        <v>10</v>
      </c>
      <c r="G299">
        <v>2</v>
      </c>
      <c r="H299">
        <v>1</v>
      </c>
      <c r="I299">
        <v>695</v>
      </c>
      <c r="J299">
        <v>3992</v>
      </c>
      <c r="K299" s="8">
        <v>4687</v>
      </c>
      <c r="L299">
        <v>19.338346999999999</v>
      </c>
      <c r="M299">
        <v>23.168749999999999</v>
      </c>
      <c r="N299">
        <v>62.291699999999999</v>
      </c>
      <c r="O299">
        <v>11.166086</v>
      </c>
      <c r="P299">
        <v>0</v>
      </c>
      <c r="Q299">
        <v>1</v>
      </c>
      <c r="R299">
        <f t="shared" si="112"/>
        <v>0</v>
      </c>
      <c r="S299">
        <f t="shared" si="113"/>
        <v>0</v>
      </c>
      <c r="T299">
        <f t="shared" si="114"/>
        <v>0</v>
      </c>
      <c r="U299">
        <f t="shared" si="115"/>
        <v>0</v>
      </c>
      <c r="V299">
        <f t="shared" si="116"/>
        <v>0</v>
      </c>
      <c r="W299">
        <f t="shared" si="117"/>
        <v>0</v>
      </c>
      <c r="X299">
        <f t="shared" si="118"/>
        <v>0</v>
      </c>
      <c r="Y299">
        <f t="shared" si="119"/>
        <v>0</v>
      </c>
      <c r="Z299">
        <f t="shared" si="120"/>
        <v>0</v>
      </c>
      <c r="AA299">
        <f t="shared" si="121"/>
        <v>1</v>
      </c>
      <c r="AB299">
        <f t="shared" si="122"/>
        <v>0</v>
      </c>
      <c r="AC299">
        <f t="shared" si="123"/>
        <v>0</v>
      </c>
      <c r="AD299">
        <f t="shared" si="124"/>
        <v>0</v>
      </c>
      <c r="AE299">
        <f t="shared" si="125"/>
        <v>0</v>
      </c>
      <c r="AF299">
        <f t="shared" si="126"/>
        <v>1</v>
      </c>
      <c r="AG299">
        <f t="shared" si="127"/>
        <v>0</v>
      </c>
      <c r="AH299">
        <f t="shared" si="128"/>
        <v>0</v>
      </c>
      <c r="AI299">
        <f t="shared" si="129"/>
        <v>0</v>
      </c>
      <c r="AJ299">
        <f t="shared" si="130"/>
        <v>0</v>
      </c>
      <c r="AK299">
        <f t="shared" si="131"/>
        <v>1</v>
      </c>
      <c r="AL299">
        <f t="shared" si="132"/>
        <v>0</v>
      </c>
      <c r="AM299">
        <f t="shared" si="133"/>
        <v>0</v>
      </c>
      <c r="AN299">
        <f t="shared" si="134"/>
        <v>1</v>
      </c>
      <c r="AO299">
        <f t="shared" si="135"/>
        <v>0</v>
      </c>
      <c r="AP299">
        <f t="shared" si="136"/>
        <v>0</v>
      </c>
      <c r="AQ299">
        <f t="shared" si="137"/>
        <v>0</v>
      </c>
      <c r="AR299">
        <f t="shared" si="138"/>
        <v>0</v>
      </c>
      <c r="AS299">
        <f t="shared" si="139"/>
        <v>1</v>
      </c>
    </row>
    <row r="300" spans="2:45" x14ac:dyDescent="0.3">
      <c r="B300">
        <v>299</v>
      </c>
      <c r="C300" s="1">
        <v>40842</v>
      </c>
      <c r="D300">
        <v>4</v>
      </c>
      <c r="E300">
        <v>0</v>
      </c>
      <c r="F300">
        <v>10</v>
      </c>
      <c r="G300">
        <v>3</v>
      </c>
      <c r="H300">
        <v>2</v>
      </c>
      <c r="I300">
        <v>404</v>
      </c>
      <c r="J300">
        <v>3490</v>
      </c>
      <c r="K300" s="8">
        <v>3894</v>
      </c>
      <c r="L300">
        <v>19.850847000000002</v>
      </c>
      <c r="M300">
        <v>23.642299999999999</v>
      </c>
      <c r="N300">
        <v>72.041700000000006</v>
      </c>
      <c r="O300">
        <v>9.9590139999999998</v>
      </c>
      <c r="P300">
        <v>0</v>
      </c>
      <c r="Q300">
        <v>1</v>
      </c>
      <c r="R300">
        <f t="shared" si="112"/>
        <v>0</v>
      </c>
      <c r="S300">
        <f t="shared" si="113"/>
        <v>0</v>
      </c>
      <c r="T300">
        <f t="shared" si="114"/>
        <v>0</v>
      </c>
      <c r="U300">
        <f t="shared" si="115"/>
        <v>0</v>
      </c>
      <c r="V300">
        <f t="shared" si="116"/>
        <v>0</v>
      </c>
      <c r="W300">
        <f t="shared" si="117"/>
        <v>0</v>
      </c>
      <c r="X300">
        <f t="shared" si="118"/>
        <v>0</v>
      </c>
      <c r="Y300">
        <f t="shared" si="119"/>
        <v>0</v>
      </c>
      <c r="Z300">
        <f t="shared" si="120"/>
        <v>0</v>
      </c>
      <c r="AA300">
        <f t="shared" si="121"/>
        <v>1</v>
      </c>
      <c r="AB300">
        <f t="shared" si="122"/>
        <v>0</v>
      </c>
      <c r="AC300">
        <f t="shared" si="123"/>
        <v>0</v>
      </c>
      <c r="AD300">
        <f t="shared" si="124"/>
        <v>0</v>
      </c>
      <c r="AE300">
        <f t="shared" si="125"/>
        <v>0</v>
      </c>
      <c r="AF300">
        <f t="shared" si="126"/>
        <v>0</v>
      </c>
      <c r="AG300">
        <f t="shared" si="127"/>
        <v>1</v>
      </c>
      <c r="AH300">
        <f t="shared" si="128"/>
        <v>0</v>
      </c>
      <c r="AI300">
        <f t="shared" si="129"/>
        <v>0</v>
      </c>
      <c r="AJ300">
        <f t="shared" si="130"/>
        <v>0</v>
      </c>
      <c r="AK300">
        <f t="shared" si="131"/>
        <v>0</v>
      </c>
      <c r="AL300">
        <f t="shared" si="132"/>
        <v>1</v>
      </c>
      <c r="AM300">
        <f t="shared" si="133"/>
        <v>0</v>
      </c>
      <c r="AN300">
        <f t="shared" si="134"/>
        <v>1</v>
      </c>
      <c r="AO300">
        <f t="shared" si="135"/>
        <v>0</v>
      </c>
      <c r="AP300">
        <f t="shared" si="136"/>
        <v>0</v>
      </c>
      <c r="AQ300">
        <f t="shared" si="137"/>
        <v>0</v>
      </c>
      <c r="AR300">
        <f t="shared" si="138"/>
        <v>0</v>
      </c>
      <c r="AS300">
        <f t="shared" si="139"/>
        <v>1</v>
      </c>
    </row>
    <row r="301" spans="2:45" x14ac:dyDescent="0.3">
      <c r="B301">
        <v>300</v>
      </c>
      <c r="C301" s="1">
        <v>40843</v>
      </c>
      <c r="D301">
        <v>4</v>
      </c>
      <c r="E301">
        <v>0</v>
      </c>
      <c r="F301">
        <v>10</v>
      </c>
      <c r="G301">
        <v>4</v>
      </c>
      <c r="H301">
        <v>2</v>
      </c>
      <c r="I301">
        <v>240</v>
      </c>
      <c r="J301">
        <v>2419</v>
      </c>
      <c r="K301" s="8">
        <v>2659</v>
      </c>
      <c r="L301">
        <v>19.27</v>
      </c>
      <c r="M301">
        <v>22.8523</v>
      </c>
      <c r="N301">
        <v>81.291700000000006</v>
      </c>
      <c r="O301">
        <v>13.250121</v>
      </c>
      <c r="P301">
        <v>0</v>
      </c>
      <c r="Q301">
        <v>1</v>
      </c>
      <c r="R301">
        <f t="shared" si="112"/>
        <v>0</v>
      </c>
      <c r="S301">
        <f t="shared" si="113"/>
        <v>0</v>
      </c>
      <c r="T301">
        <f t="shared" si="114"/>
        <v>0</v>
      </c>
      <c r="U301">
        <f t="shared" si="115"/>
        <v>0</v>
      </c>
      <c r="V301">
        <f t="shared" si="116"/>
        <v>0</v>
      </c>
      <c r="W301">
        <f t="shared" si="117"/>
        <v>0</v>
      </c>
      <c r="X301">
        <f t="shared" si="118"/>
        <v>0</v>
      </c>
      <c r="Y301">
        <f t="shared" si="119"/>
        <v>0</v>
      </c>
      <c r="Z301">
        <f t="shared" si="120"/>
        <v>0</v>
      </c>
      <c r="AA301">
        <f t="shared" si="121"/>
        <v>1</v>
      </c>
      <c r="AB301">
        <f t="shared" si="122"/>
        <v>0</v>
      </c>
      <c r="AC301">
        <f t="shared" si="123"/>
        <v>0</v>
      </c>
      <c r="AD301">
        <f t="shared" si="124"/>
        <v>0</v>
      </c>
      <c r="AE301">
        <f t="shared" si="125"/>
        <v>0</v>
      </c>
      <c r="AF301">
        <f t="shared" si="126"/>
        <v>0</v>
      </c>
      <c r="AG301">
        <f t="shared" si="127"/>
        <v>0</v>
      </c>
      <c r="AH301">
        <f t="shared" si="128"/>
        <v>1</v>
      </c>
      <c r="AI301">
        <f t="shared" si="129"/>
        <v>0</v>
      </c>
      <c r="AJ301">
        <f t="shared" si="130"/>
        <v>0</v>
      </c>
      <c r="AK301">
        <f t="shared" si="131"/>
        <v>0</v>
      </c>
      <c r="AL301">
        <f t="shared" si="132"/>
        <v>1</v>
      </c>
      <c r="AM301">
        <f t="shared" si="133"/>
        <v>0</v>
      </c>
      <c r="AN301">
        <f t="shared" si="134"/>
        <v>1</v>
      </c>
      <c r="AO301">
        <f t="shared" si="135"/>
        <v>0</v>
      </c>
      <c r="AP301">
        <f t="shared" si="136"/>
        <v>0</v>
      </c>
      <c r="AQ301">
        <f t="shared" si="137"/>
        <v>0</v>
      </c>
      <c r="AR301">
        <f t="shared" si="138"/>
        <v>0</v>
      </c>
      <c r="AS301">
        <f t="shared" si="139"/>
        <v>1</v>
      </c>
    </row>
    <row r="302" spans="2:45" x14ac:dyDescent="0.3">
      <c r="B302">
        <v>301</v>
      </c>
      <c r="C302" s="1">
        <v>40844</v>
      </c>
      <c r="D302">
        <v>4</v>
      </c>
      <c r="E302">
        <v>0</v>
      </c>
      <c r="F302">
        <v>10</v>
      </c>
      <c r="G302">
        <v>5</v>
      </c>
      <c r="H302">
        <v>2</v>
      </c>
      <c r="I302">
        <v>456</v>
      </c>
      <c r="J302">
        <v>3291</v>
      </c>
      <c r="K302" s="8">
        <v>3747</v>
      </c>
      <c r="L302">
        <v>13.564152999999999</v>
      </c>
      <c r="M302">
        <v>15.9406</v>
      </c>
      <c r="N302">
        <v>58.583300000000001</v>
      </c>
      <c r="O302">
        <v>15.375093</v>
      </c>
      <c r="P302">
        <v>0</v>
      </c>
      <c r="Q302">
        <v>1</v>
      </c>
      <c r="R302">
        <f t="shared" si="112"/>
        <v>0</v>
      </c>
      <c r="S302">
        <f t="shared" si="113"/>
        <v>0</v>
      </c>
      <c r="T302">
        <f t="shared" si="114"/>
        <v>0</v>
      </c>
      <c r="U302">
        <f t="shared" si="115"/>
        <v>0</v>
      </c>
      <c r="V302">
        <f t="shared" si="116"/>
        <v>0</v>
      </c>
      <c r="W302">
        <f t="shared" si="117"/>
        <v>0</v>
      </c>
      <c r="X302">
        <f t="shared" si="118"/>
        <v>0</v>
      </c>
      <c r="Y302">
        <f t="shared" si="119"/>
        <v>0</v>
      </c>
      <c r="Z302">
        <f t="shared" si="120"/>
        <v>0</v>
      </c>
      <c r="AA302">
        <f t="shared" si="121"/>
        <v>1</v>
      </c>
      <c r="AB302">
        <f t="shared" si="122"/>
        <v>0</v>
      </c>
      <c r="AC302">
        <f t="shared" si="123"/>
        <v>0</v>
      </c>
      <c r="AD302">
        <f t="shared" si="124"/>
        <v>0</v>
      </c>
      <c r="AE302">
        <f t="shared" si="125"/>
        <v>0</v>
      </c>
      <c r="AF302">
        <f t="shared" si="126"/>
        <v>0</v>
      </c>
      <c r="AG302">
        <f t="shared" si="127"/>
        <v>0</v>
      </c>
      <c r="AH302">
        <f t="shared" si="128"/>
        <v>0</v>
      </c>
      <c r="AI302">
        <f t="shared" si="129"/>
        <v>1</v>
      </c>
      <c r="AJ302">
        <f t="shared" si="130"/>
        <v>0</v>
      </c>
      <c r="AK302">
        <f t="shared" si="131"/>
        <v>0</v>
      </c>
      <c r="AL302">
        <f t="shared" si="132"/>
        <v>1</v>
      </c>
      <c r="AM302">
        <f t="shared" si="133"/>
        <v>0</v>
      </c>
      <c r="AN302">
        <f t="shared" si="134"/>
        <v>1</v>
      </c>
      <c r="AO302">
        <f t="shared" si="135"/>
        <v>0</v>
      </c>
      <c r="AP302">
        <f t="shared" si="136"/>
        <v>0</v>
      </c>
      <c r="AQ302">
        <f t="shared" si="137"/>
        <v>0</v>
      </c>
      <c r="AR302">
        <f t="shared" si="138"/>
        <v>0</v>
      </c>
      <c r="AS302">
        <f t="shared" si="139"/>
        <v>1</v>
      </c>
    </row>
    <row r="303" spans="2:45" x14ac:dyDescent="0.3">
      <c r="B303">
        <v>302</v>
      </c>
      <c r="C303" s="1">
        <v>40845</v>
      </c>
      <c r="D303">
        <v>4</v>
      </c>
      <c r="E303">
        <v>0</v>
      </c>
      <c r="F303">
        <v>10</v>
      </c>
      <c r="G303">
        <v>6</v>
      </c>
      <c r="H303">
        <v>3</v>
      </c>
      <c r="I303">
        <v>57</v>
      </c>
      <c r="J303">
        <v>570</v>
      </c>
      <c r="K303" s="8">
        <v>627</v>
      </c>
      <c r="L303">
        <v>10.420847</v>
      </c>
      <c r="M303">
        <v>11.39565</v>
      </c>
      <c r="N303">
        <v>88.25</v>
      </c>
      <c r="O303">
        <v>23.541857</v>
      </c>
      <c r="P303">
        <v>0</v>
      </c>
      <c r="Q303">
        <v>0</v>
      </c>
      <c r="R303">
        <f t="shared" si="112"/>
        <v>0</v>
      </c>
      <c r="S303">
        <f t="shared" si="113"/>
        <v>0</v>
      </c>
      <c r="T303">
        <f t="shared" si="114"/>
        <v>0</v>
      </c>
      <c r="U303">
        <f t="shared" si="115"/>
        <v>0</v>
      </c>
      <c r="V303">
        <f t="shared" si="116"/>
        <v>0</v>
      </c>
      <c r="W303">
        <f t="shared" si="117"/>
        <v>0</v>
      </c>
      <c r="X303">
        <f t="shared" si="118"/>
        <v>0</v>
      </c>
      <c r="Y303">
        <f t="shared" si="119"/>
        <v>0</v>
      </c>
      <c r="Z303">
        <f t="shared" si="120"/>
        <v>0</v>
      </c>
      <c r="AA303">
        <f t="shared" si="121"/>
        <v>1</v>
      </c>
      <c r="AB303">
        <f t="shared" si="122"/>
        <v>0</v>
      </c>
      <c r="AC303">
        <f t="shared" si="123"/>
        <v>0</v>
      </c>
      <c r="AD303">
        <f t="shared" si="124"/>
        <v>0</v>
      </c>
      <c r="AE303">
        <f t="shared" si="125"/>
        <v>0</v>
      </c>
      <c r="AF303">
        <f t="shared" si="126"/>
        <v>0</v>
      </c>
      <c r="AG303">
        <f t="shared" si="127"/>
        <v>0</v>
      </c>
      <c r="AH303">
        <f t="shared" si="128"/>
        <v>0</v>
      </c>
      <c r="AI303">
        <f t="shared" si="129"/>
        <v>0</v>
      </c>
      <c r="AJ303">
        <f t="shared" si="130"/>
        <v>1</v>
      </c>
      <c r="AK303">
        <f t="shared" si="131"/>
        <v>0</v>
      </c>
      <c r="AL303">
        <f t="shared" si="132"/>
        <v>0</v>
      </c>
      <c r="AM303">
        <f t="shared" si="133"/>
        <v>1</v>
      </c>
      <c r="AN303">
        <f t="shared" si="134"/>
        <v>1</v>
      </c>
      <c r="AO303">
        <f t="shared" si="135"/>
        <v>0</v>
      </c>
      <c r="AP303">
        <f t="shared" si="136"/>
        <v>0</v>
      </c>
      <c r="AQ303">
        <f t="shared" si="137"/>
        <v>0</v>
      </c>
      <c r="AR303">
        <f t="shared" si="138"/>
        <v>0</v>
      </c>
      <c r="AS303">
        <f t="shared" si="139"/>
        <v>1</v>
      </c>
    </row>
    <row r="304" spans="2:45" x14ac:dyDescent="0.3">
      <c r="B304">
        <v>303</v>
      </c>
      <c r="C304" s="1">
        <v>40846</v>
      </c>
      <c r="D304">
        <v>4</v>
      </c>
      <c r="E304">
        <v>0</v>
      </c>
      <c r="F304">
        <v>10</v>
      </c>
      <c r="G304">
        <v>0</v>
      </c>
      <c r="H304">
        <v>1</v>
      </c>
      <c r="I304">
        <v>885</v>
      </c>
      <c r="J304">
        <v>2446</v>
      </c>
      <c r="K304" s="8">
        <v>3331</v>
      </c>
      <c r="L304">
        <v>13.085846999999999</v>
      </c>
      <c r="M304">
        <v>16.06645</v>
      </c>
      <c r="N304">
        <v>62.375</v>
      </c>
      <c r="O304">
        <v>11.833339</v>
      </c>
      <c r="P304">
        <v>0</v>
      </c>
      <c r="Q304">
        <v>0</v>
      </c>
      <c r="R304">
        <f t="shared" si="112"/>
        <v>0</v>
      </c>
      <c r="S304">
        <f t="shared" si="113"/>
        <v>0</v>
      </c>
      <c r="T304">
        <f t="shared" si="114"/>
        <v>0</v>
      </c>
      <c r="U304">
        <f t="shared" si="115"/>
        <v>0</v>
      </c>
      <c r="V304">
        <f t="shared" si="116"/>
        <v>0</v>
      </c>
      <c r="W304">
        <f t="shared" si="117"/>
        <v>0</v>
      </c>
      <c r="X304">
        <f t="shared" si="118"/>
        <v>0</v>
      </c>
      <c r="Y304">
        <f t="shared" si="119"/>
        <v>0</v>
      </c>
      <c r="Z304">
        <f t="shared" si="120"/>
        <v>0</v>
      </c>
      <c r="AA304">
        <f t="shared" si="121"/>
        <v>1</v>
      </c>
      <c r="AB304">
        <f t="shared" si="122"/>
        <v>0</v>
      </c>
      <c r="AC304">
        <f t="shared" si="123"/>
        <v>0</v>
      </c>
      <c r="AD304">
        <f t="shared" si="124"/>
        <v>1</v>
      </c>
      <c r="AE304">
        <f t="shared" si="125"/>
        <v>0</v>
      </c>
      <c r="AF304">
        <f t="shared" si="126"/>
        <v>0</v>
      </c>
      <c r="AG304">
        <f t="shared" si="127"/>
        <v>0</v>
      </c>
      <c r="AH304">
        <f t="shared" si="128"/>
        <v>0</v>
      </c>
      <c r="AI304">
        <f t="shared" si="129"/>
        <v>0</v>
      </c>
      <c r="AJ304">
        <f t="shared" si="130"/>
        <v>0</v>
      </c>
      <c r="AK304">
        <f t="shared" si="131"/>
        <v>1</v>
      </c>
      <c r="AL304">
        <f t="shared" si="132"/>
        <v>0</v>
      </c>
      <c r="AM304">
        <f t="shared" si="133"/>
        <v>0</v>
      </c>
      <c r="AN304">
        <f t="shared" si="134"/>
        <v>1</v>
      </c>
      <c r="AO304">
        <f t="shared" si="135"/>
        <v>0</v>
      </c>
      <c r="AP304">
        <f t="shared" si="136"/>
        <v>0</v>
      </c>
      <c r="AQ304">
        <f t="shared" si="137"/>
        <v>0</v>
      </c>
      <c r="AR304">
        <f t="shared" si="138"/>
        <v>0</v>
      </c>
      <c r="AS304">
        <f t="shared" si="139"/>
        <v>1</v>
      </c>
    </row>
    <row r="305" spans="2:45" x14ac:dyDescent="0.3">
      <c r="B305">
        <v>304</v>
      </c>
      <c r="C305" s="1">
        <v>40847</v>
      </c>
      <c r="D305">
        <v>4</v>
      </c>
      <c r="E305">
        <v>0</v>
      </c>
      <c r="F305">
        <v>10</v>
      </c>
      <c r="G305">
        <v>1</v>
      </c>
      <c r="H305">
        <v>1</v>
      </c>
      <c r="I305">
        <v>362</v>
      </c>
      <c r="J305">
        <v>3307</v>
      </c>
      <c r="K305" s="8">
        <v>3669</v>
      </c>
      <c r="L305">
        <v>13.94</v>
      </c>
      <c r="M305">
        <v>17.803149999999999</v>
      </c>
      <c r="N305">
        <v>70.333299999999994</v>
      </c>
      <c r="O305">
        <v>7.1254499999999998</v>
      </c>
      <c r="P305">
        <v>0</v>
      </c>
      <c r="Q305">
        <v>1</v>
      </c>
      <c r="R305">
        <f t="shared" si="112"/>
        <v>0</v>
      </c>
      <c r="S305">
        <f t="shared" si="113"/>
        <v>0</v>
      </c>
      <c r="T305">
        <f t="shared" si="114"/>
        <v>0</v>
      </c>
      <c r="U305">
        <f t="shared" si="115"/>
        <v>0</v>
      </c>
      <c r="V305">
        <f t="shared" si="116"/>
        <v>0</v>
      </c>
      <c r="W305">
        <f t="shared" si="117"/>
        <v>0</v>
      </c>
      <c r="X305">
        <f t="shared" si="118"/>
        <v>0</v>
      </c>
      <c r="Y305">
        <f t="shared" si="119"/>
        <v>0</v>
      </c>
      <c r="Z305">
        <f t="shared" si="120"/>
        <v>0</v>
      </c>
      <c r="AA305">
        <f t="shared" si="121"/>
        <v>1</v>
      </c>
      <c r="AB305">
        <f t="shared" si="122"/>
        <v>0</v>
      </c>
      <c r="AC305">
        <f t="shared" si="123"/>
        <v>0</v>
      </c>
      <c r="AD305">
        <f t="shared" si="124"/>
        <v>0</v>
      </c>
      <c r="AE305">
        <f t="shared" si="125"/>
        <v>1</v>
      </c>
      <c r="AF305">
        <f t="shared" si="126"/>
        <v>0</v>
      </c>
      <c r="AG305">
        <f t="shared" si="127"/>
        <v>0</v>
      </c>
      <c r="AH305">
        <f t="shared" si="128"/>
        <v>0</v>
      </c>
      <c r="AI305">
        <f t="shared" si="129"/>
        <v>0</v>
      </c>
      <c r="AJ305">
        <f t="shared" si="130"/>
        <v>0</v>
      </c>
      <c r="AK305">
        <f t="shared" si="131"/>
        <v>1</v>
      </c>
      <c r="AL305">
        <f t="shared" si="132"/>
        <v>0</v>
      </c>
      <c r="AM305">
        <f t="shared" si="133"/>
        <v>0</v>
      </c>
      <c r="AN305">
        <f t="shared" si="134"/>
        <v>1</v>
      </c>
      <c r="AO305">
        <f t="shared" si="135"/>
        <v>0</v>
      </c>
      <c r="AP305">
        <f t="shared" si="136"/>
        <v>0</v>
      </c>
      <c r="AQ305">
        <f t="shared" si="137"/>
        <v>0</v>
      </c>
      <c r="AR305">
        <f t="shared" si="138"/>
        <v>0</v>
      </c>
      <c r="AS305">
        <f t="shared" si="139"/>
        <v>1</v>
      </c>
    </row>
    <row r="306" spans="2:45" x14ac:dyDescent="0.3">
      <c r="B306">
        <v>305</v>
      </c>
      <c r="C306" s="1">
        <v>40848</v>
      </c>
      <c r="D306">
        <v>4</v>
      </c>
      <c r="E306">
        <v>0</v>
      </c>
      <c r="F306">
        <v>11</v>
      </c>
      <c r="G306">
        <v>2</v>
      </c>
      <c r="H306">
        <v>1</v>
      </c>
      <c r="I306">
        <v>410</v>
      </c>
      <c r="J306">
        <v>3658</v>
      </c>
      <c r="K306" s="8">
        <v>4068</v>
      </c>
      <c r="L306">
        <v>16.434152999999998</v>
      </c>
      <c r="M306">
        <v>19.854399999999998</v>
      </c>
      <c r="N306">
        <v>68.375</v>
      </c>
      <c r="O306">
        <v>9.0832569999999997</v>
      </c>
      <c r="P306">
        <v>0</v>
      </c>
      <c r="Q306">
        <v>1</v>
      </c>
      <c r="R306">
        <f t="shared" si="112"/>
        <v>0</v>
      </c>
      <c r="S306">
        <f t="shared" si="113"/>
        <v>0</v>
      </c>
      <c r="T306">
        <f t="shared" si="114"/>
        <v>0</v>
      </c>
      <c r="U306">
        <f t="shared" si="115"/>
        <v>0</v>
      </c>
      <c r="V306">
        <f t="shared" si="116"/>
        <v>0</v>
      </c>
      <c r="W306">
        <f t="shared" si="117"/>
        <v>0</v>
      </c>
      <c r="X306">
        <f t="shared" si="118"/>
        <v>0</v>
      </c>
      <c r="Y306">
        <f t="shared" si="119"/>
        <v>0</v>
      </c>
      <c r="Z306">
        <f t="shared" si="120"/>
        <v>0</v>
      </c>
      <c r="AA306">
        <f t="shared" si="121"/>
        <v>0</v>
      </c>
      <c r="AB306">
        <f t="shared" si="122"/>
        <v>1</v>
      </c>
      <c r="AC306">
        <f t="shared" si="123"/>
        <v>0</v>
      </c>
      <c r="AD306">
        <f t="shared" si="124"/>
        <v>0</v>
      </c>
      <c r="AE306">
        <f t="shared" si="125"/>
        <v>0</v>
      </c>
      <c r="AF306">
        <f t="shared" si="126"/>
        <v>1</v>
      </c>
      <c r="AG306">
        <f t="shared" si="127"/>
        <v>0</v>
      </c>
      <c r="AH306">
        <f t="shared" si="128"/>
        <v>0</v>
      </c>
      <c r="AI306">
        <f t="shared" si="129"/>
        <v>0</v>
      </c>
      <c r="AJ306">
        <f t="shared" si="130"/>
        <v>0</v>
      </c>
      <c r="AK306">
        <f t="shared" si="131"/>
        <v>1</v>
      </c>
      <c r="AL306">
        <f t="shared" si="132"/>
        <v>0</v>
      </c>
      <c r="AM306">
        <f t="shared" si="133"/>
        <v>0</v>
      </c>
      <c r="AN306">
        <f t="shared" si="134"/>
        <v>1</v>
      </c>
      <c r="AO306">
        <f t="shared" si="135"/>
        <v>0</v>
      </c>
      <c r="AP306">
        <f t="shared" si="136"/>
        <v>0</v>
      </c>
      <c r="AQ306">
        <f t="shared" si="137"/>
        <v>0</v>
      </c>
      <c r="AR306">
        <f t="shared" si="138"/>
        <v>0</v>
      </c>
      <c r="AS306">
        <f t="shared" si="139"/>
        <v>1</v>
      </c>
    </row>
    <row r="307" spans="2:45" x14ac:dyDescent="0.3">
      <c r="B307">
        <v>306</v>
      </c>
      <c r="C307" s="1">
        <v>40849</v>
      </c>
      <c r="D307">
        <v>4</v>
      </c>
      <c r="E307">
        <v>0</v>
      </c>
      <c r="F307">
        <v>11</v>
      </c>
      <c r="G307">
        <v>3</v>
      </c>
      <c r="H307">
        <v>1</v>
      </c>
      <c r="I307">
        <v>370</v>
      </c>
      <c r="J307">
        <v>3816</v>
      </c>
      <c r="K307" s="8">
        <v>4186</v>
      </c>
      <c r="L307">
        <v>15.477499999999999</v>
      </c>
      <c r="M307">
        <v>19.50665</v>
      </c>
      <c r="N307">
        <v>71.875</v>
      </c>
      <c r="O307">
        <v>5.5001439000000003</v>
      </c>
      <c r="P307">
        <v>0</v>
      </c>
      <c r="Q307">
        <v>1</v>
      </c>
      <c r="R307">
        <f t="shared" si="112"/>
        <v>0</v>
      </c>
      <c r="S307">
        <f t="shared" si="113"/>
        <v>0</v>
      </c>
      <c r="T307">
        <f t="shared" si="114"/>
        <v>0</v>
      </c>
      <c r="U307">
        <f t="shared" si="115"/>
        <v>0</v>
      </c>
      <c r="V307">
        <f t="shared" si="116"/>
        <v>0</v>
      </c>
      <c r="W307">
        <f t="shared" si="117"/>
        <v>0</v>
      </c>
      <c r="X307">
        <f t="shared" si="118"/>
        <v>0</v>
      </c>
      <c r="Y307">
        <f t="shared" si="119"/>
        <v>0</v>
      </c>
      <c r="Z307">
        <f t="shared" si="120"/>
        <v>0</v>
      </c>
      <c r="AA307">
        <f t="shared" si="121"/>
        <v>0</v>
      </c>
      <c r="AB307">
        <f t="shared" si="122"/>
        <v>1</v>
      </c>
      <c r="AC307">
        <f t="shared" si="123"/>
        <v>0</v>
      </c>
      <c r="AD307">
        <f t="shared" si="124"/>
        <v>0</v>
      </c>
      <c r="AE307">
        <f t="shared" si="125"/>
        <v>0</v>
      </c>
      <c r="AF307">
        <f t="shared" si="126"/>
        <v>0</v>
      </c>
      <c r="AG307">
        <f t="shared" si="127"/>
        <v>1</v>
      </c>
      <c r="AH307">
        <f t="shared" si="128"/>
        <v>0</v>
      </c>
      <c r="AI307">
        <f t="shared" si="129"/>
        <v>0</v>
      </c>
      <c r="AJ307">
        <f t="shared" si="130"/>
        <v>0</v>
      </c>
      <c r="AK307">
        <f t="shared" si="131"/>
        <v>1</v>
      </c>
      <c r="AL307">
        <f t="shared" si="132"/>
        <v>0</v>
      </c>
      <c r="AM307">
        <f t="shared" si="133"/>
        <v>0</v>
      </c>
      <c r="AN307">
        <f t="shared" si="134"/>
        <v>1</v>
      </c>
      <c r="AO307">
        <f t="shared" si="135"/>
        <v>0</v>
      </c>
      <c r="AP307">
        <f t="shared" si="136"/>
        <v>0</v>
      </c>
      <c r="AQ307">
        <f t="shared" si="137"/>
        <v>0</v>
      </c>
      <c r="AR307">
        <f t="shared" si="138"/>
        <v>0</v>
      </c>
      <c r="AS307">
        <f t="shared" si="139"/>
        <v>1</v>
      </c>
    </row>
    <row r="308" spans="2:45" x14ac:dyDescent="0.3">
      <c r="B308">
        <v>307</v>
      </c>
      <c r="C308" s="1">
        <v>40850</v>
      </c>
      <c r="D308">
        <v>4</v>
      </c>
      <c r="E308">
        <v>0</v>
      </c>
      <c r="F308">
        <v>11</v>
      </c>
      <c r="G308">
        <v>4</v>
      </c>
      <c r="H308">
        <v>1</v>
      </c>
      <c r="I308">
        <v>318</v>
      </c>
      <c r="J308">
        <v>3656</v>
      </c>
      <c r="K308" s="8">
        <v>3974</v>
      </c>
      <c r="L308">
        <v>16.741652999999999</v>
      </c>
      <c r="M308">
        <v>20.296050000000001</v>
      </c>
      <c r="N308">
        <v>70.208299999999994</v>
      </c>
      <c r="O308">
        <v>9.1667389999999997</v>
      </c>
      <c r="P308">
        <v>0</v>
      </c>
      <c r="Q308">
        <v>1</v>
      </c>
      <c r="R308">
        <f t="shared" si="112"/>
        <v>0</v>
      </c>
      <c r="S308">
        <f t="shared" si="113"/>
        <v>0</v>
      </c>
      <c r="T308">
        <f t="shared" si="114"/>
        <v>0</v>
      </c>
      <c r="U308">
        <f t="shared" si="115"/>
        <v>0</v>
      </c>
      <c r="V308">
        <f t="shared" si="116"/>
        <v>0</v>
      </c>
      <c r="W308">
        <f t="shared" si="117"/>
        <v>0</v>
      </c>
      <c r="X308">
        <f t="shared" si="118"/>
        <v>0</v>
      </c>
      <c r="Y308">
        <f t="shared" si="119"/>
        <v>0</v>
      </c>
      <c r="Z308">
        <f t="shared" si="120"/>
        <v>0</v>
      </c>
      <c r="AA308">
        <f t="shared" si="121"/>
        <v>0</v>
      </c>
      <c r="AB308">
        <f t="shared" si="122"/>
        <v>1</v>
      </c>
      <c r="AC308">
        <f t="shared" si="123"/>
        <v>0</v>
      </c>
      <c r="AD308">
        <f t="shared" si="124"/>
        <v>0</v>
      </c>
      <c r="AE308">
        <f t="shared" si="125"/>
        <v>0</v>
      </c>
      <c r="AF308">
        <f t="shared" si="126"/>
        <v>0</v>
      </c>
      <c r="AG308">
        <f t="shared" si="127"/>
        <v>0</v>
      </c>
      <c r="AH308">
        <f t="shared" si="128"/>
        <v>1</v>
      </c>
      <c r="AI308">
        <f t="shared" si="129"/>
        <v>0</v>
      </c>
      <c r="AJ308">
        <f t="shared" si="130"/>
        <v>0</v>
      </c>
      <c r="AK308">
        <f t="shared" si="131"/>
        <v>1</v>
      </c>
      <c r="AL308">
        <f t="shared" si="132"/>
        <v>0</v>
      </c>
      <c r="AM308">
        <f t="shared" si="133"/>
        <v>0</v>
      </c>
      <c r="AN308">
        <f t="shared" si="134"/>
        <v>1</v>
      </c>
      <c r="AO308">
        <f t="shared" si="135"/>
        <v>0</v>
      </c>
      <c r="AP308">
        <f t="shared" si="136"/>
        <v>0</v>
      </c>
      <c r="AQ308">
        <f t="shared" si="137"/>
        <v>0</v>
      </c>
      <c r="AR308">
        <f t="shared" si="138"/>
        <v>0</v>
      </c>
      <c r="AS308">
        <f t="shared" si="139"/>
        <v>1</v>
      </c>
    </row>
    <row r="309" spans="2:45" x14ac:dyDescent="0.3">
      <c r="B309">
        <v>308</v>
      </c>
      <c r="C309" s="1">
        <v>40851</v>
      </c>
      <c r="D309">
        <v>4</v>
      </c>
      <c r="E309">
        <v>0</v>
      </c>
      <c r="F309">
        <v>11</v>
      </c>
      <c r="G309">
        <v>5</v>
      </c>
      <c r="H309">
        <v>2</v>
      </c>
      <c r="I309">
        <v>470</v>
      </c>
      <c r="J309">
        <v>3576</v>
      </c>
      <c r="K309" s="8">
        <v>4046</v>
      </c>
      <c r="L309">
        <v>16.536653000000001</v>
      </c>
      <c r="M309">
        <v>20.169599999999999</v>
      </c>
      <c r="N309">
        <v>62.25</v>
      </c>
      <c r="O309">
        <v>18.209192999999999</v>
      </c>
      <c r="P309">
        <v>0</v>
      </c>
      <c r="Q309">
        <v>1</v>
      </c>
      <c r="R309">
        <f t="shared" si="112"/>
        <v>0</v>
      </c>
      <c r="S309">
        <f t="shared" si="113"/>
        <v>0</v>
      </c>
      <c r="T309">
        <f t="shared" si="114"/>
        <v>0</v>
      </c>
      <c r="U309">
        <f t="shared" si="115"/>
        <v>0</v>
      </c>
      <c r="V309">
        <f t="shared" si="116"/>
        <v>0</v>
      </c>
      <c r="W309">
        <f t="shared" si="117"/>
        <v>0</v>
      </c>
      <c r="X309">
        <f t="shared" si="118"/>
        <v>0</v>
      </c>
      <c r="Y309">
        <f t="shared" si="119"/>
        <v>0</v>
      </c>
      <c r="Z309">
        <f t="shared" si="120"/>
        <v>0</v>
      </c>
      <c r="AA309">
        <f t="shared" si="121"/>
        <v>0</v>
      </c>
      <c r="AB309">
        <f t="shared" si="122"/>
        <v>1</v>
      </c>
      <c r="AC309">
        <f t="shared" si="123"/>
        <v>0</v>
      </c>
      <c r="AD309">
        <f t="shared" si="124"/>
        <v>0</v>
      </c>
      <c r="AE309">
        <f t="shared" si="125"/>
        <v>0</v>
      </c>
      <c r="AF309">
        <f t="shared" si="126"/>
        <v>0</v>
      </c>
      <c r="AG309">
        <f t="shared" si="127"/>
        <v>0</v>
      </c>
      <c r="AH309">
        <f t="shared" si="128"/>
        <v>0</v>
      </c>
      <c r="AI309">
        <f t="shared" si="129"/>
        <v>1</v>
      </c>
      <c r="AJ309">
        <f t="shared" si="130"/>
        <v>0</v>
      </c>
      <c r="AK309">
        <f t="shared" si="131"/>
        <v>0</v>
      </c>
      <c r="AL309">
        <f t="shared" si="132"/>
        <v>1</v>
      </c>
      <c r="AM309">
        <f t="shared" si="133"/>
        <v>0</v>
      </c>
      <c r="AN309">
        <f t="shared" si="134"/>
        <v>1</v>
      </c>
      <c r="AO309">
        <f t="shared" si="135"/>
        <v>0</v>
      </c>
      <c r="AP309">
        <f t="shared" si="136"/>
        <v>0</v>
      </c>
      <c r="AQ309">
        <f t="shared" si="137"/>
        <v>0</v>
      </c>
      <c r="AR309">
        <f t="shared" si="138"/>
        <v>0</v>
      </c>
      <c r="AS309">
        <f t="shared" si="139"/>
        <v>1</v>
      </c>
    </row>
    <row r="310" spans="2:45" x14ac:dyDescent="0.3">
      <c r="B310">
        <v>309</v>
      </c>
      <c r="C310" s="1">
        <v>40852</v>
      </c>
      <c r="D310">
        <v>4</v>
      </c>
      <c r="E310">
        <v>0</v>
      </c>
      <c r="F310">
        <v>11</v>
      </c>
      <c r="G310">
        <v>6</v>
      </c>
      <c r="H310">
        <v>1</v>
      </c>
      <c r="I310">
        <v>1156</v>
      </c>
      <c r="J310">
        <v>2770</v>
      </c>
      <c r="K310" s="8">
        <v>3926</v>
      </c>
      <c r="L310">
        <v>13.393347</v>
      </c>
      <c r="M310">
        <v>16.192699999999999</v>
      </c>
      <c r="N310">
        <v>51.916699999999999</v>
      </c>
      <c r="O310">
        <v>12.667154</v>
      </c>
      <c r="P310">
        <v>0</v>
      </c>
      <c r="Q310">
        <v>0</v>
      </c>
      <c r="R310">
        <f t="shared" si="112"/>
        <v>0</v>
      </c>
      <c r="S310">
        <f t="shared" si="113"/>
        <v>0</v>
      </c>
      <c r="T310">
        <f t="shared" si="114"/>
        <v>0</v>
      </c>
      <c r="U310">
        <f t="shared" si="115"/>
        <v>0</v>
      </c>
      <c r="V310">
        <f t="shared" si="116"/>
        <v>0</v>
      </c>
      <c r="W310">
        <f t="shared" si="117"/>
        <v>0</v>
      </c>
      <c r="X310">
        <f t="shared" si="118"/>
        <v>0</v>
      </c>
      <c r="Y310">
        <f t="shared" si="119"/>
        <v>0</v>
      </c>
      <c r="Z310">
        <f t="shared" si="120"/>
        <v>0</v>
      </c>
      <c r="AA310">
        <f t="shared" si="121"/>
        <v>0</v>
      </c>
      <c r="AB310">
        <f t="shared" si="122"/>
        <v>1</v>
      </c>
      <c r="AC310">
        <f t="shared" si="123"/>
        <v>0</v>
      </c>
      <c r="AD310">
        <f t="shared" si="124"/>
        <v>0</v>
      </c>
      <c r="AE310">
        <f t="shared" si="125"/>
        <v>0</v>
      </c>
      <c r="AF310">
        <f t="shared" si="126"/>
        <v>0</v>
      </c>
      <c r="AG310">
        <f t="shared" si="127"/>
        <v>0</v>
      </c>
      <c r="AH310">
        <f t="shared" si="128"/>
        <v>0</v>
      </c>
      <c r="AI310">
        <f t="shared" si="129"/>
        <v>0</v>
      </c>
      <c r="AJ310">
        <f t="shared" si="130"/>
        <v>1</v>
      </c>
      <c r="AK310">
        <f t="shared" si="131"/>
        <v>1</v>
      </c>
      <c r="AL310">
        <f t="shared" si="132"/>
        <v>0</v>
      </c>
      <c r="AM310">
        <f t="shared" si="133"/>
        <v>0</v>
      </c>
      <c r="AN310">
        <f t="shared" si="134"/>
        <v>1</v>
      </c>
      <c r="AO310">
        <f t="shared" si="135"/>
        <v>0</v>
      </c>
      <c r="AP310">
        <f t="shared" si="136"/>
        <v>0</v>
      </c>
      <c r="AQ310">
        <f t="shared" si="137"/>
        <v>0</v>
      </c>
      <c r="AR310">
        <f t="shared" si="138"/>
        <v>0</v>
      </c>
      <c r="AS310">
        <f t="shared" si="139"/>
        <v>1</v>
      </c>
    </row>
    <row r="311" spans="2:45" x14ac:dyDescent="0.3">
      <c r="B311">
        <v>310</v>
      </c>
      <c r="C311" s="1">
        <v>40853</v>
      </c>
      <c r="D311">
        <v>4</v>
      </c>
      <c r="E311">
        <v>0</v>
      </c>
      <c r="F311">
        <v>11</v>
      </c>
      <c r="G311">
        <v>0</v>
      </c>
      <c r="H311">
        <v>1</v>
      </c>
      <c r="I311">
        <v>952</v>
      </c>
      <c r="J311">
        <v>2697</v>
      </c>
      <c r="K311" s="8">
        <v>3649</v>
      </c>
      <c r="L311">
        <v>14.281653</v>
      </c>
      <c r="M311">
        <v>18.117899999999999</v>
      </c>
      <c r="N311">
        <v>73.458299999999994</v>
      </c>
      <c r="O311">
        <v>6.1676314000000003</v>
      </c>
      <c r="P311">
        <v>0</v>
      </c>
      <c r="Q311">
        <v>0</v>
      </c>
      <c r="R311">
        <f t="shared" si="112"/>
        <v>0</v>
      </c>
      <c r="S311">
        <f t="shared" si="113"/>
        <v>0</v>
      </c>
      <c r="T311">
        <f t="shared" si="114"/>
        <v>0</v>
      </c>
      <c r="U311">
        <f t="shared" si="115"/>
        <v>0</v>
      </c>
      <c r="V311">
        <f t="shared" si="116"/>
        <v>0</v>
      </c>
      <c r="W311">
        <f t="shared" si="117"/>
        <v>0</v>
      </c>
      <c r="X311">
        <f t="shared" si="118"/>
        <v>0</v>
      </c>
      <c r="Y311">
        <f t="shared" si="119"/>
        <v>0</v>
      </c>
      <c r="Z311">
        <f t="shared" si="120"/>
        <v>0</v>
      </c>
      <c r="AA311">
        <f t="shared" si="121"/>
        <v>0</v>
      </c>
      <c r="AB311">
        <f t="shared" si="122"/>
        <v>1</v>
      </c>
      <c r="AC311">
        <f t="shared" si="123"/>
        <v>0</v>
      </c>
      <c r="AD311">
        <f t="shared" si="124"/>
        <v>1</v>
      </c>
      <c r="AE311">
        <f t="shared" si="125"/>
        <v>0</v>
      </c>
      <c r="AF311">
        <f t="shared" si="126"/>
        <v>0</v>
      </c>
      <c r="AG311">
        <f t="shared" si="127"/>
        <v>0</v>
      </c>
      <c r="AH311">
        <f t="shared" si="128"/>
        <v>0</v>
      </c>
      <c r="AI311">
        <f t="shared" si="129"/>
        <v>0</v>
      </c>
      <c r="AJ311">
        <f t="shared" si="130"/>
        <v>0</v>
      </c>
      <c r="AK311">
        <f t="shared" si="131"/>
        <v>1</v>
      </c>
      <c r="AL311">
        <f t="shared" si="132"/>
        <v>0</v>
      </c>
      <c r="AM311">
        <f t="shared" si="133"/>
        <v>0</v>
      </c>
      <c r="AN311">
        <f t="shared" si="134"/>
        <v>1</v>
      </c>
      <c r="AO311">
        <f t="shared" si="135"/>
        <v>0</v>
      </c>
      <c r="AP311">
        <f t="shared" si="136"/>
        <v>0</v>
      </c>
      <c r="AQ311">
        <f t="shared" si="137"/>
        <v>0</v>
      </c>
      <c r="AR311">
        <f t="shared" si="138"/>
        <v>0</v>
      </c>
      <c r="AS311">
        <f t="shared" si="139"/>
        <v>1</v>
      </c>
    </row>
    <row r="312" spans="2:45" x14ac:dyDescent="0.3">
      <c r="B312">
        <v>311</v>
      </c>
      <c r="C312" s="1">
        <v>40854</v>
      </c>
      <c r="D312">
        <v>4</v>
      </c>
      <c r="E312">
        <v>0</v>
      </c>
      <c r="F312">
        <v>11</v>
      </c>
      <c r="G312">
        <v>1</v>
      </c>
      <c r="H312">
        <v>1</v>
      </c>
      <c r="I312">
        <v>373</v>
      </c>
      <c r="J312">
        <v>3662</v>
      </c>
      <c r="K312" s="8">
        <v>4035</v>
      </c>
      <c r="L312">
        <v>16.195</v>
      </c>
      <c r="M312">
        <v>20.04355</v>
      </c>
      <c r="N312">
        <v>75.875</v>
      </c>
      <c r="O312">
        <v>3.8340749999999999</v>
      </c>
      <c r="P312">
        <v>0</v>
      </c>
      <c r="Q312">
        <v>1</v>
      </c>
      <c r="R312">
        <f t="shared" si="112"/>
        <v>0</v>
      </c>
      <c r="S312">
        <f t="shared" si="113"/>
        <v>0</v>
      </c>
      <c r="T312">
        <f t="shared" si="114"/>
        <v>0</v>
      </c>
      <c r="U312">
        <f t="shared" si="115"/>
        <v>0</v>
      </c>
      <c r="V312">
        <f t="shared" si="116"/>
        <v>0</v>
      </c>
      <c r="W312">
        <f t="shared" si="117"/>
        <v>0</v>
      </c>
      <c r="X312">
        <f t="shared" si="118"/>
        <v>0</v>
      </c>
      <c r="Y312">
        <f t="shared" si="119"/>
        <v>0</v>
      </c>
      <c r="Z312">
        <f t="shared" si="120"/>
        <v>0</v>
      </c>
      <c r="AA312">
        <f t="shared" si="121"/>
        <v>0</v>
      </c>
      <c r="AB312">
        <f t="shared" si="122"/>
        <v>1</v>
      </c>
      <c r="AC312">
        <f t="shared" si="123"/>
        <v>0</v>
      </c>
      <c r="AD312">
        <f t="shared" si="124"/>
        <v>0</v>
      </c>
      <c r="AE312">
        <f t="shared" si="125"/>
        <v>1</v>
      </c>
      <c r="AF312">
        <f t="shared" si="126"/>
        <v>0</v>
      </c>
      <c r="AG312">
        <f t="shared" si="127"/>
        <v>0</v>
      </c>
      <c r="AH312">
        <f t="shared" si="128"/>
        <v>0</v>
      </c>
      <c r="AI312">
        <f t="shared" si="129"/>
        <v>0</v>
      </c>
      <c r="AJ312">
        <f t="shared" si="130"/>
        <v>0</v>
      </c>
      <c r="AK312">
        <f t="shared" si="131"/>
        <v>1</v>
      </c>
      <c r="AL312">
        <f t="shared" si="132"/>
        <v>0</v>
      </c>
      <c r="AM312">
        <f t="shared" si="133"/>
        <v>0</v>
      </c>
      <c r="AN312">
        <f t="shared" si="134"/>
        <v>1</v>
      </c>
      <c r="AO312">
        <f t="shared" si="135"/>
        <v>0</v>
      </c>
      <c r="AP312">
        <f t="shared" si="136"/>
        <v>0</v>
      </c>
      <c r="AQ312">
        <f t="shared" si="137"/>
        <v>0</v>
      </c>
      <c r="AR312">
        <f t="shared" si="138"/>
        <v>0</v>
      </c>
      <c r="AS312">
        <f t="shared" si="139"/>
        <v>1</v>
      </c>
    </row>
    <row r="313" spans="2:45" x14ac:dyDescent="0.3">
      <c r="B313">
        <v>312</v>
      </c>
      <c r="C313" s="1">
        <v>40855</v>
      </c>
      <c r="D313">
        <v>4</v>
      </c>
      <c r="E313">
        <v>0</v>
      </c>
      <c r="F313">
        <v>11</v>
      </c>
      <c r="G313">
        <v>2</v>
      </c>
      <c r="H313">
        <v>1</v>
      </c>
      <c r="I313">
        <v>376</v>
      </c>
      <c r="J313">
        <v>3829</v>
      </c>
      <c r="K313" s="8">
        <v>4205</v>
      </c>
      <c r="L313">
        <v>16.741652999999999</v>
      </c>
      <c r="M313">
        <v>20.612300000000001</v>
      </c>
      <c r="N313">
        <v>72.166700000000006</v>
      </c>
      <c r="O313">
        <v>4.6255125000000001</v>
      </c>
      <c r="P313">
        <v>0</v>
      </c>
      <c r="Q313">
        <v>1</v>
      </c>
      <c r="R313">
        <f t="shared" si="112"/>
        <v>0</v>
      </c>
      <c r="S313">
        <f t="shared" si="113"/>
        <v>0</v>
      </c>
      <c r="T313">
        <f t="shared" si="114"/>
        <v>0</v>
      </c>
      <c r="U313">
        <f t="shared" si="115"/>
        <v>0</v>
      </c>
      <c r="V313">
        <f t="shared" si="116"/>
        <v>0</v>
      </c>
      <c r="W313">
        <f t="shared" si="117"/>
        <v>0</v>
      </c>
      <c r="X313">
        <f t="shared" si="118"/>
        <v>0</v>
      </c>
      <c r="Y313">
        <f t="shared" si="119"/>
        <v>0</v>
      </c>
      <c r="Z313">
        <f t="shared" si="120"/>
        <v>0</v>
      </c>
      <c r="AA313">
        <f t="shared" si="121"/>
        <v>0</v>
      </c>
      <c r="AB313">
        <f t="shared" si="122"/>
        <v>1</v>
      </c>
      <c r="AC313">
        <f t="shared" si="123"/>
        <v>0</v>
      </c>
      <c r="AD313">
        <f t="shared" si="124"/>
        <v>0</v>
      </c>
      <c r="AE313">
        <f t="shared" si="125"/>
        <v>0</v>
      </c>
      <c r="AF313">
        <f t="shared" si="126"/>
        <v>1</v>
      </c>
      <c r="AG313">
        <f t="shared" si="127"/>
        <v>0</v>
      </c>
      <c r="AH313">
        <f t="shared" si="128"/>
        <v>0</v>
      </c>
      <c r="AI313">
        <f t="shared" si="129"/>
        <v>0</v>
      </c>
      <c r="AJ313">
        <f t="shared" si="130"/>
        <v>0</v>
      </c>
      <c r="AK313">
        <f t="shared" si="131"/>
        <v>1</v>
      </c>
      <c r="AL313">
        <f t="shared" si="132"/>
        <v>0</v>
      </c>
      <c r="AM313">
        <f t="shared" si="133"/>
        <v>0</v>
      </c>
      <c r="AN313">
        <f t="shared" si="134"/>
        <v>1</v>
      </c>
      <c r="AO313">
        <f t="shared" si="135"/>
        <v>0</v>
      </c>
      <c r="AP313">
        <f t="shared" si="136"/>
        <v>0</v>
      </c>
      <c r="AQ313">
        <f t="shared" si="137"/>
        <v>0</v>
      </c>
      <c r="AR313">
        <f t="shared" si="138"/>
        <v>0</v>
      </c>
      <c r="AS313">
        <f t="shared" si="139"/>
        <v>1</v>
      </c>
    </row>
    <row r="314" spans="2:45" x14ac:dyDescent="0.3">
      <c r="B314">
        <v>313</v>
      </c>
      <c r="C314" s="1">
        <v>40856</v>
      </c>
      <c r="D314">
        <v>4</v>
      </c>
      <c r="E314">
        <v>0</v>
      </c>
      <c r="F314">
        <v>11</v>
      </c>
      <c r="G314">
        <v>3</v>
      </c>
      <c r="H314">
        <v>1</v>
      </c>
      <c r="I314">
        <v>305</v>
      </c>
      <c r="J314">
        <v>3804</v>
      </c>
      <c r="K314" s="8">
        <v>4109</v>
      </c>
      <c r="L314">
        <v>16.399999999999999</v>
      </c>
      <c r="M314">
        <v>20.453949999999999</v>
      </c>
      <c r="N314">
        <v>75.833299999999994</v>
      </c>
      <c r="O314">
        <v>4.1671186000000002</v>
      </c>
      <c r="P314">
        <v>0</v>
      </c>
      <c r="Q314">
        <v>1</v>
      </c>
      <c r="R314">
        <f t="shared" si="112"/>
        <v>0</v>
      </c>
      <c r="S314">
        <f t="shared" si="113"/>
        <v>0</v>
      </c>
      <c r="T314">
        <f t="shared" si="114"/>
        <v>0</v>
      </c>
      <c r="U314">
        <f t="shared" si="115"/>
        <v>0</v>
      </c>
      <c r="V314">
        <f t="shared" si="116"/>
        <v>0</v>
      </c>
      <c r="W314">
        <f t="shared" si="117"/>
        <v>0</v>
      </c>
      <c r="X314">
        <f t="shared" si="118"/>
        <v>0</v>
      </c>
      <c r="Y314">
        <f t="shared" si="119"/>
        <v>0</v>
      </c>
      <c r="Z314">
        <f t="shared" si="120"/>
        <v>0</v>
      </c>
      <c r="AA314">
        <f t="shared" si="121"/>
        <v>0</v>
      </c>
      <c r="AB314">
        <f t="shared" si="122"/>
        <v>1</v>
      </c>
      <c r="AC314">
        <f t="shared" si="123"/>
        <v>0</v>
      </c>
      <c r="AD314">
        <f t="shared" si="124"/>
        <v>0</v>
      </c>
      <c r="AE314">
        <f t="shared" si="125"/>
        <v>0</v>
      </c>
      <c r="AF314">
        <f t="shared" si="126"/>
        <v>0</v>
      </c>
      <c r="AG314">
        <f t="shared" si="127"/>
        <v>1</v>
      </c>
      <c r="AH314">
        <f t="shared" si="128"/>
        <v>0</v>
      </c>
      <c r="AI314">
        <f t="shared" si="129"/>
        <v>0</v>
      </c>
      <c r="AJ314">
        <f t="shared" si="130"/>
        <v>0</v>
      </c>
      <c r="AK314">
        <f t="shared" si="131"/>
        <v>1</v>
      </c>
      <c r="AL314">
        <f t="shared" si="132"/>
        <v>0</v>
      </c>
      <c r="AM314">
        <f t="shared" si="133"/>
        <v>0</v>
      </c>
      <c r="AN314">
        <f t="shared" si="134"/>
        <v>1</v>
      </c>
      <c r="AO314">
        <f t="shared" si="135"/>
        <v>0</v>
      </c>
      <c r="AP314">
        <f t="shared" si="136"/>
        <v>0</v>
      </c>
      <c r="AQ314">
        <f t="shared" si="137"/>
        <v>0</v>
      </c>
      <c r="AR314">
        <f t="shared" si="138"/>
        <v>0</v>
      </c>
      <c r="AS314">
        <f t="shared" si="139"/>
        <v>1</v>
      </c>
    </row>
    <row r="315" spans="2:45" x14ac:dyDescent="0.3">
      <c r="B315">
        <v>314</v>
      </c>
      <c r="C315" s="1">
        <v>40857</v>
      </c>
      <c r="D315">
        <v>4</v>
      </c>
      <c r="E315">
        <v>0</v>
      </c>
      <c r="F315">
        <v>11</v>
      </c>
      <c r="G315">
        <v>4</v>
      </c>
      <c r="H315">
        <v>2</v>
      </c>
      <c r="I315">
        <v>190</v>
      </c>
      <c r="J315">
        <v>2743</v>
      </c>
      <c r="K315" s="8">
        <v>2933</v>
      </c>
      <c r="L315">
        <v>15.58</v>
      </c>
      <c r="M315">
        <v>18.686050000000002</v>
      </c>
      <c r="N315">
        <v>81.333299999999994</v>
      </c>
      <c r="O315">
        <v>12.667489</v>
      </c>
      <c r="P315">
        <v>0</v>
      </c>
      <c r="Q315">
        <v>1</v>
      </c>
      <c r="R315">
        <f t="shared" si="112"/>
        <v>0</v>
      </c>
      <c r="S315">
        <f t="shared" si="113"/>
        <v>0</v>
      </c>
      <c r="T315">
        <f t="shared" si="114"/>
        <v>0</v>
      </c>
      <c r="U315">
        <f t="shared" si="115"/>
        <v>0</v>
      </c>
      <c r="V315">
        <f t="shared" si="116"/>
        <v>0</v>
      </c>
      <c r="W315">
        <f t="shared" si="117"/>
        <v>0</v>
      </c>
      <c r="X315">
        <f t="shared" si="118"/>
        <v>0</v>
      </c>
      <c r="Y315">
        <f t="shared" si="119"/>
        <v>0</v>
      </c>
      <c r="Z315">
        <f t="shared" si="120"/>
        <v>0</v>
      </c>
      <c r="AA315">
        <f t="shared" si="121"/>
        <v>0</v>
      </c>
      <c r="AB315">
        <f t="shared" si="122"/>
        <v>1</v>
      </c>
      <c r="AC315">
        <f t="shared" si="123"/>
        <v>0</v>
      </c>
      <c r="AD315">
        <f t="shared" si="124"/>
        <v>0</v>
      </c>
      <c r="AE315">
        <f t="shared" si="125"/>
        <v>0</v>
      </c>
      <c r="AF315">
        <f t="shared" si="126"/>
        <v>0</v>
      </c>
      <c r="AG315">
        <f t="shared" si="127"/>
        <v>0</v>
      </c>
      <c r="AH315">
        <f t="shared" si="128"/>
        <v>1</v>
      </c>
      <c r="AI315">
        <f t="shared" si="129"/>
        <v>0</v>
      </c>
      <c r="AJ315">
        <f t="shared" si="130"/>
        <v>0</v>
      </c>
      <c r="AK315">
        <f t="shared" si="131"/>
        <v>0</v>
      </c>
      <c r="AL315">
        <f t="shared" si="132"/>
        <v>1</v>
      </c>
      <c r="AM315">
        <f t="shared" si="133"/>
        <v>0</v>
      </c>
      <c r="AN315">
        <f t="shared" si="134"/>
        <v>1</v>
      </c>
      <c r="AO315">
        <f t="shared" si="135"/>
        <v>0</v>
      </c>
      <c r="AP315">
        <f t="shared" si="136"/>
        <v>0</v>
      </c>
      <c r="AQ315">
        <f t="shared" si="137"/>
        <v>0</v>
      </c>
      <c r="AR315">
        <f t="shared" si="138"/>
        <v>0</v>
      </c>
      <c r="AS315">
        <f t="shared" si="139"/>
        <v>1</v>
      </c>
    </row>
    <row r="316" spans="2:45" x14ac:dyDescent="0.3">
      <c r="B316">
        <v>315</v>
      </c>
      <c r="C316" s="1">
        <v>40858</v>
      </c>
      <c r="D316">
        <v>4</v>
      </c>
      <c r="E316">
        <v>0</v>
      </c>
      <c r="F316">
        <v>11</v>
      </c>
      <c r="G316">
        <v>5</v>
      </c>
      <c r="H316">
        <v>1</v>
      </c>
      <c r="I316">
        <v>440</v>
      </c>
      <c r="J316">
        <v>2928</v>
      </c>
      <c r="K316" s="8">
        <v>3368</v>
      </c>
      <c r="L316">
        <v>13.290846999999999</v>
      </c>
      <c r="M316">
        <v>15.34085</v>
      </c>
      <c r="N316">
        <v>44.625</v>
      </c>
      <c r="O316">
        <v>21.083224999999999</v>
      </c>
      <c r="P316">
        <v>1</v>
      </c>
      <c r="Q316">
        <v>0</v>
      </c>
      <c r="R316">
        <f t="shared" si="112"/>
        <v>0</v>
      </c>
      <c r="S316">
        <f t="shared" si="113"/>
        <v>0</v>
      </c>
      <c r="T316">
        <f t="shared" si="114"/>
        <v>0</v>
      </c>
      <c r="U316">
        <f t="shared" si="115"/>
        <v>0</v>
      </c>
      <c r="V316">
        <f t="shared" si="116"/>
        <v>0</v>
      </c>
      <c r="W316">
        <f t="shared" si="117"/>
        <v>0</v>
      </c>
      <c r="X316">
        <f t="shared" si="118"/>
        <v>0</v>
      </c>
      <c r="Y316">
        <f t="shared" si="119"/>
        <v>0</v>
      </c>
      <c r="Z316">
        <f t="shared" si="120"/>
        <v>0</v>
      </c>
      <c r="AA316">
        <f t="shared" si="121"/>
        <v>0</v>
      </c>
      <c r="AB316">
        <f t="shared" si="122"/>
        <v>1</v>
      </c>
      <c r="AC316">
        <f t="shared" si="123"/>
        <v>0</v>
      </c>
      <c r="AD316">
        <f t="shared" si="124"/>
        <v>0</v>
      </c>
      <c r="AE316">
        <f t="shared" si="125"/>
        <v>0</v>
      </c>
      <c r="AF316">
        <f t="shared" si="126"/>
        <v>0</v>
      </c>
      <c r="AG316">
        <f t="shared" si="127"/>
        <v>0</v>
      </c>
      <c r="AH316">
        <f t="shared" si="128"/>
        <v>0</v>
      </c>
      <c r="AI316">
        <f t="shared" si="129"/>
        <v>1</v>
      </c>
      <c r="AJ316">
        <f t="shared" si="130"/>
        <v>0</v>
      </c>
      <c r="AK316">
        <f t="shared" si="131"/>
        <v>1</v>
      </c>
      <c r="AL316">
        <f t="shared" si="132"/>
        <v>0</v>
      </c>
      <c r="AM316">
        <f t="shared" si="133"/>
        <v>0</v>
      </c>
      <c r="AN316">
        <f t="shared" si="134"/>
        <v>1</v>
      </c>
      <c r="AO316">
        <f t="shared" si="135"/>
        <v>0</v>
      </c>
      <c r="AP316">
        <f t="shared" si="136"/>
        <v>0</v>
      </c>
      <c r="AQ316">
        <f t="shared" si="137"/>
        <v>0</v>
      </c>
      <c r="AR316">
        <f t="shared" si="138"/>
        <v>0</v>
      </c>
      <c r="AS316">
        <f t="shared" si="139"/>
        <v>1</v>
      </c>
    </row>
    <row r="317" spans="2:45" x14ac:dyDescent="0.3">
      <c r="B317">
        <v>316</v>
      </c>
      <c r="C317" s="1">
        <v>40859</v>
      </c>
      <c r="D317">
        <v>4</v>
      </c>
      <c r="E317">
        <v>0</v>
      </c>
      <c r="F317">
        <v>11</v>
      </c>
      <c r="G317">
        <v>6</v>
      </c>
      <c r="H317">
        <v>1</v>
      </c>
      <c r="I317">
        <v>1275</v>
      </c>
      <c r="J317">
        <v>2792</v>
      </c>
      <c r="K317" s="8">
        <v>4067</v>
      </c>
      <c r="L317">
        <v>14.623347000000001</v>
      </c>
      <c r="M317">
        <v>17.897099999999998</v>
      </c>
      <c r="N317">
        <v>55.291699999999999</v>
      </c>
      <c r="O317">
        <v>14.208154</v>
      </c>
      <c r="P317">
        <v>0</v>
      </c>
      <c r="Q317">
        <v>0</v>
      </c>
      <c r="R317">
        <f t="shared" si="112"/>
        <v>0</v>
      </c>
      <c r="S317">
        <f t="shared" si="113"/>
        <v>0</v>
      </c>
      <c r="T317">
        <f t="shared" si="114"/>
        <v>0</v>
      </c>
      <c r="U317">
        <f t="shared" si="115"/>
        <v>0</v>
      </c>
      <c r="V317">
        <f t="shared" si="116"/>
        <v>0</v>
      </c>
      <c r="W317">
        <f t="shared" si="117"/>
        <v>0</v>
      </c>
      <c r="X317">
        <f t="shared" si="118"/>
        <v>0</v>
      </c>
      <c r="Y317">
        <f t="shared" si="119"/>
        <v>0</v>
      </c>
      <c r="Z317">
        <f t="shared" si="120"/>
        <v>0</v>
      </c>
      <c r="AA317">
        <f t="shared" si="121"/>
        <v>0</v>
      </c>
      <c r="AB317">
        <f t="shared" si="122"/>
        <v>1</v>
      </c>
      <c r="AC317">
        <f t="shared" si="123"/>
        <v>0</v>
      </c>
      <c r="AD317">
        <f t="shared" si="124"/>
        <v>0</v>
      </c>
      <c r="AE317">
        <f t="shared" si="125"/>
        <v>0</v>
      </c>
      <c r="AF317">
        <f t="shared" si="126"/>
        <v>0</v>
      </c>
      <c r="AG317">
        <f t="shared" si="127"/>
        <v>0</v>
      </c>
      <c r="AH317">
        <f t="shared" si="128"/>
        <v>0</v>
      </c>
      <c r="AI317">
        <f t="shared" si="129"/>
        <v>0</v>
      </c>
      <c r="AJ317">
        <f t="shared" si="130"/>
        <v>1</v>
      </c>
      <c r="AK317">
        <f t="shared" si="131"/>
        <v>1</v>
      </c>
      <c r="AL317">
        <f t="shared" si="132"/>
        <v>0</v>
      </c>
      <c r="AM317">
        <f t="shared" si="133"/>
        <v>0</v>
      </c>
      <c r="AN317">
        <f t="shared" si="134"/>
        <v>1</v>
      </c>
      <c r="AO317">
        <f t="shared" si="135"/>
        <v>0</v>
      </c>
      <c r="AP317">
        <f t="shared" si="136"/>
        <v>0</v>
      </c>
      <c r="AQ317">
        <f t="shared" si="137"/>
        <v>0</v>
      </c>
      <c r="AR317">
        <f t="shared" si="138"/>
        <v>0</v>
      </c>
      <c r="AS317">
        <f t="shared" si="139"/>
        <v>1</v>
      </c>
    </row>
    <row r="318" spans="2:45" x14ac:dyDescent="0.3">
      <c r="B318">
        <v>317</v>
      </c>
      <c r="C318" s="1">
        <v>40860</v>
      </c>
      <c r="D318">
        <v>4</v>
      </c>
      <c r="E318">
        <v>0</v>
      </c>
      <c r="F318">
        <v>11</v>
      </c>
      <c r="G318">
        <v>0</v>
      </c>
      <c r="H318">
        <v>1</v>
      </c>
      <c r="I318">
        <v>1004</v>
      </c>
      <c r="J318">
        <v>2713</v>
      </c>
      <c r="K318" s="8">
        <v>3717</v>
      </c>
      <c r="L318">
        <v>18.074152999999999</v>
      </c>
      <c r="M318">
        <v>21.5275</v>
      </c>
      <c r="N318">
        <v>45.833300000000001</v>
      </c>
      <c r="O318">
        <v>18.875306999999999</v>
      </c>
      <c r="P318">
        <v>0</v>
      </c>
      <c r="Q318">
        <v>0</v>
      </c>
      <c r="R318">
        <f t="shared" si="112"/>
        <v>0</v>
      </c>
      <c r="S318">
        <f t="shared" si="113"/>
        <v>0</v>
      </c>
      <c r="T318">
        <f t="shared" si="114"/>
        <v>0</v>
      </c>
      <c r="U318">
        <f t="shared" si="115"/>
        <v>0</v>
      </c>
      <c r="V318">
        <f t="shared" si="116"/>
        <v>0</v>
      </c>
      <c r="W318">
        <f t="shared" si="117"/>
        <v>0</v>
      </c>
      <c r="X318">
        <f t="shared" si="118"/>
        <v>0</v>
      </c>
      <c r="Y318">
        <f t="shared" si="119"/>
        <v>0</v>
      </c>
      <c r="Z318">
        <f t="shared" si="120"/>
        <v>0</v>
      </c>
      <c r="AA318">
        <f t="shared" si="121"/>
        <v>0</v>
      </c>
      <c r="AB318">
        <f t="shared" si="122"/>
        <v>1</v>
      </c>
      <c r="AC318">
        <f t="shared" si="123"/>
        <v>0</v>
      </c>
      <c r="AD318">
        <f t="shared" si="124"/>
        <v>1</v>
      </c>
      <c r="AE318">
        <f t="shared" si="125"/>
        <v>0</v>
      </c>
      <c r="AF318">
        <f t="shared" si="126"/>
        <v>0</v>
      </c>
      <c r="AG318">
        <f t="shared" si="127"/>
        <v>0</v>
      </c>
      <c r="AH318">
        <f t="shared" si="128"/>
        <v>0</v>
      </c>
      <c r="AI318">
        <f t="shared" si="129"/>
        <v>0</v>
      </c>
      <c r="AJ318">
        <f t="shared" si="130"/>
        <v>0</v>
      </c>
      <c r="AK318">
        <f t="shared" si="131"/>
        <v>1</v>
      </c>
      <c r="AL318">
        <f t="shared" si="132"/>
        <v>0</v>
      </c>
      <c r="AM318">
        <f t="shared" si="133"/>
        <v>0</v>
      </c>
      <c r="AN318">
        <f t="shared" si="134"/>
        <v>1</v>
      </c>
      <c r="AO318">
        <f t="shared" si="135"/>
        <v>0</v>
      </c>
      <c r="AP318">
        <f t="shared" si="136"/>
        <v>0</v>
      </c>
      <c r="AQ318">
        <f t="shared" si="137"/>
        <v>0</v>
      </c>
      <c r="AR318">
        <f t="shared" si="138"/>
        <v>0</v>
      </c>
      <c r="AS318">
        <f t="shared" si="139"/>
        <v>1</v>
      </c>
    </row>
    <row r="319" spans="2:45" x14ac:dyDescent="0.3">
      <c r="B319">
        <v>318</v>
      </c>
      <c r="C319" s="1">
        <v>40861</v>
      </c>
      <c r="D319">
        <v>4</v>
      </c>
      <c r="E319">
        <v>0</v>
      </c>
      <c r="F319">
        <v>11</v>
      </c>
      <c r="G319">
        <v>1</v>
      </c>
      <c r="H319">
        <v>1</v>
      </c>
      <c r="I319">
        <v>595</v>
      </c>
      <c r="J319">
        <v>3891</v>
      </c>
      <c r="K319" s="8">
        <v>4486</v>
      </c>
      <c r="L319">
        <v>21.73</v>
      </c>
      <c r="M319">
        <v>26.230599999999999</v>
      </c>
      <c r="N319">
        <v>58.708300000000001</v>
      </c>
      <c r="O319">
        <v>20.541931999999999</v>
      </c>
      <c r="P319">
        <v>0</v>
      </c>
      <c r="Q319">
        <v>1</v>
      </c>
      <c r="R319">
        <f t="shared" si="112"/>
        <v>0</v>
      </c>
      <c r="S319">
        <f t="shared" si="113"/>
        <v>0</v>
      </c>
      <c r="T319">
        <f t="shared" si="114"/>
        <v>0</v>
      </c>
      <c r="U319">
        <f t="shared" si="115"/>
        <v>0</v>
      </c>
      <c r="V319">
        <f t="shared" si="116"/>
        <v>0</v>
      </c>
      <c r="W319">
        <f t="shared" si="117"/>
        <v>0</v>
      </c>
      <c r="X319">
        <f t="shared" si="118"/>
        <v>0</v>
      </c>
      <c r="Y319">
        <f t="shared" si="119"/>
        <v>0</v>
      </c>
      <c r="Z319">
        <f t="shared" si="120"/>
        <v>0</v>
      </c>
      <c r="AA319">
        <f t="shared" si="121"/>
        <v>0</v>
      </c>
      <c r="AB319">
        <f t="shared" si="122"/>
        <v>1</v>
      </c>
      <c r="AC319">
        <f t="shared" si="123"/>
        <v>0</v>
      </c>
      <c r="AD319">
        <f t="shared" si="124"/>
        <v>0</v>
      </c>
      <c r="AE319">
        <f t="shared" si="125"/>
        <v>1</v>
      </c>
      <c r="AF319">
        <f t="shared" si="126"/>
        <v>0</v>
      </c>
      <c r="AG319">
        <f t="shared" si="127"/>
        <v>0</v>
      </c>
      <c r="AH319">
        <f t="shared" si="128"/>
        <v>0</v>
      </c>
      <c r="AI319">
        <f t="shared" si="129"/>
        <v>0</v>
      </c>
      <c r="AJ319">
        <f t="shared" si="130"/>
        <v>0</v>
      </c>
      <c r="AK319">
        <f t="shared" si="131"/>
        <v>1</v>
      </c>
      <c r="AL319">
        <f t="shared" si="132"/>
        <v>0</v>
      </c>
      <c r="AM319">
        <f t="shared" si="133"/>
        <v>0</v>
      </c>
      <c r="AN319">
        <f t="shared" si="134"/>
        <v>1</v>
      </c>
      <c r="AO319">
        <f t="shared" si="135"/>
        <v>0</v>
      </c>
      <c r="AP319">
        <f t="shared" si="136"/>
        <v>0</v>
      </c>
      <c r="AQ319">
        <f t="shared" si="137"/>
        <v>0</v>
      </c>
      <c r="AR319">
        <f t="shared" si="138"/>
        <v>0</v>
      </c>
      <c r="AS319">
        <f t="shared" si="139"/>
        <v>1</v>
      </c>
    </row>
    <row r="320" spans="2:45" x14ac:dyDescent="0.3">
      <c r="B320">
        <v>319</v>
      </c>
      <c r="C320" s="1">
        <v>40862</v>
      </c>
      <c r="D320">
        <v>4</v>
      </c>
      <c r="E320">
        <v>0</v>
      </c>
      <c r="F320">
        <v>11</v>
      </c>
      <c r="G320">
        <v>2</v>
      </c>
      <c r="H320">
        <v>2</v>
      </c>
      <c r="I320">
        <v>449</v>
      </c>
      <c r="J320">
        <v>3746</v>
      </c>
      <c r="K320" s="8">
        <v>4195</v>
      </c>
      <c r="L320">
        <v>21.73</v>
      </c>
      <c r="M320">
        <v>25.37895</v>
      </c>
      <c r="N320">
        <v>68.875</v>
      </c>
      <c r="O320">
        <v>13.375411</v>
      </c>
      <c r="P320">
        <v>0</v>
      </c>
      <c r="Q320">
        <v>1</v>
      </c>
      <c r="R320">
        <f t="shared" si="112"/>
        <v>0</v>
      </c>
      <c r="S320">
        <f t="shared" si="113"/>
        <v>0</v>
      </c>
      <c r="T320">
        <f t="shared" si="114"/>
        <v>0</v>
      </c>
      <c r="U320">
        <f t="shared" si="115"/>
        <v>0</v>
      </c>
      <c r="V320">
        <f t="shared" si="116"/>
        <v>0</v>
      </c>
      <c r="W320">
        <f t="shared" si="117"/>
        <v>0</v>
      </c>
      <c r="X320">
        <f t="shared" si="118"/>
        <v>0</v>
      </c>
      <c r="Y320">
        <f t="shared" si="119"/>
        <v>0</v>
      </c>
      <c r="Z320">
        <f t="shared" si="120"/>
        <v>0</v>
      </c>
      <c r="AA320">
        <f t="shared" si="121"/>
        <v>0</v>
      </c>
      <c r="AB320">
        <f t="shared" si="122"/>
        <v>1</v>
      </c>
      <c r="AC320">
        <f t="shared" si="123"/>
        <v>0</v>
      </c>
      <c r="AD320">
        <f t="shared" si="124"/>
        <v>0</v>
      </c>
      <c r="AE320">
        <f t="shared" si="125"/>
        <v>0</v>
      </c>
      <c r="AF320">
        <f t="shared" si="126"/>
        <v>1</v>
      </c>
      <c r="AG320">
        <f t="shared" si="127"/>
        <v>0</v>
      </c>
      <c r="AH320">
        <f t="shared" si="128"/>
        <v>0</v>
      </c>
      <c r="AI320">
        <f t="shared" si="129"/>
        <v>0</v>
      </c>
      <c r="AJ320">
        <f t="shared" si="130"/>
        <v>0</v>
      </c>
      <c r="AK320">
        <f t="shared" si="131"/>
        <v>0</v>
      </c>
      <c r="AL320">
        <f t="shared" si="132"/>
        <v>1</v>
      </c>
      <c r="AM320">
        <f t="shared" si="133"/>
        <v>0</v>
      </c>
      <c r="AN320">
        <f t="shared" si="134"/>
        <v>1</v>
      </c>
      <c r="AO320">
        <f t="shared" si="135"/>
        <v>0</v>
      </c>
      <c r="AP320">
        <f t="shared" si="136"/>
        <v>0</v>
      </c>
      <c r="AQ320">
        <f t="shared" si="137"/>
        <v>0</v>
      </c>
      <c r="AR320">
        <f t="shared" si="138"/>
        <v>0</v>
      </c>
      <c r="AS320">
        <f t="shared" si="139"/>
        <v>1</v>
      </c>
    </row>
    <row r="321" spans="2:45" x14ac:dyDescent="0.3">
      <c r="B321">
        <v>320</v>
      </c>
      <c r="C321" s="1">
        <v>40863</v>
      </c>
      <c r="D321">
        <v>4</v>
      </c>
      <c r="E321">
        <v>0</v>
      </c>
      <c r="F321">
        <v>11</v>
      </c>
      <c r="G321">
        <v>3</v>
      </c>
      <c r="H321">
        <v>3</v>
      </c>
      <c r="I321">
        <v>145</v>
      </c>
      <c r="J321">
        <v>1672</v>
      </c>
      <c r="K321" s="8">
        <v>1817</v>
      </c>
      <c r="L321">
        <v>18.723347</v>
      </c>
      <c r="M321">
        <v>22.599399999999999</v>
      </c>
      <c r="N321">
        <v>93</v>
      </c>
      <c r="O321">
        <v>9.1675430000000002</v>
      </c>
      <c r="P321">
        <v>0</v>
      </c>
      <c r="Q321">
        <v>1</v>
      </c>
      <c r="R321">
        <f t="shared" si="112"/>
        <v>0</v>
      </c>
      <c r="S321">
        <f t="shared" si="113"/>
        <v>0</v>
      </c>
      <c r="T321">
        <f t="shared" si="114"/>
        <v>0</v>
      </c>
      <c r="U321">
        <f t="shared" si="115"/>
        <v>0</v>
      </c>
      <c r="V321">
        <f t="shared" si="116"/>
        <v>0</v>
      </c>
      <c r="W321">
        <f t="shared" si="117"/>
        <v>0</v>
      </c>
      <c r="X321">
        <f t="shared" si="118"/>
        <v>0</v>
      </c>
      <c r="Y321">
        <f t="shared" si="119"/>
        <v>0</v>
      </c>
      <c r="Z321">
        <f t="shared" si="120"/>
        <v>0</v>
      </c>
      <c r="AA321">
        <f t="shared" si="121"/>
        <v>0</v>
      </c>
      <c r="AB321">
        <f t="shared" si="122"/>
        <v>1</v>
      </c>
      <c r="AC321">
        <f t="shared" si="123"/>
        <v>0</v>
      </c>
      <c r="AD321">
        <f t="shared" si="124"/>
        <v>0</v>
      </c>
      <c r="AE321">
        <f t="shared" si="125"/>
        <v>0</v>
      </c>
      <c r="AF321">
        <f t="shared" si="126"/>
        <v>0</v>
      </c>
      <c r="AG321">
        <f t="shared" si="127"/>
        <v>1</v>
      </c>
      <c r="AH321">
        <f t="shared" si="128"/>
        <v>0</v>
      </c>
      <c r="AI321">
        <f t="shared" si="129"/>
        <v>0</v>
      </c>
      <c r="AJ321">
        <f t="shared" si="130"/>
        <v>0</v>
      </c>
      <c r="AK321">
        <f t="shared" si="131"/>
        <v>0</v>
      </c>
      <c r="AL321">
        <f t="shared" si="132"/>
        <v>0</v>
      </c>
      <c r="AM321">
        <f t="shared" si="133"/>
        <v>1</v>
      </c>
      <c r="AN321">
        <f t="shared" si="134"/>
        <v>1</v>
      </c>
      <c r="AO321">
        <f t="shared" si="135"/>
        <v>0</v>
      </c>
      <c r="AP321">
        <f t="shared" si="136"/>
        <v>0</v>
      </c>
      <c r="AQ321">
        <f t="shared" si="137"/>
        <v>0</v>
      </c>
      <c r="AR321">
        <f t="shared" si="138"/>
        <v>0</v>
      </c>
      <c r="AS321">
        <f t="shared" si="139"/>
        <v>1</v>
      </c>
    </row>
    <row r="322" spans="2:45" x14ac:dyDescent="0.3">
      <c r="B322">
        <v>321</v>
      </c>
      <c r="C322" s="1">
        <v>40864</v>
      </c>
      <c r="D322">
        <v>4</v>
      </c>
      <c r="E322">
        <v>0</v>
      </c>
      <c r="F322">
        <v>11</v>
      </c>
      <c r="G322">
        <v>4</v>
      </c>
      <c r="H322">
        <v>2</v>
      </c>
      <c r="I322">
        <v>139</v>
      </c>
      <c r="J322">
        <v>2914</v>
      </c>
      <c r="K322" s="8">
        <v>3053</v>
      </c>
      <c r="L322">
        <v>14.008347000000001</v>
      </c>
      <c r="M322">
        <v>16.161049999999999</v>
      </c>
      <c r="N322">
        <v>57.583300000000001</v>
      </c>
      <c r="O322">
        <v>20.459254000000001</v>
      </c>
      <c r="P322">
        <v>0</v>
      </c>
      <c r="Q322">
        <v>1</v>
      </c>
      <c r="R322">
        <f t="shared" si="112"/>
        <v>0</v>
      </c>
      <c r="S322">
        <f t="shared" si="113"/>
        <v>0</v>
      </c>
      <c r="T322">
        <f t="shared" si="114"/>
        <v>0</v>
      </c>
      <c r="U322">
        <f t="shared" si="115"/>
        <v>0</v>
      </c>
      <c r="V322">
        <f t="shared" si="116"/>
        <v>0</v>
      </c>
      <c r="W322">
        <f t="shared" si="117"/>
        <v>0</v>
      </c>
      <c r="X322">
        <f t="shared" si="118"/>
        <v>0</v>
      </c>
      <c r="Y322">
        <f t="shared" si="119"/>
        <v>0</v>
      </c>
      <c r="Z322">
        <f t="shared" si="120"/>
        <v>0</v>
      </c>
      <c r="AA322">
        <f t="shared" si="121"/>
        <v>0</v>
      </c>
      <c r="AB322">
        <f t="shared" si="122"/>
        <v>1</v>
      </c>
      <c r="AC322">
        <f t="shared" si="123"/>
        <v>0</v>
      </c>
      <c r="AD322">
        <f t="shared" si="124"/>
        <v>0</v>
      </c>
      <c r="AE322">
        <f t="shared" si="125"/>
        <v>0</v>
      </c>
      <c r="AF322">
        <f t="shared" si="126"/>
        <v>0</v>
      </c>
      <c r="AG322">
        <f t="shared" si="127"/>
        <v>0</v>
      </c>
      <c r="AH322">
        <f t="shared" si="128"/>
        <v>1</v>
      </c>
      <c r="AI322">
        <f t="shared" si="129"/>
        <v>0</v>
      </c>
      <c r="AJ322">
        <f t="shared" si="130"/>
        <v>0</v>
      </c>
      <c r="AK322">
        <f t="shared" si="131"/>
        <v>0</v>
      </c>
      <c r="AL322">
        <f t="shared" si="132"/>
        <v>1</v>
      </c>
      <c r="AM322">
        <f t="shared" si="133"/>
        <v>0</v>
      </c>
      <c r="AN322">
        <f t="shared" si="134"/>
        <v>1</v>
      </c>
      <c r="AO322">
        <f t="shared" si="135"/>
        <v>0</v>
      </c>
      <c r="AP322">
        <f t="shared" si="136"/>
        <v>0</v>
      </c>
      <c r="AQ322">
        <f t="shared" si="137"/>
        <v>0</v>
      </c>
      <c r="AR322">
        <f t="shared" si="138"/>
        <v>0</v>
      </c>
      <c r="AS322">
        <f t="shared" si="139"/>
        <v>1</v>
      </c>
    </row>
    <row r="323" spans="2:45" x14ac:dyDescent="0.3">
      <c r="B323">
        <v>322</v>
      </c>
      <c r="C323" s="1">
        <v>40865</v>
      </c>
      <c r="D323">
        <v>4</v>
      </c>
      <c r="E323">
        <v>0</v>
      </c>
      <c r="F323">
        <v>11</v>
      </c>
      <c r="G323">
        <v>5</v>
      </c>
      <c r="H323">
        <v>1</v>
      </c>
      <c r="I323">
        <v>245</v>
      </c>
      <c r="J323">
        <v>3147</v>
      </c>
      <c r="K323" s="8">
        <v>3392</v>
      </c>
      <c r="L323">
        <v>11.240847</v>
      </c>
      <c r="M323">
        <v>13.636049999999999</v>
      </c>
      <c r="N323">
        <v>41</v>
      </c>
      <c r="O323">
        <v>11.291710999999999</v>
      </c>
      <c r="P323">
        <v>0</v>
      </c>
      <c r="Q323">
        <v>1</v>
      </c>
      <c r="R323">
        <f t="shared" ref="R323:R386" si="140">IF($F323=1,1,0)</f>
        <v>0</v>
      </c>
      <c r="S323">
        <f t="shared" ref="S323:S386" si="141">IF($F323=2,1,0)</f>
        <v>0</v>
      </c>
      <c r="T323">
        <f t="shared" ref="T323:T386" si="142">IF($F323=3,1,0)</f>
        <v>0</v>
      </c>
      <c r="U323">
        <f t="shared" ref="U323:U386" si="143">IF($F323=4,1,0)</f>
        <v>0</v>
      </c>
      <c r="V323">
        <f t="shared" ref="V323:V386" si="144">IF($F323=5,1,0)</f>
        <v>0</v>
      </c>
      <c r="W323">
        <f t="shared" ref="W323:W386" si="145">IF($F323=6,1,0)</f>
        <v>0</v>
      </c>
      <c r="X323">
        <f t="shared" ref="X323:X386" si="146">IF($F323=7,1,0)</f>
        <v>0</v>
      </c>
      <c r="Y323">
        <f t="shared" ref="Y323:Y386" si="147">IF($F323=8,1,0)</f>
        <v>0</v>
      </c>
      <c r="Z323">
        <f t="shared" ref="Z323:Z386" si="148">IF($F323=9,1,0)</f>
        <v>0</v>
      </c>
      <c r="AA323">
        <f t="shared" ref="AA323:AA386" si="149">IF($F323=10,1,0)</f>
        <v>0</v>
      </c>
      <c r="AB323">
        <f t="shared" ref="AB323:AB386" si="150">IF($F323=11,1,0)</f>
        <v>1</v>
      </c>
      <c r="AC323">
        <f t="shared" ref="AC323:AC386" si="151">IF($F323=12,1,0)</f>
        <v>0</v>
      </c>
      <c r="AD323">
        <f t="shared" ref="AD323:AD386" si="152">IF($G323=0,1,0)</f>
        <v>0</v>
      </c>
      <c r="AE323">
        <f t="shared" ref="AE323:AE386" si="153">IF($G323=1,1,0)</f>
        <v>0</v>
      </c>
      <c r="AF323">
        <f t="shared" ref="AF323:AF386" si="154">IF($G323=2,1,0)</f>
        <v>0</v>
      </c>
      <c r="AG323">
        <f t="shared" ref="AG323:AG386" si="155">IF($G323=3,1,0)</f>
        <v>0</v>
      </c>
      <c r="AH323">
        <f t="shared" ref="AH323:AH386" si="156">IF($G323=4,1,0)</f>
        <v>0</v>
      </c>
      <c r="AI323">
        <f t="shared" ref="AI323:AI386" si="157">IF($G323=5,1,0)</f>
        <v>1</v>
      </c>
      <c r="AJ323">
        <f t="shared" ref="AJ323:AJ386" si="158">IF($G323=6,1,0)</f>
        <v>0</v>
      </c>
      <c r="AK323">
        <f t="shared" ref="AK323:AK386" si="159">IF($H323=1,1,0)</f>
        <v>1</v>
      </c>
      <c r="AL323">
        <f t="shared" ref="AL323:AL386" si="160">IF($H323=2,1,0)</f>
        <v>0</v>
      </c>
      <c r="AM323">
        <f t="shared" ref="AM323:AM386" si="161">IF($H323=3,1,0)</f>
        <v>0</v>
      </c>
      <c r="AN323">
        <f t="shared" ref="AN323:AN386" si="162">IF($E323=0,1,0)</f>
        <v>1</v>
      </c>
      <c r="AO323">
        <f t="shared" ref="AO323:AO386" si="163">IF($E323=1,1,0)</f>
        <v>0</v>
      </c>
      <c r="AP323">
        <f t="shared" ref="AP323:AP386" si="164">IF($D323=1,1,0)</f>
        <v>0</v>
      </c>
      <c r="AQ323">
        <f t="shared" ref="AQ323:AQ386" si="165">IF($D323=2,1,0)</f>
        <v>0</v>
      </c>
      <c r="AR323">
        <f t="shared" ref="AR323:AR386" si="166">IF($D323=3,1,0)</f>
        <v>0</v>
      </c>
      <c r="AS323">
        <f t="shared" ref="AS323:AS386" si="167">IF($D323=4,1,0)</f>
        <v>1</v>
      </c>
    </row>
    <row r="324" spans="2:45" x14ac:dyDescent="0.3">
      <c r="B324">
        <v>323</v>
      </c>
      <c r="C324" s="1">
        <v>40866</v>
      </c>
      <c r="D324">
        <v>4</v>
      </c>
      <c r="E324">
        <v>0</v>
      </c>
      <c r="F324">
        <v>11</v>
      </c>
      <c r="G324">
        <v>6</v>
      </c>
      <c r="H324">
        <v>1</v>
      </c>
      <c r="I324">
        <v>943</v>
      </c>
      <c r="J324">
        <v>2720</v>
      </c>
      <c r="K324" s="8">
        <v>3663</v>
      </c>
      <c r="L324">
        <v>13.495846999999999</v>
      </c>
      <c r="M324">
        <v>16.224150000000002</v>
      </c>
      <c r="N324">
        <v>50.208300000000001</v>
      </c>
      <c r="O324">
        <v>15.041232000000001</v>
      </c>
      <c r="P324">
        <v>0</v>
      </c>
      <c r="Q324">
        <v>0</v>
      </c>
      <c r="R324">
        <f t="shared" si="140"/>
        <v>0</v>
      </c>
      <c r="S324">
        <f t="shared" si="141"/>
        <v>0</v>
      </c>
      <c r="T324">
        <f t="shared" si="142"/>
        <v>0</v>
      </c>
      <c r="U324">
        <f t="shared" si="143"/>
        <v>0</v>
      </c>
      <c r="V324">
        <f t="shared" si="144"/>
        <v>0</v>
      </c>
      <c r="W324">
        <f t="shared" si="145"/>
        <v>0</v>
      </c>
      <c r="X324">
        <f t="shared" si="146"/>
        <v>0</v>
      </c>
      <c r="Y324">
        <f t="shared" si="147"/>
        <v>0</v>
      </c>
      <c r="Z324">
        <f t="shared" si="148"/>
        <v>0</v>
      </c>
      <c r="AA324">
        <f t="shared" si="149"/>
        <v>0</v>
      </c>
      <c r="AB324">
        <f t="shared" si="150"/>
        <v>1</v>
      </c>
      <c r="AC324">
        <f t="shared" si="151"/>
        <v>0</v>
      </c>
      <c r="AD324">
        <f t="shared" si="152"/>
        <v>0</v>
      </c>
      <c r="AE324">
        <f t="shared" si="153"/>
        <v>0</v>
      </c>
      <c r="AF324">
        <f t="shared" si="154"/>
        <v>0</v>
      </c>
      <c r="AG324">
        <f t="shared" si="155"/>
        <v>0</v>
      </c>
      <c r="AH324">
        <f t="shared" si="156"/>
        <v>0</v>
      </c>
      <c r="AI324">
        <f t="shared" si="157"/>
        <v>0</v>
      </c>
      <c r="AJ324">
        <f t="shared" si="158"/>
        <v>1</v>
      </c>
      <c r="AK324">
        <f t="shared" si="159"/>
        <v>1</v>
      </c>
      <c r="AL324">
        <f t="shared" si="160"/>
        <v>0</v>
      </c>
      <c r="AM324">
        <f t="shared" si="161"/>
        <v>0</v>
      </c>
      <c r="AN324">
        <f t="shared" si="162"/>
        <v>1</v>
      </c>
      <c r="AO324">
        <f t="shared" si="163"/>
        <v>0</v>
      </c>
      <c r="AP324">
        <f t="shared" si="164"/>
        <v>0</v>
      </c>
      <c r="AQ324">
        <f t="shared" si="165"/>
        <v>0</v>
      </c>
      <c r="AR324">
        <f t="shared" si="166"/>
        <v>0</v>
      </c>
      <c r="AS324">
        <f t="shared" si="167"/>
        <v>1</v>
      </c>
    </row>
    <row r="325" spans="2:45" x14ac:dyDescent="0.3">
      <c r="B325">
        <v>324</v>
      </c>
      <c r="C325" s="1">
        <v>40867</v>
      </c>
      <c r="D325">
        <v>4</v>
      </c>
      <c r="E325">
        <v>0</v>
      </c>
      <c r="F325">
        <v>11</v>
      </c>
      <c r="G325">
        <v>0</v>
      </c>
      <c r="H325">
        <v>2</v>
      </c>
      <c r="I325">
        <v>787</v>
      </c>
      <c r="J325">
        <v>2733</v>
      </c>
      <c r="K325" s="8">
        <v>3520</v>
      </c>
      <c r="L325">
        <v>18.996652999999998</v>
      </c>
      <c r="M325">
        <v>22.852900000000002</v>
      </c>
      <c r="N325">
        <v>68.458299999999994</v>
      </c>
      <c r="O325">
        <v>12.45865</v>
      </c>
      <c r="P325">
        <v>0</v>
      </c>
      <c r="Q325">
        <v>0</v>
      </c>
      <c r="R325">
        <f t="shared" si="140"/>
        <v>0</v>
      </c>
      <c r="S325">
        <f t="shared" si="141"/>
        <v>0</v>
      </c>
      <c r="T325">
        <f t="shared" si="142"/>
        <v>0</v>
      </c>
      <c r="U325">
        <f t="shared" si="143"/>
        <v>0</v>
      </c>
      <c r="V325">
        <f t="shared" si="144"/>
        <v>0</v>
      </c>
      <c r="W325">
        <f t="shared" si="145"/>
        <v>0</v>
      </c>
      <c r="X325">
        <f t="shared" si="146"/>
        <v>0</v>
      </c>
      <c r="Y325">
        <f t="shared" si="147"/>
        <v>0</v>
      </c>
      <c r="Z325">
        <f t="shared" si="148"/>
        <v>0</v>
      </c>
      <c r="AA325">
        <f t="shared" si="149"/>
        <v>0</v>
      </c>
      <c r="AB325">
        <f t="shared" si="150"/>
        <v>1</v>
      </c>
      <c r="AC325">
        <f t="shared" si="151"/>
        <v>0</v>
      </c>
      <c r="AD325">
        <f t="shared" si="152"/>
        <v>1</v>
      </c>
      <c r="AE325">
        <f t="shared" si="153"/>
        <v>0</v>
      </c>
      <c r="AF325">
        <f t="shared" si="154"/>
        <v>0</v>
      </c>
      <c r="AG325">
        <f t="shared" si="155"/>
        <v>0</v>
      </c>
      <c r="AH325">
        <f t="shared" si="156"/>
        <v>0</v>
      </c>
      <c r="AI325">
        <f t="shared" si="157"/>
        <v>0</v>
      </c>
      <c r="AJ325">
        <f t="shared" si="158"/>
        <v>0</v>
      </c>
      <c r="AK325">
        <f t="shared" si="159"/>
        <v>0</v>
      </c>
      <c r="AL325">
        <f t="shared" si="160"/>
        <v>1</v>
      </c>
      <c r="AM325">
        <f t="shared" si="161"/>
        <v>0</v>
      </c>
      <c r="AN325">
        <f t="shared" si="162"/>
        <v>1</v>
      </c>
      <c r="AO325">
        <f t="shared" si="163"/>
        <v>0</v>
      </c>
      <c r="AP325">
        <f t="shared" si="164"/>
        <v>0</v>
      </c>
      <c r="AQ325">
        <f t="shared" si="165"/>
        <v>0</v>
      </c>
      <c r="AR325">
        <f t="shared" si="166"/>
        <v>0</v>
      </c>
      <c r="AS325">
        <f t="shared" si="167"/>
        <v>1</v>
      </c>
    </row>
    <row r="326" spans="2:45" x14ac:dyDescent="0.3">
      <c r="B326">
        <v>325</v>
      </c>
      <c r="C326" s="1">
        <v>40868</v>
      </c>
      <c r="D326">
        <v>4</v>
      </c>
      <c r="E326">
        <v>0</v>
      </c>
      <c r="F326">
        <v>11</v>
      </c>
      <c r="G326">
        <v>1</v>
      </c>
      <c r="H326">
        <v>3</v>
      </c>
      <c r="I326">
        <v>220</v>
      </c>
      <c r="J326">
        <v>2545</v>
      </c>
      <c r="K326" s="8">
        <v>2765</v>
      </c>
      <c r="L326">
        <v>18.3475</v>
      </c>
      <c r="M326">
        <v>22.2531</v>
      </c>
      <c r="N326">
        <v>91</v>
      </c>
      <c r="O326">
        <v>9.2496179999999999</v>
      </c>
      <c r="P326">
        <v>0</v>
      </c>
      <c r="Q326">
        <v>1</v>
      </c>
      <c r="R326">
        <f t="shared" si="140"/>
        <v>0</v>
      </c>
      <c r="S326">
        <f t="shared" si="141"/>
        <v>0</v>
      </c>
      <c r="T326">
        <f t="shared" si="142"/>
        <v>0</v>
      </c>
      <c r="U326">
        <f t="shared" si="143"/>
        <v>0</v>
      </c>
      <c r="V326">
        <f t="shared" si="144"/>
        <v>0</v>
      </c>
      <c r="W326">
        <f t="shared" si="145"/>
        <v>0</v>
      </c>
      <c r="X326">
        <f t="shared" si="146"/>
        <v>0</v>
      </c>
      <c r="Y326">
        <f t="shared" si="147"/>
        <v>0</v>
      </c>
      <c r="Z326">
        <f t="shared" si="148"/>
        <v>0</v>
      </c>
      <c r="AA326">
        <f t="shared" si="149"/>
        <v>0</v>
      </c>
      <c r="AB326">
        <f t="shared" si="150"/>
        <v>1</v>
      </c>
      <c r="AC326">
        <f t="shared" si="151"/>
        <v>0</v>
      </c>
      <c r="AD326">
        <f t="shared" si="152"/>
        <v>0</v>
      </c>
      <c r="AE326">
        <f t="shared" si="153"/>
        <v>1</v>
      </c>
      <c r="AF326">
        <f t="shared" si="154"/>
        <v>0</v>
      </c>
      <c r="AG326">
        <f t="shared" si="155"/>
        <v>0</v>
      </c>
      <c r="AH326">
        <f t="shared" si="156"/>
        <v>0</v>
      </c>
      <c r="AI326">
        <f t="shared" si="157"/>
        <v>0</v>
      </c>
      <c r="AJ326">
        <f t="shared" si="158"/>
        <v>0</v>
      </c>
      <c r="AK326">
        <f t="shared" si="159"/>
        <v>0</v>
      </c>
      <c r="AL326">
        <f t="shared" si="160"/>
        <v>0</v>
      </c>
      <c r="AM326">
        <f t="shared" si="161"/>
        <v>1</v>
      </c>
      <c r="AN326">
        <f t="shared" si="162"/>
        <v>1</v>
      </c>
      <c r="AO326">
        <f t="shared" si="163"/>
        <v>0</v>
      </c>
      <c r="AP326">
        <f t="shared" si="164"/>
        <v>0</v>
      </c>
      <c r="AQ326">
        <f t="shared" si="165"/>
        <v>0</v>
      </c>
      <c r="AR326">
        <f t="shared" si="166"/>
        <v>0</v>
      </c>
      <c r="AS326">
        <f t="shared" si="167"/>
        <v>1</v>
      </c>
    </row>
    <row r="327" spans="2:45" x14ac:dyDescent="0.3">
      <c r="B327">
        <v>326</v>
      </c>
      <c r="C327" s="1">
        <v>40869</v>
      </c>
      <c r="D327">
        <v>4</v>
      </c>
      <c r="E327">
        <v>0</v>
      </c>
      <c r="F327">
        <v>11</v>
      </c>
      <c r="G327">
        <v>2</v>
      </c>
      <c r="H327">
        <v>3</v>
      </c>
      <c r="I327">
        <v>69</v>
      </c>
      <c r="J327">
        <v>1538</v>
      </c>
      <c r="K327" s="8">
        <v>1607</v>
      </c>
      <c r="L327">
        <v>17.083347</v>
      </c>
      <c r="M327">
        <v>21.084800000000001</v>
      </c>
      <c r="N327">
        <v>96.25</v>
      </c>
      <c r="O327">
        <v>7.9590639999999997</v>
      </c>
      <c r="P327">
        <v>0</v>
      </c>
      <c r="Q327">
        <v>1</v>
      </c>
      <c r="R327">
        <f t="shared" si="140"/>
        <v>0</v>
      </c>
      <c r="S327">
        <f t="shared" si="141"/>
        <v>0</v>
      </c>
      <c r="T327">
        <f t="shared" si="142"/>
        <v>0</v>
      </c>
      <c r="U327">
        <f t="shared" si="143"/>
        <v>0</v>
      </c>
      <c r="V327">
        <f t="shared" si="144"/>
        <v>0</v>
      </c>
      <c r="W327">
        <f t="shared" si="145"/>
        <v>0</v>
      </c>
      <c r="X327">
        <f t="shared" si="146"/>
        <v>0</v>
      </c>
      <c r="Y327">
        <f t="shared" si="147"/>
        <v>0</v>
      </c>
      <c r="Z327">
        <f t="shared" si="148"/>
        <v>0</v>
      </c>
      <c r="AA327">
        <f t="shared" si="149"/>
        <v>0</v>
      </c>
      <c r="AB327">
        <f t="shared" si="150"/>
        <v>1</v>
      </c>
      <c r="AC327">
        <f t="shared" si="151"/>
        <v>0</v>
      </c>
      <c r="AD327">
        <f t="shared" si="152"/>
        <v>0</v>
      </c>
      <c r="AE327">
        <f t="shared" si="153"/>
        <v>0</v>
      </c>
      <c r="AF327">
        <f t="shared" si="154"/>
        <v>1</v>
      </c>
      <c r="AG327">
        <f t="shared" si="155"/>
        <v>0</v>
      </c>
      <c r="AH327">
        <f t="shared" si="156"/>
        <v>0</v>
      </c>
      <c r="AI327">
        <f t="shared" si="157"/>
        <v>0</v>
      </c>
      <c r="AJ327">
        <f t="shared" si="158"/>
        <v>0</v>
      </c>
      <c r="AK327">
        <f t="shared" si="159"/>
        <v>0</v>
      </c>
      <c r="AL327">
        <f t="shared" si="160"/>
        <v>0</v>
      </c>
      <c r="AM327">
        <f t="shared" si="161"/>
        <v>1</v>
      </c>
      <c r="AN327">
        <f t="shared" si="162"/>
        <v>1</v>
      </c>
      <c r="AO327">
        <f t="shared" si="163"/>
        <v>0</v>
      </c>
      <c r="AP327">
        <f t="shared" si="164"/>
        <v>0</v>
      </c>
      <c r="AQ327">
        <f t="shared" si="165"/>
        <v>0</v>
      </c>
      <c r="AR327">
        <f t="shared" si="166"/>
        <v>0</v>
      </c>
      <c r="AS327">
        <f t="shared" si="167"/>
        <v>1</v>
      </c>
    </row>
    <row r="328" spans="2:45" x14ac:dyDescent="0.3">
      <c r="B328">
        <v>327</v>
      </c>
      <c r="C328" s="1">
        <v>40870</v>
      </c>
      <c r="D328">
        <v>4</v>
      </c>
      <c r="E328">
        <v>0</v>
      </c>
      <c r="F328">
        <v>11</v>
      </c>
      <c r="G328">
        <v>3</v>
      </c>
      <c r="H328">
        <v>2</v>
      </c>
      <c r="I328">
        <v>112</v>
      </c>
      <c r="J328">
        <v>2454</v>
      </c>
      <c r="K328" s="8">
        <v>2566</v>
      </c>
      <c r="L328">
        <v>18.074152999999999</v>
      </c>
      <c r="M328">
        <v>21.52685</v>
      </c>
      <c r="N328">
        <v>75.791700000000006</v>
      </c>
      <c r="O328">
        <v>22.500274999999998</v>
      </c>
      <c r="P328">
        <v>0</v>
      </c>
      <c r="Q328">
        <v>1</v>
      </c>
      <c r="R328">
        <f t="shared" si="140"/>
        <v>0</v>
      </c>
      <c r="S328">
        <f t="shared" si="141"/>
        <v>0</v>
      </c>
      <c r="T328">
        <f t="shared" si="142"/>
        <v>0</v>
      </c>
      <c r="U328">
        <f t="shared" si="143"/>
        <v>0</v>
      </c>
      <c r="V328">
        <f t="shared" si="144"/>
        <v>0</v>
      </c>
      <c r="W328">
        <f t="shared" si="145"/>
        <v>0</v>
      </c>
      <c r="X328">
        <f t="shared" si="146"/>
        <v>0</v>
      </c>
      <c r="Y328">
        <f t="shared" si="147"/>
        <v>0</v>
      </c>
      <c r="Z328">
        <f t="shared" si="148"/>
        <v>0</v>
      </c>
      <c r="AA328">
        <f t="shared" si="149"/>
        <v>0</v>
      </c>
      <c r="AB328">
        <f t="shared" si="150"/>
        <v>1</v>
      </c>
      <c r="AC328">
        <f t="shared" si="151"/>
        <v>0</v>
      </c>
      <c r="AD328">
        <f t="shared" si="152"/>
        <v>0</v>
      </c>
      <c r="AE328">
        <f t="shared" si="153"/>
        <v>0</v>
      </c>
      <c r="AF328">
        <f t="shared" si="154"/>
        <v>0</v>
      </c>
      <c r="AG328">
        <f t="shared" si="155"/>
        <v>1</v>
      </c>
      <c r="AH328">
        <f t="shared" si="156"/>
        <v>0</v>
      </c>
      <c r="AI328">
        <f t="shared" si="157"/>
        <v>0</v>
      </c>
      <c r="AJ328">
        <f t="shared" si="158"/>
        <v>0</v>
      </c>
      <c r="AK328">
        <f t="shared" si="159"/>
        <v>0</v>
      </c>
      <c r="AL328">
        <f t="shared" si="160"/>
        <v>1</v>
      </c>
      <c r="AM328">
        <f t="shared" si="161"/>
        <v>0</v>
      </c>
      <c r="AN328">
        <f t="shared" si="162"/>
        <v>1</v>
      </c>
      <c r="AO328">
        <f t="shared" si="163"/>
        <v>0</v>
      </c>
      <c r="AP328">
        <f t="shared" si="164"/>
        <v>0</v>
      </c>
      <c r="AQ328">
        <f t="shared" si="165"/>
        <v>0</v>
      </c>
      <c r="AR328">
        <f t="shared" si="166"/>
        <v>0</v>
      </c>
      <c r="AS328">
        <f t="shared" si="167"/>
        <v>1</v>
      </c>
    </row>
    <row r="329" spans="2:45" x14ac:dyDescent="0.3">
      <c r="B329">
        <v>328</v>
      </c>
      <c r="C329" s="1">
        <v>40871</v>
      </c>
      <c r="D329">
        <v>4</v>
      </c>
      <c r="E329">
        <v>0</v>
      </c>
      <c r="F329">
        <v>11</v>
      </c>
      <c r="G329">
        <v>4</v>
      </c>
      <c r="H329">
        <v>1</v>
      </c>
      <c r="I329">
        <v>560</v>
      </c>
      <c r="J329">
        <v>935</v>
      </c>
      <c r="K329" s="8">
        <v>1495</v>
      </c>
      <c r="L329">
        <v>15.306653000000001</v>
      </c>
      <c r="M329">
        <v>18.623550000000002</v>
      </c>
      <c r="N329">
        <v>54.916699999999999</v>
      </c>
      <c r="O329">
        <v>11.209368</v>
      </c>
      <c r="P329">
        <v>1</v>
      </c>
      <c r="Q329">
        <v>0</v>
      </c>
      <c r="R329">
        <f t="shared" si="140"/>
        <v>0</v>
      </c>
      <c r="S329">
        <f t="shared" si="141"/>
        <v>0</v>
      </c>
      <c r="T329">
        <f t="shared" si="142"/>
        <v>0</v>
      </c>
      <c r="U329">
        <f t="shared" si="143"/>
        <v>0</v>
      </c>
      <c r="V329">
        <f t="shared" si="144"/>
        <v>0</v>
      </c>
      <c r="W329">
        <f t="shared" si="145"/>
        <v>0</v>
      </c>
      <c r="X329">
        <f t="shared" si="146"/>
        <v>0</v>
      </c>
      <c r="Y329">
        <f t="shared" si="147"/>
        <v>0</v>
      </c>
      <c r="Z329">
        <f t="shared" si="148"/>
        <v>0</v>
      </c>
      <c r="AA329">
        <f t="shared" si="149"/>
        <v>0</v>
      </c>
      <c r="AB329">
        <f t="shared" si="150"/>
        <v>1</v>
      </c>
      <c r="AC329">
        <f t="shared" si="151"/>
        <v>0</v>
      </c>
      <c r="AD329">
        <f t="shared" si="152"/>
        <v>0</v>
      </c>
      <c r="AE329">
        <f t="shared" si="153"/>
        <v>0</v>
      </c>
      <c r="AF329">
        <f t="shared" si="154"/>
        <v>0</v>
      </c>
      <c r="AG329">
        <f t="shared" si="155"/>
        <v>0</v>
      </c>
      <c r="AH329">
        <f t="shared" si="156"/>
        <v>1</v>
      </c>
      <c r="AI329">
        <f t="shared" si="157"/>
        <v>0</v>
      </c>
      <c r="AJ329">
        <f t="shared" si="158"/>
        <v>0</v>
      </c>
      <c r="AK329">
        <f t="shared" si="159"/>
        <v>1</v>
      </c>
      <c r="AL329">
        <f t="shared" si="160"/>
        <v>0</v>
      </c>
      <c r="AM329">
        <f t="shared" si="161"/>
        <v>0</v>
      </c>
      <c r="AN329">
        <f t="shared" si="162"/>
        <v>1</v>
      </c>
      <c r="AO329">
        <f t="shared" si="163"/>
        <v>0</v>
      </c>
      <c r="AP329">
        <f t="shared" si="164"/>
        <v>0</v>
      </c>
      <c r="AQ329">
        <f t="shared" si="165"/>
        <v>0</v>
      </c>
      <c r="AR329">
        <f t="shared" si="166"/>
        <v>0</v>
      </c>
      <c r="AS329">
        <f t="shared" si="167"/>
        <v>1</v>
      </c>
    </row>
    <row r="330" spans="2:45" x14ac:dyDescent="0.3">
      <c r="B330">
        <v>329</v>
      </c>
      <c r="C330" s="1">
        <v>40872</v>
      </c>
      <c r="D330">
        <v>4</v>
      </c>
      <c r="E330">
        <v>0</v>
      </c>
      <c r="F330">
        <v>11</v>
      </c>
      <c r="G330">
        <v>5</v>
      </c>
      <c r="H330">
        <v>1</v>
      </c>
      <c r="I330">
        <v>1095</v>
      </c>
      <c r="J330">
        <v>1697</v>
      </c>
      <c r="K330" s="8">
        <v>2792</v>
      </c>
      <c r="L330">
        <v>15.375</v>
      </c>
      <c r="M330">
        <v>19.033550000000002</v>
      </c>
      <c r="N330">
        <v>64.375</v>
      </c>
      <c r="O330">
        <v>6.6260186000000001</v>
      </c>
      <c r="P330">
        <v>0</v>
      </c>
      <c r="Q330">
        <v>1</v>
      </c>
      <c r="R330">
        <f t="shared" si="140"/>
        <v>0</v>
      </c>
      <c r="S330">
        <f t="shared" si="141"/>
        <v>0</v>
      </c>
      <c r="T330">
        <f t="shared" si="142"/>
        <v>0</v>
      </c>
      <c r="U330">
        <f t="shared" si="143"/>
        <v>0</v>
      </c>
      <c r="V330">
        <f t="shared" si="144"/>
        <v>0</v>
      </c>
      <c r="W330">
        <f t="shared" si="145"/>
        <v>0</v>
      </c>
      <c r="X330">
        <f t="shared" si="146"/>
        <v>0</v>
      </c>
      <c r="Y330">
        <f t="shared" si="147"/>
        <v>0</v>
      </c>
      <c r="Z330">
        <f t="shared" si="148"/>
        <v>0</v>
      </c>
      <c r="AA330">
        <f t="shared" si="149"/>
        <v>0</v>
      </c>
      <c r="AB330">
        <f t="shared" si="150"/>
        <v>1</v>
      </c>
      <c r="AC330">
        <f t="shared" si="151"/>
        <v>0</v>
      </c>
      <c r="AD330">
        <f t="shared" si="152"/>
        <v>0</v>
      </c>
      <c r="AE330">
        <f t="shared" si="153"/>
        <v>0</v>
      </c>
      <c r="AF330">
        <f t="shared" si="154"/>
        <v>0</v>
      </c>
      <c r="AG330">
        <f t="shared" si="155"/>
        <v>0</v>
      </c>
      <c r="AH330">
        <f t="shared" si="156"/>
        <v>0</v>
      </c>
      <c r="AI330">
        <f t="shared" si="157"/>
        <v>1</v>
      </c>
      <c r="AJ330">
        <f t="shared" si="158"/>
        <v>0</v>
      </c>
      <c r="AK330">
        <f t="shared" si="159"/>
        <v>1</v>
      </c>
      <c r="AL330">
        <f t="shared" si="160"/>
        <v>0</v>
      </c>
      <c r="AM330">
        <f t="shared" si="161"/>
        <v>0</v>
      </c>
      <c r="AN330">
        <f t="shared" si="162"/>
        <v>1</v>
      </c>
      <c r="AO330">
        <f t="shared" si="163"/>
        <v>0</v>
      </c>
      <c r="AP330">
        <f t="shared" si="164"/>
        <v>0</v>
      </c>
      <c r="AQ330">
        <f t="shared" si="165"/>
        <v>0</v>
      </c>
      <c r="AR330">
        <f t="shared" si="166"/>
        <v>0</v>
      </c>
      <c r="AS330">
        <f t="shared" si="167"/>
        <v>1</v>
      </c>
    </row>
    <row r="331" spans="2:45" x14ac:dyDescent="0.3">
      <c r="B331">
        <v>330</v>
      </c>
      <c r="C331" s="1">
        <v>40873</v>
      </c>
      <c r="D331">
        <v>4</v>
      </c>
      <c r="E331">
        <v>0</v>
      </c>
      <c r="F331">
        <v>11</v>
      </c>
      <c r="G331">
        <v>6</v>
      </c>
      <c r="H331">
        <v>1</v>
      </c>
      <c r="I331">
        <v>1249</v>
      </c>
      <c r="J331">
        <v>1819</v>
      </c>
      <c r="K331" s="8">
        <v>3068</v>
      </c>
      <c r="L331">
        <v>15.409153</v>
      </c>
      <c r="M331">
        <v>19.254349999999999</v>
      </c>
      <c r="N331">
        <v>68.166700000000006</v>
      </c>
      <c r="O331">
        <v>4.5841935999999999</v>
      </c>
      <c r="P331">
        <v>0</v>
      </c>
      <c r="Q331">
        <v>0</v>
      </c>
      <c r="R331">
        <f t="shared" si="140"/>
        <v>0</v>
      </c>
      <c r="S331">
        <f t="shared" si="141"/>
        <v>0</v>
      </c>
      <c r="T331">
        <f t="shared" si="142"/>
        <v>0</v>
      </c>
      <c r="U331">
        <f t="shared" si="143"/>
        <v>0</v>
      </c>
      <c r="V331">
        <f t="shared" si="144"/>
        <v>0</v>
      </c>
      <c r="W331">
        <f t="shared" si="145"/>
        <v>0</v>
      </c>
      <c r="X331">
        <f t="shared" si="146"/>
        <v>0</v>
      </c>
      <c r="Y331">
        <f t="shared" si="147"/>
        <v>0</v>
      </c>
      <c r="Z331">
        <f t="shared" si="148"/>
        <v>0</v>
      </c>
      <c r="AA331">
        <f t="shared" si="149"/>
        <v>0</v>
      </c>
      <c r="AB331">
        <f t="shared" si="150"/>
        <v>1</v>
      </c>
      <c r="AC331">
        <f t="shared" si="151"/>
        <v>0</v>
      </c>
      <c r="AD331">
        <f t="shared" si="152"/>
        <v>0</v>
      </c>
      <c r="AE331">
        <f t="shared" si="153"/>
        <v>0</v>
      </c>
      <c r="AF331">
        <f t="shared" si="154"/>
        <v>0</v>
      </c>
      <c r="AG331">
        <f t="shared" si="155"/>
        <v>0</v>
      </c>
      <c r="AH331">
        <f t="shared" si="156"/>
        <v>0</v>
      </c>
      <c r="AI331">
        <f t="shared" si="157"/>
        <v>0</v>
      </c>
      <c r="AJ331">
        <f t="shared" si="158"/>
        <v>1</v>
      </c>
      <c r="AK331">
        <f t="shared" si="159"/>
        <v>1</v>
      </c>
      <c r="AL331">
        <f t="shared" si="160"/>
        <v>0</v>
      </c>
      <c r="AM331">
        <f t="shared" si="161"/>
        <v>0</v>
      </c>
      <c r="AN331">
        <f t="shared" si="162"/>
        <v>1</v>
      </c>
      <c r="AO331">
        <f t="shared" si="163"/>
        <v>0</v>
      </c>
      <c r="AP331">
        <f t="shared" si="164"/>
        <v>0</v>
      </c>
      <c r="AQ331">
        <f t="shared" si="165"/>
        <v>0</v>
      </c>
      <c r="AR331">
        <f t="shared" si="166"/>
        <v>0</v>
      </c>
      <c r="AS331">
        <f t="shared" si="167"/>
        <v>1</v>
      </c>
    </row>
    <row r="332" spans="2:45" x14ac:dyDescent="0.3">
      <c r="B332">
        <v>331</v>
      </c>
      <c r="C332" s="1">
        <v>40874</v>
      </c>
      <c r="D332">
        <v>4</v>
      </c>
      <c r="E332">
        <v>0</v>
      </c>
      <c r="F332">
        <v>11</v>
      </c>
      <c r="G332">
        <v>0</v>
      </c>
      <c r="H332">
        <v>1</v>
      </c>
      <c r="I332">
        <v>810</v>
      </c>
      <c r="J332">
        <v>2261</v>
      </c>
      <c r="K332" s="8">
        <v>3071</v>
      </c>
      <c r="L332">
        <v>18.825847</v>
      </c>
      <c r="M332">
        <v>22.79</v>
      </c>
      <c r="N332">
        <v>69.833299999999994</v>
      </c>
      <c r="O332">
        <v>13.999917999999999</v>
      </c>
      <c r="P332">
        <v>0</v>
      </c>
      <c r="Q332">
        <v>0</v>
      </c>
      <c r="R332">
        <f t="shared" si="140"/>
        <v>0</v>
      </c>
      <c r="S332">
        <f t="shared" si="141"/>
        <v>0</v>
      </c>
      <c r="T332">
        <f t="shared" si="142"/>
        <v>0</v>
      </c>
      <c r="U332">
        <f t="shared" si="143"/>
        <v>0</v>
      </c>
      <c r="V332">
        <f t="shared" si="144"/>
        <v>0</v>
      </c>
      <c r="W332">
        <f t="shared" si="145"/>
        <v>0</v>
      </c>
      <c r="X332">
        <f t="shared" si="146"/>
        <v>0</v>
      </c>
      <c r="Y332">
        <f t="shared" si="147"/>
        <v>0</v>
      </c>
      <c r="Z332">
        <f t="shared" si="148"/>
        <v>0</v>
      </c>
      <c r="AA332">
        <f t="shared" si="149"/>
        <v>0</v>
      </c>
      <c r="AB332">
        <f t="shared" si="150"/>
        <v>1</v>
      </c>
      <c r="AC332">
        <f t="shared" si="151"/>
        <v>0</v>
      </c>
      <c r="AD332">
        <f t="shared" si="152"/>
        <v>1</v>
      </c>
      <c r="AE332">
        <f t="shared" si="153"/>
        <v>0</v>
      </c>
      <c r="AF332">
        <f t="shared" si="154"/>
        <v>0</v>
      </c>
      <c r="AG332">
        <f t="shared" si="155"/>
        <v>0</v>
      </c>
      <c r="AH332">
        <f t="shared" si="156"/>
        <v>0</v>
      </c>
      <c r="AI332">
        <f t="shared" si="157"/>
        <v>0</v>
      </c>
      <c r="AJ332">
        <f t="shared" si="158"/>
        <v>0</v>
      </c>
      <c r="AK332">
        <f t="shared" si="159"/>
        <v>1</v>
      </c>
      <c r="AL332">
        <f t="shared" si="160"/>
        <v>0</v>
      </c>
      <c r="AM332">
        <f t="shared" si="161"/>
        <v>0</v>
      </c>
      <c r="AN332">
        <f t="shared" si="162"/>
        <v>1</v>
      </c>
      <c r="AO332">
        <f t="shared" si="163"/>
        <v>0</v>
      </c>
      <c r="AP332">
        <f t="shared" si="164"/>
        <v>0</v>
      </c>
      <c r="AQ332">
        <f t="shared" si="165"/>
        <v>0</v>
      </c>
      <c r="AR332">
        <f t="shared" si="166"/>
        <v>0</v>
      </c>
      <c r="AS332">
        <f t="shared" si="167"/>
        <v>1</v>
      </c>
    </row>
    <row r="333" spans="2:45" x14ac:dyDescent="0.3">
      <c r="B333">
        <v>332</v>
      </c>
      <c r="C333" s="1">
        <v>40875</v>
      </c>
      <c r="D333">
        <v>4</v>
      </c>
      <c r="E333">
        <v>0</v>
      </c>
      <c r="F333">
        <v>11</v>
      </c>
      <c r="G333">
        <v>1</v>
      </c>
      <c r="H333">
        <v>1</v>
      </c>
      <c r="I333">
        <v>253</v>
      </c>
      <c r="J333">
        <v>3614</v>
      </c>
      <c r="K333" s="8">
        <v>3867</v>
      </c>
      <c r="L333">
        <v>20.642598</v>
      </c>
      <c r="M333">
        <v>24.5061</v>
      </c>
      <c r="N333">
        <v>74.304299999999998</v>
      </c>
      <c r="O333">
        <v>9.5221739999999997</v>
      </c>
      <c r="P333">
        <v>0</v>
      </c>
      <c r="Q333">
        <v>1</v>
      </c>
      <c r="R333">
        <f t="shared" si="140"/>
        <v>0</v>
      </c>
      <c r="S333">
        <f t="shared" si="141"/>
        <v>0</v>
      </c>
      <c r="T333">
        <f t="shared" si="142"/>
        <v>0</v>
      </c>
      <c r="U333">
        <f t="shared" si="143"/>
        <v>0</v>
      </c>
      <c r="V333">
        <f t="shared" si="144"/>
        <v>0</v>
      </c>
      <c r="W333">
        <f t="shared" si="145"/>
        <v>0</v>
      </c>
      <c r="X333">
        <f t="shared" si="146"/>
        <v>0</v>
      </c>
      <c r="Y333">
        <f t="shared" si="147"/>
        <v>0</v>
      </c>
      <c r="Z333">
        <f t="shared" si="148"/>
        <v>0</v>
      </c>
      <c r="AA333">
        <f t="shared" si="149"/>
        <v>0</v>
      </c>
      <c r="AB333">
        <f t="shared" si="150"/>
        <v>1</v>
      </c>
      <c r="AC333">
        <f t="shared" si="151"/>
        <v>0</v>
      </c>
      <c r="AD333">
        <f t="shared" si="152"/>
        <v>0</v>
      </c>
      <c r="AE333">
        <f t="shared" si="153"/>
        <v>1</v>
      </c>
      <c r="AF333">
        <f t="shared" si="154"/>
        <v>0</v>
      </c>
      <c r="AG333">
        <f t="shared" si="155"/>
        <v>0</v>
      </c>
      <c r="AH333">
        <f t="shared" si="156"/>
        <v>0</v>
      </c>
      <c r="AI333">
        <f t="shared" si="157"/>
        <v>0</v>
      </c>
      <c r="AJ333">
        <f t="shared" si="158"/>
        <v>0</v>
      </c>
      <c r="AK333">
        <f t="shared" si="159"/>
        <v>1</v>
      </c>
      <c r="AL333">
        <f t="shared" si="160"/>
        <v>0</v>
      </c>
      <c r="AM333">
        <f t="shared" si="161"/>
        <v>0</v>
      </c>
      <c r="AN333">
        <f t="shared" si="162"/>
        <v>1</v>
      </c>
      <c r="AO333">
        <f t="shared" si="163"/>
        <v>0</v>
      </c>
      <c r="AP333">
        <f t="shared" si="164"/>
        <v>0</v>
      </c>
      <c r="AQ333">
        <f t="shared" si="165"/>
        <v>0</v>
      </c>
      <c r="AR333">
        <f t="shared" si="166"/>
        <v>0</v>
      </c>
      <c r="AS333">
        <f t="shared" si="167"/>
        <v>1</v>
      </c>
    </row>
    <row r="334" spans="2:45" x14ac:dyDescent="0.3">
      <c r="B334">
        <v>333</v>
      </c>
      <c r="C334" s="1">
        <v>40876</v>
      </c>
      <c r="D334">
        <v>4</v>
      </c>
      <c r="E334">
        <v>0</v>
      </c>
      <c r="F334">
        <v>11</v>
      </c>
      <c r="G334">
        <v>2</v>
      </c>
      <c r="H334">
        <v>2</v>
      </c>
      <c r="I334">
        <v>96</v>
      </c>
      <c r="J334">
        <v>2818</v>
      </c>
      <c r="K334" s="8">
        <v>2914</v>
      </c>
      <c r="L334">
        <v>18.791653</v>
      </c>
      <c r="M334">
        <v>22.568750000000001</v>
      </c>
      <c r="N334">
        <v>83.083299999999994</v>
      </c>
      <c r="O334">
        <v>17.292164</v>
      </c>
      <c r="P334">
        <v>0</v>
      </c>
      <c r="Q334">
        <v>1</v>
      </c>
      <c r="R334">
        <f t="shared" si="140"/>
        <v>0</v>
      </c>
      <c r="S334">
        <f t="shared" si="141"/>
        <v>0</v>
      </c>
      <c r="T334">
        <f t="shared" si="142"/>
        <v>0</v>
      </c>
      <c r="U334">
        <f t="shared" si="143"/>
        <v>0</v>
      </c>
      <c r="V334">
        <f t="shared" si="144"/>
        <v>0</v>
      </c>
      <c r="W334">
        <f t="shared" si="145"/>
        <v>0</v>
      </c>
      <c r="X334">
        <f t="shared" si="146"/>
        <v>0</v>
      </c>
      <c r="Y334">
        <f t="shared" si="147"/>
        <v>0</v>
      </c>
      <c r="Z334">
        <f t="shared" si="148"/>
        <v>0</v>
      </c>
      <c r="AA334">
        <f t="shared" si="149"/>
        <v>0</v>
      </c>
      <c r="AB334">
        <f t="shared" si="150"/>
        <v>1</v>
      </c>
      <c r="AC334">
        <f t="shared" si="151"/>
        <v>0</v>
      </c>
      <c r="AD334">
        <f t="shared" si="152"/>
        <v>0</v>
      </c>
      <c r="AE334">
        <f t="shared" si="153"/>
        <v>0</v>
      </c>
      <c r="AF334">
        <f t="shared" si="154"/>
        <v>1</v>
      </c>
      <c r="AG334">
        <f t="shared" si="155"/>
        <v>0</v>
      </c>
      <c r="AH334">
        <f t="shared" si="156"/>
        <v>0</v>
      </c>
      <c r="AI334">
        <f t="shared" si="157"/>
        <v>0</v>
      </c>
      <c r="AJ334">
        <f t="shared" si="158"/>
        <v>0</v>
      </c>
      <c r="AK334">
        <f t="shared" si="159"/>
        <v>0</v>
      </c>
      <c r="AL334">
        <f t="shared" si="160"/>
        <v>1</v>
      </c>
      <c r="AM334">
        <f t="shared" si="161"/>
        <v>0</v>
      </c>
      <c r="AN334">
        <f t="shared" si="162"/>
        <v>1</v>
      </c>
      <c r="AO334">
        <f t="shared" si="163"/>
        <v>0</v>
      </c>
      <c r="AP334">
        <f t="shared" si="164"/>
        <v>0</v>
      </c>
      <c r="AQ334">
        <f t="shared" si="165"/>
        <v>0</v>
      </c>
      <c r="AR334">
        <f t="shared" si="166"/>
        <v>0</v>
      </c>
      <c r="AS334">
        <f t="shared" si="167"/>
        <v>1</v>
      </c>
    </row>
    <row r="335" spans="2:45" x14ac:dyDescent="0.3">
      <c r="B335">
        <v>334</v>
      </c>
      <c r="C335" s="1">
        <v>40877</v>
      </c>
      <c r="D335">
        <v>4</v>
      </c>
      <c r="E335">
        <v>0</v>
      </c>
      <c r="F335">
        <v>11</v>
      </c>
      <c r="G335">
        <v>3</v>
      </c>
      <c r="H335">
        <v>1</v>
      </c>
      <c r="I335">
        <v>188</v>
      </c>
      <c r="J335">
        <v>3425</v>
      </c>
      <c r="K335" s="8">
        <v>3613</v>
      </c>
      <c r="L335">
        <v>13.324999999999999</v>
      </c>
      <c r="M335">
        <v>15.56105</v>
      </c>
      <c r="N335">
        <v>61.333300000000001</v>
      </c>
      <c r="O335">
        <v>18.167586</v>
      </c>
      <c r="P335">
        <v>0</v>
      </c>
      <c r="Q335">
        <v>1</v>
      </c>
      <c r="R335">
        <f t="shared" si="140"/>
        <v>0</v>
      </c>
      <c r="S335">
        <f t="shared" si="141"/>
        <v>0</v>
      </c>
      <c r="T335">
        <f t="shared" si="142"/>
        <v>0</v>
      </c>
      <c r="U335">
        <f t="shared" si="143"/>
        <v>0</v>
      </c>
      <c r="V335">
        <f t="shared" si="144"/>
        <v>0</v>
      </c>
      <c r="W335">
        <f t="shared" si="145"/>
        <v>0</v>
      </c>
      <c r="X335">
        <f t="shared" si="146"/>
        <v>0</v>
      </c>
      <c r="Y335">
        <f t="shared" si="147"/>
        <v>0</v>
      </c>
      <c r="Z335">
        <f t="shared" si="148"/>
        <v>0</v>
      </c>
      <c r="AA335">
        <f t="shared" si="149"/>
        <v>0</v>
      </c>
      <c r="AB335">
        <f t="shared" si="150"/>
        <v>1</v>
      </c>
      <c r="AC335">
        <f t="shared" si="151"/>
        <v>0</v>
      </c>
      <c r="AD335">
        <f t="shared" si="152"/>
        <v>0</v>
      </c>
      <c r="AE335">
        <f t="shared" si="153"/>
        <v>0</v>
      </c>
      <c r="AF335">
        <f t="shared" si="154"/>
        <v>0</v>
      </c>
      <c r="AG335">
        <f t="shared" si="155"/>
        <v>1</v>
      </c>
      <c r="AH335">
        <f t="shared" si="156"/>
        <v>0</v>
      </c>
      <c r="AI335">
        <f t="shared" si="157"/>
        <v>0</v>
      </c>
      <c r="AJ335">
        <f t="shared" si="158"/>
        <v>0</v>
      </c>
      <c r="AK335">
        <f t="shared" si="159"/>
        <v>1</v>
      </c>
      <c r="AL335">
        <f t="shared" si="160"/>
        <v>0</v>
      </c>
      <c r="AM335">
        <f t="shared" si="161"/>
        <v>0</v>
      </c>
      <c r="AN335">
        <f t="shared" si="162"/>
        <v>1</v>
      </c>
      <c r="AO335">
        <f t="shared" si="163"/>
        <v>0</v>
      </c>
      <c r="AP335">
        <f t="shared" si="164"/>
        <v>0</v>
      </c>
      <c r="AQ335">
        <f t="shared" si="165"/>
        <v>0</v>
      </c>
      <c r="AR335">
        <f t="shared" si="166"/>
        <v>0</v>
      </c>
      <c r="AS335">
        <f t="shared" si="167"/>
        <v>1</v>
      </c>
    </row>
    <row r="336" spans="2:45" x14ac:dyDescent="0.3">
      <c r="B336">
        <v>335</v>
      </c>
      <c r="C336" s="1">
        <v>40878</v>
      </c>
      <c r="D336">
        <v>4</v>
      </c>
      <c r="E336">
        <v>0</v>
      </c>
      <c r="F336">
        <v>12</v>
      </c>
      <c r="G336">
        <v>4</v>
      </c>
      <c r="H336">
        <v>1</v>
      </c>
      <c r="I336">
        <v>182</v>
      </c>
      <c r="J336">
        <v>3545</v>
      </c>
      <c r="K336" s="8">
        <v>3727</v>
      </c>
      <c r="L336">
        <v>12.8125</v>
      </c>
      <c r="M336">
        <v>15.277699999999999</v>
      </c>
      <c r="N336">
        <v>52.458300000000001</v>
      </c>
      <c r="O336">
        <v>14.750586</v>
      </c>
      <c r="P336">
        <v>0</v>
      </c>
      <c r="Q336">
        <v>1</v>
      </c>
      <c r="R336">
        <f t="shared" si="140"/>
        <v>0</v>
      </c>
      <c r="S336">
        <f t="shared" si="141"/>
        <v>0</v>
      </c>
      <c r="T336">
        <f t="shared" si="142"/>
        <v>0</v>
      </c>
      <c r="U336">
        <f t="shared" si="143"/>
        <v>0</v>
      </c>
      <c r="V336">
        <f t="shared" si="144"/>
        <v>0</v>
      </c>
      <c r="W336">
        <f t="shared" si="145"/>
        <v>0</v>
      </c>
      <c r="X336">
        <f t="shared" si="146"/>
        <v>0</v>
      </c>
      <c r="Y336">
        <f t="shared" si="147"/>
        <v>0</v>
      </c>
      <c r="Z336">
        <f t="shared" si="148"/>
        <v>0</v>
      </c>
      <c r="AA336">
        <f t="shared" si="149"/>
        <v>0</v>
      </c>
      <c r="AB336">
        <f t="shared" si="150"/>
        <v>0</v>
      </c>
      <c r="AC336">
        <f t="shared" si="151"/>
        <v>1</v>
      </c>
      <c r="AD336">
        <f t="shared" si="152"/>
        <v>0</v>
      </c>
      <c r="AE336">
        <f t="shared" si="153"/>
        <v>0</v>
      </c>
      <c r="AF336">
        <f t="shared" si="154"/>
        <v>0</v>
      </c>
      <c r="AG336">
        <f t="shared" si="155"/>
        <v>0</v>
      </c>
      <c r="AH336">
        <f t="shared" si="156"/>
        <v>1</v>
      </c>
      <c r="AI336">
        <f t="shared" si="157"/>
        <v>0</v>
      </c>
      <c r="AJ336">
        <f t="shared" si="158"/>
        <v>0</v>
      </c>
      <c r="AK336">
        <f t="shared" si="159"/>
        <v>1</v>
      </c>
      <c r="AL336">
        <f t="shared" si="160"/>
        <v>0</v>
      </c>
      <c r="AM336">
        <f t="shared" si="161"/>
        <v>0</v>
      </c>
      <c r="AN336">
        <f t="shared" si="162"/>
        <v>1</v>
      </c>
      <c r="AO336">
        <f t="shared" si="163"/>
        <v>0</v>
      </c>
      <c r="AP336">
        <f t="shared" si="164"/>
        <v>0</v>
      </c>
      <c r="AQ336">
        <f t="shared" si="165"/>
        <v>0</v>
      </c>
      <c r="AR336">
        <f t="shared" si="166"/>
        <v>0</v>
      </c>
      <c r="AS336">
        <f t="shared" si="167"/>
        <v>1</v>
      </c>
    </row>
    <row r="337" spans="2:45" x14ac:dyDescent="0.3">
      <c r="B337">
        <v>336</v>
      </c>
      <c r="C337" s="1">
        <v>40879</v>
      </c>
      <c r="D337">
        <v>4</v>
      </c>
      <c r="E337">
        <v>0</v>
      </c>
      <c r="F337">
        <v>12</v>
      </c>
      <c r="G337">
        <v>5</v>
      </c>
      <c r="H337">
        <v>1</v>
      </c>
      <c r="I337">
        <v>268</v>
      </c>
      <c r="J337">
        <v>3672</v>
      </c>
      <c r="K337" s="8">
        <v>3940</v>
      </c>
      <c r="L337">
        <v>12.880846999999999</v>
      </c>
      <c r="M337">
        <v>16.571650000000002</v>
      </c>
      <c r="N337">
        <v>62.583300000000001</v>
      </c>
      <c r="O337">
        <v>6.7505179999999996</v>
      </c>
      <c r="P337">
        <v>0</v>
      </c>
      <c r="Q337">
        <v>1</v>
      </c>
      <c r="R337">
        <f t="shared" si="140"/>
        <v>0</v>
      </c>
      <c r="S337">
        <f t="shared" si="141"/>
        <v>0</v>
      </c>
      <c r="T337">
        <f t="shared" si="142"/>
        <v>0</v>
      </c>
      <c r="U337">
        <f t="shared" si="143"/>
        <v>0</v>
      </c>
      <c r="V337">
        <f t="shared" si="144"/>
        <v>0</v>
      </c>
      <c r="W337">
        <f t="shared" si="145"/>
        <v>0</v>
      </c>
      <c r="X337">
        <f t="shared" si="146"/>
        <v>0</v>
      </c>
      <c r="Y337">
        <f t="shared" si="147"/>
        <v>0</v>
      </c>
      <c r="Z337">
        <f t="shared" si="148"/>
        <v>0</v>
      </c>
      <c r="AA337">
        <f t="shared" si="149"/>
        <v>0</v>
      </c>
      <c r="AB337">
        <f t="shared" si="150"/>
        <v>0</v>
      </c>
      <c r="AC337">
        <f t="shared" si="151"/>
        <v>1</v>
      </c>
      <c r="AD337">
        <f t="shared" si="152"/>
        <v>0</v>
      </c>
      <c r="AE337">
        <f t="shared" si="153"/>
        <v>0</v>
      </c>
      <c r="AF337">
        <f t="shared" si="154"/>
        <v>0</v>
      </c>
      <c r="AG337">
        <f t="shared" si="155"/>
        <v>0</v>
      </c>
      <c r="AH337">
        <f t="shared" si="156"/>
        <v>0</v>
      </c>
      <c r="AI337">
        <f t="shared" si="157"/>
        <v>1</v>
      </c>
      <c r="AJ337">
        <f t="shared" si="158"/>
        <v>0</v>
      </c>
      <c r="AK337">
        <f t="shared" si="159"/>
        <v>1</v>
      </c>
      <c r="AL337">
        <f t="shared" si="160"/>
        <v>0</v>
      </c>
      <c r="AM337">
        <f t="shared" si="161"/>
        <v>0</v>
      </c>
      <c r="AN337">
        <f t="shared" si="162"/>
        <v>1</v>
      </c>
      <c r="AO337">
        <f t="shared" si="163"/>
        <v>0</v>
      </c>
      <c r="AP337">
        <f t="shared" si="164"/>
        <v>0</v>
      </c>
      <c r="AQ337">
        <f t="shared" si="165"/>
        <v>0</v>
      </c>
      <c r="AR337">
        <f t="shared" si="166"/>
        <v>0</v>
      </c>
      <c r="AS337">
        <f t="shared" si="167"/>
        <v>1</v>
      </c>
    </row>
    <row r="338" spans="2:45" x14ac:dyDescent="0.3">
      <c r="B338">
        <v>337</v>
      </c>
      <c r="C338" s="1">
        <v>40880</v>
      </c>
      <c r="D338">
        <v>4</v>
      </c>
      <c r="E338">
        <v>0</v>
      </c>
      <c r="F338">
        <v>12</v>
      </c>
      <c r="G338">
        <v>6</v>
      </c>
      <c r="H338">
        <v>1</v>
      </c>
      <c r="I338">
        <v>706</v>
      </c>
      <c r="J338">
        <v>2908</v>
      </c>
      <c r="K338" s="8">
        <v>3614</v>
      </c>
      <c r="L338">
        <v>12.265847000000001</v>
      </c>
      <c r="M338">
        <v>15.530200000000001</v>
      </c>
      <c r="N338">
        <v>61.291699999999999</v>
      </c>
      <c r="O338">
        <v>6.4174810999999998</v>
      </c>
      <c r="P338">
        <v>0</v>
      </c>
      <c r="Q338">
        <v>0</v>
      </c>
      <c r="R338">
        <f t="shared" si="140"/>
        <v>0</v>
      </c>
      <c r="S338">
        <f t="shared" si="141"/>
        <v>0</v>
      </c>
      <c r="T338">
        <f t="shared" si="142"/>
        <v>0</v>
      </c>
      <c r="U338">
        <f t="shared" si="143"/>
        <v>0</v>
      </c>
      <c r="V338">
        <f t="shared" si="144"/>
        <v>0</v>
      </c>
      <c r="W338">
        <f t="shared" si="145"/>
        <v>0</v>
      </c>
      <c r="X338">
        <f t="shared" si="146"/>
        <v>0</v>
      </c>
      <c r="Y338">
        <f t="shared" si="147"/>
        <v>0</v>
      </c>
      <c r="Z338">
        <f t="shared" si="148"/>
        <v>0</v>
      </c>
      <c r="AA338">
        <f t="shared" si="149"/>
        <v>0</v>
      </c>
      <c r="AB338">
        <f t="shared" si="150"/>
        <v>0</v>
      </c>
      <c r="AC338">
        <f t="shared" si="151"/>
        <v>1</v>
      </c>
      <c r="AD338">
        <f t="shared" si="152"/>
        <v>0</v>
      </c>
      <c r="AE338">
        <f t="shared" si="153"/>
        <v>0</v>
      </c>
      <c r="AF338">
        <f t="shared" si="154"/>
        <v>0</v>
      </c>
      <c r="AG338">
        <f t="shared" si="155"/>
        <v>0</v>
      </c>
      <c r="AH338">
        <f t="shared" si="156"/>
        <v>0</v>
      </c>
      <c r="AI338">
        <f t="shared" si="157"/>
        <v>0</v>
      </c>
      <c r="AJ338">
        <f t="shared" si="158"/>
        <v>1</v>
      </c>
      <c r="AK338">
        <f t="shared" si="159"/>
        <v>1</v>
      </c>
      <c r="AL338">
        <f t="shared" si="160"/>
        <v>0</v>
      </c>
      <c r="AM338">
        <f t="shared" si="161"/>
        <v>0</v>
      </c>
      <c r="AN338">
        <f t="shared" si="162"/>
        <v>1</v>
      </c>
      <c r="AO338">
        <f t="shared" si="163"/>
        <v>0</v>
      </c>
      <c r="AP338">
        <f t="shared" si="164"/>
        <v>0</v>
      </c>
      <c r="AQ338">
        <f t="shared" si="165"/>
        <v>0</v>
      </c>
      <c r="AR338">
        <f t="shared" si="166"/>
        <v>0</v>
      </c>
      <c r="AS338">
        <f t="shared" si="167"/>
        <v>1</v>
      </c>
    </row>
    <row r="339" spans="2:45" x14ac:dyDescent="0.3">
      <c r="B339">
        <v>338</v>
      </c>
      <c r="C339" s="1">
        <v>40881</v>
      </c>
      <c r="D339">
        <v>4</v>
      </c>
      <c r="E339">
        <v>0</v>
      </c>
      <c r="F339">
        <v>12</v>
      </c>
      <c r="G339">
        <v>0</v>
      </c>
      <c r="H339">
        <v>1</v>
      </c>
      <c r="I339">
        <v>634</v>
      </c>
      <c r="J339">
        <v>2851</v>
      </c>
      <c r="K339" s="8">
        <v>3485</v>
      </c>
      <c r="L339">
        <v>13.564152999999999</v>
      </c>
      <c r="M339">
        <v>17.454999999999998</v>
      </c>
      <c r="N339">
        <v>77.583299999999994</v>
      </c>
      <c r="O339">
        <v>5.6252060999999998</v>
      </c>
      <c r="P339">
        <v>0</v>
      </c>
      <c r="Q339">
        <v>0</v>
      </c>
      <c r="R339">
        <f t="shared" si="140"/>
        <v>0</v>
      </c>
      <c r="S339">
        <f t="shared" si="141"/>
        <v>0</v>
      </c>
      <c r="T339">
        <f t="shared" si="142"/>
        <v>0</v>
      </c>
      <c r="U339">
        <f t="shared" si="143"/>
        <v>0</v>
      </c>
      <c r="V339">
        <f t="shared" si="144"/>
        <v>0</v>
      </c>
      <c r="W339">
        <f t="shared" si="145"/>
        <v>0</v>
      </c>
      <c r="X339">
        <f t="shared" si="146"/>
        <v>0</v>
      </c>
      <c r="Y339">
        <f t="shared" si="147"/>
        <v>0</v>
      </c>
      <c r="Z339">
        <f t="shared" si="148"/>
        <v>0</v>
      </c>
      <c r="AA339">
        <f t="shared" si="149"/>
        <v>0</v>
      </c>
      <c r="AB339">
        <f t="shared" si="150"/>
        <v>0</v>
      </c>
      <c r="AC339">
        <f t="shared" si="151"/>
        <v>1</v>
      </c>
      <c r="AD339">
        <f t="shared" si="152"/>
        <v>1</v>
      </c>
      <c r="AE339">
        <f t="shared" si="153"/>
        <v>0</v>
      </c>
      <c r="AF339">
        <f t="shared" si="154"/>
        <v>0</v>
      </c>
      <c r="AG339">
        <f t="shared" si="155"/>
        <v>0</v>
      </c>
      <c r="AH339">
        <f t="shared" si="156"/>
        <v>0</v>
      </c>
      <c r="AI339">
        <f t="shared" si="157"/>
        <v>0</v>
      </c>
      <c r="AJ339">
        <f t="shared" si="158"/>
        <v>0</v>
      </c>
      <c r="AK339">
        <f t="shared" si="159"/>
        <v>1</v>
      </c>
      <c r="AL339">
        <f t="shared" si="160"/>
        <v>0</v>
      </c>
      <c r="AM339">
        <f t="shared" si="161"/>
        <v>0</v>
      </c>
      <c r="AN339">
        <f t="shared" si="162"/>
        <v>1</v>
      </c>
      <c r="AO339">
        <f t="shared" si="163"/>
        <v>0</v>
      </c>
      <c r="AP339">
        <f t="shared" si="164"/>
        <v>0</v>
      </c>
      <c r="AQ339">
        <f t="shared" si="165"/>
        <v>0</v>
      </c>
      <c r="AR339">
        <f t="shared" si="166"/>
        <v>0</v>
      </c>
      <c r="AS339">
        <f t="shared" si="167"/>
        <v>1</v>
      </c>
    </row>
    <row r="340" spans="2:45" x14ac:dyDescent="0.3">
      <c r="B340">
        <v>339</v>
      </c>
      <c r="C340" s="1">
        <v>40882</v>
      </c>
      <c r="D340">
        <v>4</v>
      </c>
      <c r="E340">
        <v>0</v>
      </c>
      <c r="F340">
        <v>12</v>
      </c>
      <c r="G340">
        <v>1</v>
      </c>
      <c r="H340">
        <v>2</v>
      </c>
      <c r="I340">
        <v>233</v>
      </c>
      <c r="J340">
        <v>3578</v>
      </c>
      <c r="K340" s="8">
        <v>3811</v>
      </c>
      <c r="L340">
        <v>15.819153</v>
      </c>
      <c r="M340">
        <v>19.696249999999999</v>
      </c>
      <c r="N340">
        <v>82.708299999999994</v>
      </c>
      <c r="O340">
        <v>4.1679560999999996</v>
      </c>
      <c r="P340">
        <v>0</v>
      </c>
      <c r="Q340">
        <v>1</v>
      </c>
      <c r="R340">
        <f t="shared" si="140"/>
        <v>0</v>
      </c>
      <c r="S340">
        <f t="shared" si="141"/>
        <v>0</v>
      </c>
      <c r="T340">
        <f t="shared" si="142"/>
        <v>0</v>
      </c>
      <c r="U340">
        <f t="shared" si="143"/>
        <v>0</v>
      </c>
      <c r="V340">
        <f t="shared" si="144"/>
        <v>0</v>
      </c>
      <c r="W340">
        <f t="shared" si="145"/>
        <v>0</v>
      </c>
      <c r="X340">
        <f t="shared" si="146"/>
        <v>0</v>
      </c>
      <c r="Y340">
        <f t="shared" si="147"/>
        <v>0</v>
      </c>
      <c r="Z340">
        <f t="shared" si="148"/>
        <v>0</v>
      </c>
      <c r="AA340">
        <f t="shared" si="149"/>
        <v>0</v>
      </c>
      <c r="AB340">
        <f t="shared" si="150"/>
        <v>0</v>
      </c>
      <c r="AC340">
        <f t="shared" si="151"/>
        <v>1</v>
      </c>
      <c r="AD340">
        <f t="shared" si="152"/>
        <v>0</v>
      </c>
      <c r="AE340">
        <f t="shared" si="153"/>
        <v>1</v>
      </c>
      <c r="AF340">
        <f t="shared" si="154"/>
        <v>0</v>
      </c>
      <c r="AG340">
        <f t="shared" si="155"/>
        <v>0</v>
      </c>
      <c r="AH340">
        <f t="shared" si="156"/>
        <v>0</v>
      </c>
      <c r="AI340">
        <f t="shared" si="157"/>
        <v>0</v>
      </c>
      <c r="AJ340">
        <f t="shared" si="158"/>
        <v>0</v>
      </c>
      <c r="AK340">
        <f t="shared" si="159"/>
        <v>0</v>
      </c>
      <c r="AL340">
        <f t="shared" si="160"/>
        <v>1</v>
      </c>
      <c r="AM340">
        <f t="shared" si="161"/>
        <v>0</v>
      </c>
      <c r="AN340">
        <f t="shared" si="162"/>
        <v>1</v>
      </c>
      <c r="AO340">
        <f t="shared" si="163"/>
        <v>0</v>
      </c>
      <c r="AP340">
        <f t="shared" si="164"/>
        <v>0</v>
      </c>
      <c r="AQ340">
        <f t="shared" si="165"/>
        <v>0</v>
      </c>
      <c r="AR340">
        <f t="shared" si="166"/>
        <v>0</v>
      </c>
      <c r="AS340">
        <f t="shared" si="167"/>
        <v>1</v>
      </c>
    </row>
    <row r="341" spans="2:45" x14ac:dyDescent="0.3">
      <c r="B341">
        <v>340</v>
      </c>
      <c r="C341" s="1">
        <v>40883</v>
      </c>
      <c r="D341">
        <v>4</v>
      </c>
      <c r="E341">
        <v>0</v>
      </c>
      <c r="F341">
        <v>12</v>
      </c>
      <c r="G341">
        <v>2</v>
      </c>
      <c r="H341">
        <v>3</v>
      </c>
      <c r="I341">
        <v>126</v>
      </c>
      <c r="J341">
        <v>2468</v>
      </c>
      <c r="K341" s="8">
        <v>2594</v>
      </c>
      <c r="L341">
        <v>18.962499999999999</v>
      </c>
      <c r="M341">
        <v>22.82</v>
      </c>
      <c r="N341">
        <v>94.958299999999994</v>
      </c>
      <c r="O341">
        <v>15.583061000000001</v>
      </c>
      <c r="P341">
        <v>0</v>
      </c>
      <c r="Q341">
        <v>1</v>
      </c>
      <c r="R341">
        <f t="shared" si="140"/>
        <v>0</v>
      </c>
      <c r="S341">
        <f t="shared" si="141"/>
        <v>0</v>
      </c>
      <c r="T341">
        <f t="shared" si="142"/>
        <v>0</v>
      </c>
      <c r="U341">
        <f t="shared" si="143"/>
        <v>0</v>
      </c>
      <c r="V341">
        <f t="shared" si="144"/>
        <v>0</v>
      </c>
      <c r="W341">
        <f t="shared" si="145"/>
        <v>0</v>
      </c>
      <c r="X341">
        <f t="shared" si="146"/>
        <v>0</v>
      </c>
      <c r="Y341">
        <f t="shared" si="147"/>
        <v>0</v>
      </c>
      <c r="Z341">
        <f t="shared" si="148"/>
        <v>0</v>
      </c>
      <c r="AA341">
        <f t="shared" si="149"/>
        <v>0</v>
      </c>
      <c r="AB341">
        <f t="shared" si="150"/>
        <v>0</v>
      </c>
      <c r="AC341">
        <f t="shared" si="151"/>
        <v>1</v>
      </c>
      <c r="AD341">
        <f t="shared" si="152"/>
        <v>0</v>
      </c>
      <c r="AE341">
        <f t="shared" si="153"/>
        <v>0</v>
      </c>
      <c r="AF341">
        <f t="shared" si="154"/>
        <v>1</v>
      </c>
      <c r="AG341">
        <f t="shared" si="155"/>
        <v>0</v>
      </c>
      <c r="AH341">
        <f t="shared" si="156"/>
        <v>0</v>
      </c>
      <c r="AI341">
        <f t="shared" si="157"/>
        <v>0</v>
      </c>
      <c r="AJ341">
        <f t="shared" si="158"/>
        <v>0</v>
      </c>
      <c r="AK341">
        <f t="shared" si="159"/>
        <v>0</v>
      </c>
      <c r="AL341">
        <f t="shared" si="160"/>
        <v>0</v>
      </c>
      <c r="AM341">
        <f t="shared" si="161"/>
        <v>1</v>
      </c>
      <c r="AN341">
        <f t="shared" si="162"/>
        <v>1</v>
      </c>
      <c r="AO341">
        <f t="shared" si="163"/>
        <v>0</v>
      </c>
      <c r="AP341">
        <f t="shared" si="164"/>
        <v>0</v>
      </c>
      <c r="AQ341">
        <f t="shared" si="165"/>
        <v>0</v>
      </c>
      <c r="AR341">
        <f t="shared" si="166"/>
        <v>0</v>
      </c>
      <c r="AS341">
        <f t="shared" si="167"/>
        <v>1</v>
      </c>
    </row>
    <row r="342" spans="2:45" x14ac:dyDescent="0.3">
      <c r="B342">
        <v>341</v>
      </c>
      <c r="C342" s="1">
        <v>40884</v>
      </c>
      <c r="D342">
        <v>4</v>
      </c>
      <c r="E342">
        <v>0</v>
      </c>
      <c r="F342">
        <v>12</v>
      </c>
      <c r="G342">
        <v>3</v>
      </c>
      <c r="H342">
        <v>3</v>
      </c>
      <c r="I342">
        <v>50</v>
      </c>
      <c r="J342">
        <v>655</v>
      </c>
      <c r="K342" s="8">
        <v>705</v>
      </c>
      <c r="L342">
        <v>16.809999999999999</v>
      </c>
      <c r="M342">
        <v>20.0123</v>
      </c>
      <c r="N342">
        <v>97.041700000000006</v>
      </c>
      <c r="O342">
        <v>17.833725000000001</v>
      </c>
      <c r="P342">
        <v>0</v>
      </c>
      <c r="Q342">
        <v>1</v>
      </c>
      <c r="R342">
        <f t="shared" si="140"/>
        <v>0</v>
      </c>
      <c r="S342">
        <f t="shared" si="141"/>
        <v>0</v>
      </c>
      <c r="T342">
        <f t="shared" si="142"/>
        <v>0</v>
      </c>
      <c r="U342">
        <f t="shared" si="143"/>
        <v>0</v>
      </c>
      <c r="V342">
        <f t="shared" si="144"/>
        <v>0</v>
      </c>
      <c r="W342">
        <f t="shared" si="145"/>
        <v>0</v>
      </c>
      <c r="X342">
        <f t="shared" si="146"/>
        <v>0</v>
      </c>
      <c r="Y342">
        <f t="shared" si="147"/>
        <v>0</v>
      </c>
      <c r="Z342">
        <f t="shared" si="148"/>
        <v>0</v>
      </c>
      <c r="AA342">
        <f t="shared" si="149"/>
        <v>0</v>
      </c>
      <c r="AB342">
        <f t="shared" si="150"/>
        <v>0</v>
      </c>
      <c r="AC342">
        <f t="shared" si="151"/>
        <v>1</v>
      </c>
      <c r="AD342">
        <f t="shared" si="152"/>
        <v>0</v>
      </c>
      <c r="AE342">
        <f t="shared" si="153"/>
        <v>0</v>
      </c>
      <c r="AF342">
        <f t="shared" si="154"/>
        <v>0</v>
      </c>
      <c r="AG342">
        <f t="shared" si="155"/>
        <v>1</v>
      </c>
      <c r="AH342">
        <f t="shared" si="156"/>
        <v>0</v>
      </c>
      <c r="AI342">
        <f t="shared" si="157"/>
        <v>0</v>
      </c>
      <c r="AJ342">
        <f t="shared" si="158"/>
        <v>0</v>
      </c>
      <c r="AK342">
        <f t="shared" si="159"/>
        <v>0</v>
      </c>
      <c r="AL342">
        <f t="shared" si="160"/>
        <v>0</v>
      </c>
      <c r="AM342">
        <f t="shared" si="161"/>
        <v>1</v>
      </c>
      <c r="AN342">
        <f t="shared" si="162"/>
        <v>1</v>
      </c>
      <c r="AO342">
        <f t="shared" si="163"/>
        <v>0</v>
      </c>
      <c r="AP342">
        <f t="shared" si="164"/>
        <v>0</v>
      </c>
      <c r="AQ342">
        <f t="shared" si="165"/>
        <v>0</v>
      </c>
      <c r="AR342">
        <f t="shared" si="166"/>
        <v>0</v>
      </c>
      <c r="AS342">
        <f t="shared" si="167"/>
        <v>1</v>
      </c>
    </row>
    <row r="343" spans="2:45" x14ac:dyDescent="0.3">
      <c r="B343">
        <v>342</v>
      </c>
      <c r="C343" s="1">
        <v>40885</v>
      </c>
      <c r="D343">
        <v>4</v>
      </c>
      <c r="E343">
        <v>0</v>
      </c>
      <c r="F343">
        <v>12</v>
      </c>
      <c r="G343">
        <v>4</v>
      </c>
      <c r="H343">
        <v>1</v>
      </c>
      <c r="I343">
        <v>150</v>
      </c>
      <c r="J343">
        <v>3172</v>
      </c>
      <c r="K343" s="8">
        <v>3322</v>
      </c>
      <c r="L343">
        <v>10.899153</v>
      </c>
      <c r="M343">
        <v>12.8469</v>
      </c>
      <c r="N343">
        <v>58</v>
      </c>
      <c r="O343">
        <v>16.083886</v>
      </c>
      <c r="P343">
        <v>0</v>
      </c>
      <c r="Q343">
        <v>1</v>
      </c>
      <c r="R343">
        <f t="shared" si="140"/>
        <v>0</v>
      </c>
      <c r="S343">
        <f t="shared" si="141"/>
        <v>0</v>
      </c>
      <c r="T343">
        <f t="shared" si="142"/>
        <v>0</v>
      </c>
      <c r="U343">
        <f t="shared" si="143"/>
        <v>0</v>
      </c>
      <c r="V343">
        <f t="shared" si="144"/>
        <v>0</v>
      </c>
      <c r="W343">
        <f t="shared" si="145"/>
        <v>0</v>
      </c>
      <c r="X343">
        <f t="shared" si="146"/>
        <v>0</v>
      </c>
      <c r="Y343">
        <f t="shared" si="147"/>
        <v>0</v>
      </c>
      <c r="Z343">
        <f t="shared" si="148"/>
        <v>0</v>
      </c>
      <c r="AA343">
        <f t="shared" si="149"/>
        <v>0</v>
      </c>
      <c r="AB343">
        <f t="shared" si="150"/>
        <v>0</v>
      </c>
      <c r="AC343">
        <f t="shared" si="151"/>
        <v>1</v>
      </c>
      <c r="AD343">
        <f t="shared" si="152"/>
        <v>0</v>
      </c>
      <c r="AE343">
        <f t="shared" si="153"/>
        <v>0</v>
      </c>
      <c r="AF343">
        <f t="shared" si="154"/>
        <v>0</v>
      </c>
      <c r="AG343">
        <f t="shared" si="155"/>
        <v>0</v>
      </c>
      <c r="AH343">
        <f t="shared" si="156"/>
        <v>1</v>
      </c>
      <c r="AI343">
        <f t="shared" si="157"/>
        <v>0</v>
      </c>
      <c r="AJ343">
        <f t="shared" si="158"/>
        <v>0</v>
      </c>
      <c r="AK343">
        <f t="shared" si="159"/>
        <v>1</v>
      </c>
      <c r="AL343">
        <f t="shared" si="160"/>
        <v>0</v>
      </c>
      <c r="AM343">
        <f t="shared" si="161"/>
        <v>0</v>
      </c>
      <c r="AN343">
        <f t="shared" si="162"/>
        <v>1</v>
      </c>
      <c r="AO343">
        <f t="shared" si="163"/>
        <v>0</v>
      </c>
      <c r="AP343">
        <f t="shared" si="164"/>
        <v>0</v>
      </c>
      <c r="AQ343">
        <f t="shared" si="165"/>
        <v>0</v>
      </c>
      <c r="AR343">
        <f t="shared" si="166"/>
        <v>0</v>
      </c>
      <c r="AS343">
        <f t="shared" si="167"/>
        <v>1</v>
      </c>
    </row>
    <row r="344" spans="2:45" x14ac:dyDescent="0.3">
      <c r="B344">
        <v>343</v>
      </c>
      <c r="C344" s="1">
        <v>40886</v>
      </c>
      <c r="D344">
        <v>4</v>
      </c>
      <c r="E344">
        <v>0</v>
      </c>
      <c r="F344">
        <v>12</v>
      </c>
      <c r="G344">
        <v>5</v>
      </c>
      <c r="H344">
        <v>1</v>
      </c>
      <c r="I344">
        <v>261</v>
      </c>
      <c r="J344">
        <v>3359</v>
      </c>
      <c r="K344" s="8">
        <v>3620</v>
      </c>
      <c r="L344">
        <v>11.924153</v>
      </c>
      <c r="M344">
        <v>15.8771</v>
      </c>
      <c r="N344">
        <v>69.583299999999994</v>
      </c>
      <c r="O344">
        <v>5.5420189000000004</v>
      </c>
      <c r="P344">
        <v>0</v>
      </c>
      <c r="Q344">
        <v>1</v>
      </c>
      <c r="R344">
        <f t="shared" si="140"/>
        <v>0</v>
      </c>
      <c r="S344">
        <f t="shared" si="141"/>
        <v>0</v>
      </c>
      <c r="T344">
        <f t="shared" si="142"/>
        <v>0</v>
      </c>
      <c r="U344">
        <f t="shared" si="143"/>
        <v>0</v>
      </c>
      <c r="V344">
        <f t="shared" si="144"/>
        <v>0</v>
      </c>
      <c r="W344">
        <f t="shared" si="145"/>
        <v>0</v>
      </c>
      <c r="X344">
        <f t="shared" si="146"/>
        <v>0</v>
      </c>
      <c r="Y344">
        <f t="shared" si="147"/>
        <v>0</v>
      </c>
      <c r="Z344">
        <f t="shared" si="148"/>
        <v>0</v>
      </c>
      <c r="AA344">
        <f t="shared" si="149"/>
        <v>0</v>
      </c>
      <c r="AB344">
        <f t="shared" si="150"/>
        <v>0</v>
      </c>
      <c r="AC344">
        <f t="shared" si="151"/>
        <v>1</v>
      </c>
      <c r="AD344">
        <f t="shared" si="152"/>
        <v>0</v>
      </c>
      <c r="AE344">
        <f t="shared" si="153"/>
        <v>0</v>
      </c>
      <c r="AF344">
        <f t="shared" si="154"/>
        <v>0</v>
      </c>
      <c r="AG344">
        <f t="shared" si="155"/>
        <v>0</v>
      </c>
      <c r="AH344">
        <f t="shared" si="156"/>
        <v>0</v>
      </c>
      <c r="AI344">
        <f t="shared" si="157"/>
        <v>1</v>
      </c>
      <c r="AJ344">
        <f t="shared" si="158"/>
        <v>0</v>
      </c>
      <c r="AK344">
        <f t="shared" si="159"/>
        <v>1</v>
      </c>
      <c r="AL344">
        <f t="shared" si="160"/>
        <v>0</v>
      </c>
      <c r="AM344">
        <f t="shared" si="161"/>
        <v>0</v>
      </c>
      <c r="AN344">
        <f t="shared" si="162"/>
        <v>1</v>
      </c>
      <c r="AO344">
        <f t="shared" si="163"/>
        <v>0</v>
      </c>
      <c r="AP344">
        <f t="shared" si="164"/>
        <v>0</v>
      </c>
      <c r="AQ344">
        <f t="shared" si="165"/>
        <v>0</v>
      </c>
      <c r="AR344">
        <f t="shared" si="166"/>
        <v>0</v>
      </c>
      <c r="AS344">
        <f t="shared" si="167"/>
        <v>1</v>
      </c>
    </row>
    <row r="345" spans="2:45" x14ac:dyDescent="0.3">
      <c r="B345">
        <v>344</v>
      </c>
      <c r="C345" s="1">
        <v>40887</v>
      </c>
      <c r="D345">
        <v>4</v>
      </c>
      <c r="E345">
        <v>0</v>
      </c>
      <c r="F345">
        <v>12</v>
      </c>
      <c r="G345">
        <v>6</v>
      </c>
      <c r="H345">
        <v>1</v>
      </c>
      <c r="I345">
        <v>502</v>
      </c>
      <c r="J345">
        <v>2688</v>
      </c>
      <c r="K345" s="8">
        <v>3190</v>
      </c>
      <c r="L345">
        <v>11.275</v>
      </c>
      <c r="M345">
        <v>13.320600000000001</v>
      </c>
      <c r="N345">
        <v>50.75</v>
      </c>
      <c r="O345">
        <v>15.625807</v>
      </c>
      <c r="P345">
        <v>0</v>
      </c>
      <c r="Q345">
        <v>0</v>
      </c>
      <c r="R345">
        <f t="shared" si="140"/>
        <v>0</v>
      </c>
      <c r="S345">
        <f t="shared" si="141"/>
        <v>0</v>
      </c>
      <c r="T345">
        <f t="shared" si="142"/>
        <v>0</v>
      </c>
      <c r="U345">
        <f t="shared" si="143"/>
        <v>0</v>
      </c>
      <c r="V345">
        <f t="shared" si="144"/>
        <v>0</v>
      </c>
      <c r="W345">
        <f t="shared" si="145"/>
        <v>0</v>
      </c>
      <c r="X345">
        <f t="shared" si="146"/>
        <v>0</v>
      </c>
      <c r="Y345">
        <f t="shared" si="147"/>
        <v>0</v>
      </c>
      <c r="Z345">
        <f t="shared" si="148"/>
        <v>0</v>
      </c>
      <c r="AA345">
        <f t="shared" si="149"/>
        <v>0</v>
      </c>
      <c r="AB345">
        <f t="shared" si="150"/>
        <v>0</v>
      </c>
      <c r="AC345">
        <f t="shared" si="151"/>
        <v>1</v>
      </c>
      <c r="AD345">
        <f t="shared" si="152"/>
        <v>0</v>
      </c>
      <c r="AE345">
        <f t="shared" si="153"/>
        <v>0</v>
      </c>
      <c r="AF345">
        <f t="shared" si="154"/>
        <v>0</v>
      </c>
      <c r="AG345">
        <f t="shared" si="155"/>
        <v>0</v>
      </c>
      <c r="AH345">
        <f t="shared" si="156"/>
        <v>0</v>
      </c>
      <c r="AI345">
        <f t="shared" si="157"/>
        <v>0</v>
      </c>
      <c r="AJ345">
        <f t="shared" si="158"/>
        <v>1</v>
      </c>
      <c r="AK345">
        <f t="shared" si="159"/>
        <v>1</v>
      </c>
      <c r="AL345">
        <f t="shared" si="160"/>
        <v>0</v>
      </c>
      <c r="AM345">
        <f t="shared" si="161"/>
        <v>0</v>
      </c>
      <c r="AN345">
        <f t="shared" si="162"/>
        <v>1</v>
      </c>
      <c r="AO345">
        <f t="shared" si="163"/>
        <v>0</v>
      </c>
      <c r="AP345">
        <f t="shared" si="164"/>
        <v>0</v>
      </c>
      <c r="AQ345">
        <f t="shared" si="165"/>
        <v>0</v>
      </c>
      <c r="AR345">
        <f t="shared" si="166"/>
        <v>0</v>
      </c>
      <c r="AS345">
        <f t="shared" si="167"/>
        <v>1</v>
      </c>
    </row>
    <row r="346" spans="2:45" x14ac:dyDescent="0.3">
      <c r="B346">
        <v>345</v>
      </c>
      <c r="C346" s="1">
        <v>40888</v>
      </c>
      <c r="D346">
        <v>4</v>
      </c>
      <c r="E346">
        <v>0</v>
      </c>
      <c r="F346">
        <v>12</v>
      </c>
      <c r="G346">
        <v>0</v>
      </c>
      <c r="H346">
        <v>1</v>
      </c>
      <c r="I346">
        <v>377</v>
      </c>
      <c r="J346">
        <v>2366</v>
      </c>
      <c r="K346" s="8">
        <v>2743</v>
      </c>
      <c r="L346">
        <v>9.0541529999999995</v>
      </c>
      <c r="M346">
        <v>12.6577</v>
      </c>
      <c r="N346">
        <v>49</v>
      </c>
      <c r="O346">
        <v>4.4582939000000001</v>
      </c>
      <c r="P346">
        <v>0</v>
      </c>
      <c r="Q346">
        <v>0</v>
      </c>
      <c r="R346">
        <f t="shared" si="140"/>
        <v>0</v>
      </c>
      <c r="S346">
        <f t="shared" si="141"/>
        <v>0</v>
      </c>
      <c r="T346">
        <f t="shared" si="142"/>
        <v>0</v>
      </c>
      <c r="U346">
        <f t="shared" si="143"/>
        <v>0</v>
      </c>
      <c r="V346">
        <f t="shared" si="144"/>
        <v>0</v>
      </c>
      <c r="W346">
        <f t="shared" si="145"/>
        <v>0</v>
      </c>
      <c r="X346">
        <f t="shared" si="146"/>
        <v>0</v>
      </c>
      <c r="Y346">
        <f t="shared" si="147"/>
        <v>0</v>
      </c>
      <c r="Z346">
        <f t="shared" si="148"/>
        <v>0</v>
      </c>
      <c r="AA346">
        <f t="shared" si="149"/>
        <v>0</v>
      </c>
      <c r="AB346">
        <f t="shared" si="150"/>
        <v>0</v>
      </c>
      <c r="AC346">
        <f t="shared" si="151"/>
        <v>1</v>
      </c>
      <c r="AD346">
        <f t="shared" si="152"/>
        <v>1</v>
      </c>
      <c r="AE346">
        <f t="shared" si="153"/>
        <v>0</v>
      </c>
      <c r="AF346">
        <f t="shared" si="154"/>
        <v>0</v>
      </c>
      <c r="AG346">
        <f t="shared" si="155"/>
        <v>0</v>
      </c>
      <c r="AH346">
        <f t="shared" si="156"/>
        <v>0</v>
      </c>
      <c r="AI346">
        <f t="shared" si="157"/>
        <v>0</v>
      </c>
      <c r="AJ346">
        <f t="shared" si="158"/>
        <v>0</v>
      </c>
      <c r="AK346">
        <f t="shared" si="159"/>
        <v>1</v>
      </c>
      <c r="AL346">
        <f t="shared" si="160"/>
        <v>0</v>
      </c>
      <c r="AM346">
        <f t="shared" si="161"/>
        <v>0</v>
      </c>
      <c r="AN346">
        <f t="shared" si="162"/>
        <v>1</v>
      </c>
      <c r="AO346">
        <f t="shared" si="163"/>
        <v>0</v>
      </c>
      <c r="AP346">
        <f t="shared" si="164"/>
        <v>0</v>
      </c>
      <c r="AQ346">
        <f t="shared" si="165"/>
        <v>0</v>
      </c>
      <c r="AR346">
        <f t="shared" si="166"/>
        <v>0</v>
      </c>
      <c r="AS346">
        <f t="shared" si="167"/>
        <v>1</v>
      </c>
    </row>
    <row r="347" spans="2:45" x14ac:dyDescent="0.3">
      <c r="B347">
        <v>346</v>
      </c>
      <c r="C347" s="1">
        <v>40889</v>
      </c>
      <c r="D347">
        <v>4</v>
      </c>
      <c r="E347">
        <v>0</v>
      </c>
      <c r="F347">
        <v>12</v>
      </c>
      <c r="G347">
        <v>1</v>
      </c>
      <c r="H347">
        <v>1</v>
      </c>
      <c r="I347">
        <v>143</v>
      </c>
      <c r="J347">
        <v>3167</v>
      </c>
      <c r="K347" s="8">
        <v>3310</v>
      </c>
      <c r="L347">
        <v>9.7716530000000006</v>
      </c>
      <c r="M347">
        <v>13.5098</v>
      </c>
      <c r="N347">
        <v>67.083299999999994</v>
      </c>
      <c r="O347">
        <v>4.25115</v>
      </c>
      <c r="P347">
        <v>0</v>
      </c>
      <c r="Q347">
        <v>1</v>
      </c>
      <c r="R347">
        <f t="shared" si="140"/>
        <v>0</v>
      </c>
      <c r="S347">
        <f t="shared" si="141"/>
        <v>0</v>
      </c>
      <c r="T347">
        <f t="shared" si="142"/>
        <v>0</v>
      </c>
      <c r="U347">
        <f t="shared" si="143"/>
        <v>0</v>
      </c>
      <c r="V347">
        <f t="shared" si="144"/>
        <v>0</v>
      </c>
      <c r="W347">
        <f t="shared" si="145"/>
        <v>0</v>
      </c>
      <c r="X347">
        <f t="shared" si="146"/>
        <v>0</v>
      </c>
      <c r="Y347">
        <f t="shared" si="147"/>
        <v>0</v>
      </c>
      <c r="Z347">
        <f t="shared" si="148"/>
        <v>0</v>
      </c>
      <c r="AA347">
        <f t="shared" si="149"/>
        <v>0</v>
      </c>
      <c r="AB347">
        <f t="shared" si="150"/>
        <v>0</v>
      </c>
      <c r="AC347">
        <f t="shared" si="151"/>
        <v>1</v>
      </c>
      <c r="AD347">
        <f t="shared" si="152"/>
        <v>0</v>
      </c>
      <c r="AE347">
        <f t="shared" si="153"/>
        <v>1</v>
      </c>
      <c r="AF347">
        <f t="shared" si="154"/>
        <v>0</v>
      </c>
      <c r="AG347">
        <f t="shared" si="155"/>
        <v>0</v>
      </c>
      <c r="AH347">
        <f t="shared" si="156"/>
        <v>0</v>
      </c>
      <c r="AI347">
        <f t="shared" si="157"/>
        <v>0</v>
      </c>
      <c r="AJ347">
        <f t="shared" si="158"/>
        <v>0</v>
      </c>
      <c r="AK347">
        <f t="shared" si="159"/>
        <v>1</v>
      </c>
      <c r="AL347">
        <f t="shared" si="160"/>
        <v>0</v>
      </c>
      <c r="AM347">
        <f t="shared" si="161"/>
        <v>0</v>
      </c>
      <c r="AN347">
        <f t="shared" si="162"/>
        <v>1</v>
      </c>
      <c r="AO347">
        <f t="shared" si="163"/>
        <v>0</v>
      </c>
      <c r="AP347">
        <f t="shared" si="164"/>
        <v>0</v>
      </c>
      <c r="AQ347">
        <f t="shared" si="165"/>
        <v>0</v>
      </c>
      <c r="AR347">
        <f t="shared" si="166"/>
        <v>0</v>
      </c>
      <c r="AS347">
        <f t="shared" si="167"/>
        <v>1</v>
      </c>
    </row>
    <row r="348" spans="2:45" x14ac:dyDescent="0.3">
      <c r="B348">
        <v>347</v>
      </c>
      <c r="C348" s="1">
        <v>40890</v>
      </c>
      <c r="D348">
        <v>4</v>
      </c>
      <c r="E348">
        <v>0</v>
      </c>
      <c r="F348">
        <v>12</v>
      </c>
      <c r="G348">
        <v>2</v>
      </c>
      <c r="H348">
        <v>1</v>
      </c>
      <c r="I348">
        <v>155</v>
      </c>
      <c r="J348">
        <v>3368</v>
      </c>
      <c r="K348" s="8">
        <v>3523</v>
      </c>
      <c r="L348">
        <v>11.5825</v>
      </c>
      <c r="M348">
        <v>15.056900000000001</v>
      </c>
      <c r="N348">
        <v>59</v>
      </c>
      <c r="O348">
        <v>9.4168500000000002</v>
      </c>
      <c r="P348">
        <v>0</v>
      </c>
      <c r="Q348">
        <v>1</v>
      </c>
      <c r="R348">
        <f t="shared" si="140"/>
        <v>0</v>
      </c>
      <c r="S348">
        <f t="shared" si="141"/>
        <v>0</v>
      </c>
      <c r="T348">
        <f t="shared" si="142"/>
        <v>0</v>
      </c>
      <c r="U348">
        <f t="shared" si="143"/>
        <v>0</v>
      </c>
      <c r="V348">
        <f t="shared" si="144"/>
        <v>0</v>
      </c>
      <c r="W348">
        <f t="shared" si="145"/>
        <v>0</v>
      </c>
      <c r="X348">
        <f t="shared" si="146"/>
        <v>0</v>
      </c>
      <c r="Y348">
        <f t="shared" si="147"/>
        <v>0</v>
      </c>
      <c r="Z348">
        <f t="shared" si="148"/>
        <v>0</v>
      </c>
      <c r="AA348">
        <f t="shared" si="149"/>
        <v>0</v>
      </c>
      <c r="AB348">
        <f t="shared" si="150"/>
        <v>0</v>
      </c>
      <c r="AC348">
        <f t="shared" si="151"/>
        <v>1</v>
      </c>
      <c r="AD348">
        <f t="shared" si="152"/>
        <v>0</v>
      </c>
      <c r="AE348">
        <f t="shared" si="153"/>
        <v>0</v>
      </c>
      <c r="AF348">
        <f t="shared" si="154"/>
        <v>1</v>
      </c>
      <c r="AG348">
        <f t="shared" si="155"/>
        <v>0</v>
      </c>
      <c r="AH348">
        <f t="shared" si="156"/>
        <v>0</v>
      </c>
      <c r="AI348">
        <f t="shared" si="157"/>
        <v>0</v>
      </c>
      <c r="AJ348">
        <f t="shared" si="158"/>
        <v>0</v>
      </c>
      <c r="AK348">
        <f t="shared" si="159"/>
        <v>1</v>
      </c>
      <c r="AL348">
        <f t="shared" si="160"/>
        <v>0</v>
      </c>
      <c r="AM348">
        <f t="shared" si="161"/>
        <v>0</v>
      </c>
      <c r="AN348">
        <f t="shared" si="162"/>
        <v>1</v>
      </c>
      <c r="AO348">
        <f t="shared" si="163"/>
        <v>0</v>
      </c>
      <c r="AP348">
        <f t="shared" si="164"/>
        <v>0</v>
      </c>
      <c r="AQ348">
        <f t="shared" si="165"/>
        <v>0</v>
      </c>
      <c r="AR348">
        <f t="shared" si="166"/>
        <v>0</v>
      </c>
      <c r="AS348">
        <f t="shared" si="167"/>
        <v>1</v>
      </c>
    </row>
    <row r="349" spans="2:45" x14ac:dyDescent="0.3">
      <c r="B349">
        <v>348</v>
      </c>
      <c r="C349" s="1">
        <v>40891</v>
      </c>
      <c r="D349">
        <v>4</v>
      </c>
      <c r="E349">
        <v>0</v>
      </c>
      <c r="F349">
        <v>12</v>
      </c>
      <c r="G349">
        <v>3</v>
      </c>
      <c r="H349">
        <v>2</v>
      </c>
      <c r="I349">
        <v>178</v>
      </c>
      <c r="J349">
        <v>3562</v>
      </c>
      <c r="K349" s="8">
        <v>3740</v>
      </c>
      <c r="L349">
        <v>13.0175</v>
      </c>
      <c r="M349">
        <v>16.918099999999999</v>
      </c>
      <c r="N349">
        <v>66.375</v>
      </c>
      <c r="O349">
        <v>4.0842061000000003</v>
      </c>
      <c r="P349">
        <v>0</v>
      </c>
      <c r="Q349">
        <v>1</v>
      </c>
      <c r="R349">
        <f t="shared" si="140"/>
        <v>0</v>
      </c>
      <c r="S349">
        <f t="shared" si="141"/>
        <v>0</v>
      </c>
      <c r="T349">
        <f t="shared" si="142"/>
        <v>0</v>
      </c>
      <c r="U349">
        <f t="shared" si="143"/>
        <v>0</v>
      </c>
      <c r="V349">
        <f t="shared" si="144"/>
        <v>0</v>
      </c>
      <c r="W349">
        <f t="shared" si="145"/>
        <v>0</v>
      </c>
      <c r="X349">
        <f t="shared" si="146"/>
        <v>0</v>
      </c>
      <c r="Y349">
        <f t="shared" si="147"/>
        <v>0</v>
      </c>
      <c r="Z349">
        <f t="shared" si="148"/>
        <v>0</v>
      </c>
      <c r="AA349">
        <f t="shared" si="149"/>
        <v>0</v>
      </c>
      <c r="AB349">
        <f t="shared" si="150"/>
        <v>0</v>
      </c>
      <c r="AC349">
        <f t="shared" si="151"/>
        <v>1</v>
      </c>
      <c r="AD349">
        <f t="shared" si="152"/>
        <v>0</v>
      </c>
      <c r="AE349">
        <f t="shared" si="153"/>
        <v>0</v>
      </c>
      <c r="AF349">
        <f t="shared" si="154"/>
        <v>0</v>
      </c>
      <c r="AG349">
        <f t="shared" si="155"/>
        <v>1</v>
      </c>
      <c r="AH349">
        <f t="shared" si="156"/>
        <v>0</v>
      </c>
      <c r="AI349">
        <f t="shared" si="157"/>
        <v>0</v>
      </c>
      <c r="AJ349">
        <f t="shared" si="158"/>
        <v>0</v>
      </c>
      <c r="AK349">
        <f t="shared" si="159"/>
        <v>0</v>
      </c>
      <c r="AL349">
        <f t="shared" si="160"/>
        <v>1</v>
      </c>
      <c r="AM349">
        <f t="shared" si="161"/>
        <v>0</v>
      </c>
      <c r="AN349">
        <f t="shared" si="162"/>
        <v>1</v>
      </c>
      <c r="AO349">
        <f t="shared" si="163"/>
        <v>0</v>
      </c>
      <c r="AP349">
        <f t="shared" si="164"/>
        <v>0</v>
      </c>
      <c r="AQ349">
        <f t="shared" si="165"/>
        <v>0</v>
      </c>
      <c r="AR349">
        <f t="shared" si="166"/>
        <v>0</v>
      </c>
      <c r="AS349">
        <f t="shared" si="167"/>
        <v>1</v>
      </c>
    </row>
    <row r="350" spans="2:45" x14ac:dyDescent="0.3">
      <c r="B350">
        <v>349</v>
      </c>
      <c r="C350" s="1">
        <v>40892</v>
      </c>
      <c r="D350">
        <v>4</v>
      </c>
      <c r="E350">
        <v>0</v>
      </c>
      <c r="F350">
        <v>12</v>
      </c>
      <c r="G350">
        <v>4</v>
      </c>
      <c r="H350">
        <v>2</v>
      </c>
      <c r="I350">
        <v>181</v>
      </c>
      <c r="J350">
        <v>3528</v>
      </c>
      <c r="K350" s="8">
        <v>3709</v>
      </c>
      <c r="L350">
        <v>17.322500000000002</v>
      </c>
      <c r="M350">
        <v>20.61185</v>
      </c>
      <c r="N350">
        <v>63.416699999999999</v>
      </c>
      <c r="O350">
        <v>17.958814</v>
      </c>
      <c r="P350">
        <v>0</v>
      </c>
      <c r="Q350">
        <v>1</v>
      </c>
      <c r="R350">
        <f t="shared" si="140"/>
        <v>0</v>
      </c>
      <c r="S350">
        <f t="shared" si="141"/>
        <v>0</v>
      </c>
      <c r="T350">
        <f t="shared" si="142"/>
        <v>0</v>
      </c>
      <c r="U350">
        <f t="shared" si="143"/>
        <v>0</v>
      </c>
      <c r="V350">
        <f t="shared" si="144"/>
        <v>0</v>
      </c>
      <c r="W350">
        <f t="shared" si="145"/>
        <v>0</v>
      </c>
      <c r="X350">
        <f t="shared" si="146"/>
        <v>0</v>
      </c>
      <c r="Y350">
        <f t="shared" si="147"/>
        <v>0</v>
      </c>
      <c r="Z350">
        <f t="shared" si="148"/>
        <v>0</v>
      </c>
      <c r="AA350">
        <f t="shared" si="149"/>
        <v>0</v>
      </c>
      <c r="AB350">
        <f t="shared" si="150"/>
        <v>0</v>
      </c>
      <c r="AC350">
        <f t="shared" si="151"/>
        <v>1</v>
      </c>
      <c r="AD350">
        <f t="shared" si="152"/>
        <v>0</v>
      </c>
      <c r="AE350">
        <f t="shared" si="153"/>
        <v>0</v>
      </c>
      <c r="AF350">
        <f t="shared" si="154"/>
        <v>0</v>
      </c>
      <c r="AG350">
        <f t="shared" si="155"/>
        <v>0</v>
      </c>
      <c r="AH350">
        <f t="shared" si="156"/>
        <v>1</v>
      </c>
      <c r="AI350">
        <f t="shared" si="157"/>
        <v>0</v>
      </c>
      <c r="AJ350">
        <f t="shared" si="158"/>
        <v>0</v>
      </c>
      <c r="AK350">
        <f t="shared" si="159"/>
        <v>0</v>
      </c>
      <c r="AL350">
        <f t="shared" si="160"/>
        <v>1</v>
      </c>
      <c r="AM350">
        <f t="shared" si="161"/>
        <v>0</v>
      </c>
      <c r="AN350">
        <f t="shared" si="162"/>
        <v>1</v>
      </c>
      <c r="AO350">
        <f t="shared" si="163"/>
        <v>0</v>
      </c>
      <c r="AP350">
        <f t="shared" si="164"/>
        <v>0</v>
      </c>
      <c r="AQ350">
        <f t="shared" si="165"/>
        <v>0</v>
      </c>
      <c r="AR350">
        <f t="shared" si="166"/>
        <v>0</v>
      </c>
      <c r="AS350">
        <f t="shared" si="167"/>
        <v>1</v>
      </c>
    </row>
    <row r="351" spans="2:45" x14ac:dyDescent="0.3">
      <c r="B351">
        <v>350</v>
      </c>
      <c r="C351" s="1">
        <v>40893</v>
      </c>
      <c r="D351">
        <v>4</v>
      </c>
      <c r="E351">
        <v>0</v>
      </c>
      <c r="F351">
        <v>12</v>
      </c>
      <c r="G351">
        <v>5</v>
      </c>
      <c r="H351">
        <v>2</v>
      </c>
      <c r="I351">
        <v>178</v>
      </c>
      <c r="J351">
        <v>3399</v>
      </c>
      <c r="K351" s="8">
        <v>3577</v>
      </c>
      <c r="L351">
        <v>15.375</v>
      </c>
      <c r="M351">
        <v>17.991250000000001</v>
      </c>
      <c r="N351">
        <v>50.041699999999999</v>
      </c>
      <c r="O351">
        <v>17.458525000000002</v>
      </c>
      <c r="P351">
        <v>0</v>
      </c>
      <c r="Q351">
        <v>1</v>
      </c>
      <c r="R351">
        <f t="shared" si="140"/>
        <v>0</v>
      </c>
      <c r="S351">
        <f t="shared" si="141"/>
        <v>0</v>
      </c>
      <c r="T351">
        <f t="shared" si="142"/>
        <v>0</v>
      </c>
      <c r="U351">
        <f t="shared" si="143"/>
        <v>0</v>
      </c>
      <c r="V351">
        <f t="shared" si="144"/>
        <v>0</v>
      </c>
      <c r="W351">
        <f t="shared" si="145"/>
        <v>0</v>
      </c>
      <c r="X351">
        <f t="shared" si="146"/>
        <v>0</v>
      </c>
      <c r="Y351">
        <f t="shared" si="147"/>
        <v>0</v>
      </c>
      <c r="Z351">
        <f t="shared" si="148"/>
        <v>0</v>
      </c>
      <c r="AA351">
        <f t="shared" si="149"/>
        <v>0</v>
      </c>
      <c r="AB351">
        <f t="shared" si="150"/>
        <v>0</v>
      </c>
      <c r="AC351">
        <f t="shared" si="151"/>
        <v>1</v>
      </c>
      <c r="AD351">
        <f t="shared" si="152"/>
        <v>0</v>
      </c>
      <c r="AE351">
        <f t="shared" si="153"/>
        <v>0</v>
      </c>
      <c r="AF351">
        <f t="shared" si="154"/>
        <v>0</v>
      </c>
      <c r="AG351">
        <f t="shared" si="155"/>
        <v>0</v>
      </c>
      <c r="AH351">
        <f t="shared" si="156"/>
        <v>0</v>
      </c>
      <c r="AI351">
        <f t="shared" si="157"/>
        <v>1</v>
      </c>
      <c r="AJ351">
        <f t="shared" si="158"/>
        <v>0</v>
      </c>
      <c r="AK351">
        <f t="shared" si="159"/>
        <v>0</v>
      </c>
      <c r="AL351">
        <f t="shared" si="160"/>
        <v>1</v>
      </c>
      <c r="AM351">
        <f t="shared" si="161"/>
        <v>0</v>
      </c>
      <c r="AN351">
        <f t="shared" si="162"/>
        <v>1</v>
      </c>
      <c r="AO351">
        <f t="shared" si="163"/>
        <v>0</v>
      </c>
      <c r="AP351">
        <f t="shared" si="164"/>
        <v>0</v>
      </c>
      <c r="AQ351">
        <f t="shared" si="165"/>
        <v>0</v>
      </c>
      <c r="AR351">
        <f t="shared" si="166"/>
        <v>0</v>
      </c>
      <c r="AS351">
        <f t="shared" si="167"/>
        <v>1</v>
      </c>
    </row>
    <row r="352" spans="2:45" x14ac:dyDescent="0.3">
      <c r="B352">
        <v>351</v>
      </c>
      <c r="C352" s="1">
        <v>40894</v>
      </c>
      <c r="D352">
        <v>4</v>
      </c>
      <c r="E352">
        <v>0</v>
      </c>
      <c r="F352">
        <v>12</v>
      </c>
      <c r="G352">
        <v>6</v>
      </c>
      <c r="H352">
        <v>2</v>
      </c>
      <c r="I352">
        <v>275</v>
      </c>
      <c r="J352">
        <v>2464</v>
      </c>
      <c r="K352" s="8">
        <v>2739</v>
      </c>
      <c r="L352">
        <v>10.591653000000001</v>
      </c>
      <c r="M352">
        <v>12.46855</v>
      </c>
      <c r="N352">
        <v>56.083300000000001</v>
      </c>
      <c r="O352">
        <v>16.292189</v>
      </c>
      <c r="P352">
        <v>0</v>
      </c>
      <c r="Q352">
        <v>0</v>
      </c>
      <c r="R352">
        <f t="shared" si="140"/>
        <v>0</v>
      </c>
      <c r="S352">
        <f t="shared" si="141"/>
        <v>0</v>
      </c>
      <c r="T352">
        <f t="shared" si="142"/>
        <v>0</v>
      </c>
      <c r="U352">
        <f t="shared" si="143"/>
        <v>0</v>
      </c>
      <c r="V352">
        <f t="shared" si="144"/>
        <v>0</v>
      </c>
      <c r="W352">
        <f t="shared" si="145"/>
        <v>0</v>
      </c>
      <c r="X352">
        <f t="shared" si="146"/>
        <v>0</v>
      </c>
      <c r="Y352">
        <f t="shared" si="147"/>
        <v>0</v>
      </c>
      <c r="Z352">
        <f t="shared" si="148"/>
        <v>0</v>
      </c>
      <c r="AA352">
        <f t="shared" si="149"/>
        <v>0</v>
      </c>
      <c r="AB352">
        <f t="shared" si="150"/>
        <v>0</v>
      </c>
      <c r="AC352">
        <f t="shared" si="151"/>
        <v>1</v>
      </c>
      <c r="AD352">
        <f t="shared" si="152"/>
        <v>0</v>
      </c>
      <c r="AE352">
        <f t="shared" si="153"/>
        <v>0</v>
      </c>
      <c r="AF352">
        <f t="shared" si="154"/>
        <v>0</v>
      </c>
      <c r="AG352">
        <f t="shared" si="155"/>
        <v>0</v>
      </c>
      <c r="AH352">
        <f t="shared" si="156"/>
        <v>0</v>
      </c>
      <c r="AI352">
        <f t="shared" si="157"/>
        <v>0</v>
      </c>
      <c r="AJ352">
        <f t="shared" si="158"/>
        <v>1</v>
      </c>
      <c r="AK352">
        <f t="shared" si="159"/>
        <v>0</v>
      </c>
      <c r="AL352">
        <f t="shared" si="160"/>
        <v>1</v>
      </c>
      <c r="AM352">
        <f t="shared" si="161"/>
        <v>0</v>
      </c>
      <c r="AN352">
        <f t="shared" si="162"/>
        <v>1</v>
      </c>
      <c r="AO352">
        <f t="shared" si="163"/>
        <v>0</v>
      </c>
      <c r="AP352">
        <f t="shared" si="164"/>
        <v>0</v>
      </c>
      <c r="AQ352">
        <f t="shared" si="165"/>
        <v>0</v>
      </c>
      <c r="AR352">
        <f t="shared" si="166"/>
        <v>0</v>
      </c>
      <c r="AS352">
        <f t="shared" si="167"/>
        <v>1</v>
      </c>
    </row>
    <row r="353" spans="2:45" x14ac:dyDescent="0.3">
      <c r="B353">
        <v>352</v>
      </c>
      <c r="C353" s="1">
        <v>40895</v>
      </c>
      <c r="D353">
        <v>4</v>
      </c>
      <c r="E353">
        <v>0</v>
      </c>
      <c r="F353">
        <v>12</v>
      </c>
      <c r="G353">
        <v>0</v>
      </c>
      <c r="H353">
        <v>1</v>
      </c>
      <c r="I353">
        <v>220</v>
      </c>
      <c r="J353">
        <v>2211</v>
      </c>
      <c r="K353" s="8">
        <v>2431</v>
      </c>
      <c r="L353">
        <v>9.7716530000000006</v>
      </c>
      <c r="M353">
        <v>12.27895</v>
      </c>
      <c r="N353">
        <v>58.625</v>
      </c>
      <c r="O353">
        <v>11.375192999999999</v>
      </c>
      <c r="P353">
        <v>0</v>
      </c>
      <c r="Q353">
        <v>0</v>
      </c>
      <c r="R353">
        <f t="shared" si="140"/>
        <v>0</v>
      </c>
      <c r="S353">
        <f t="shared" si="141"/>
        <v>0</v>
      </c>
      <c r="T353">
        <f t="shared" si="142"/>
        <v>0</v>
      </c>
      <c r="U353">
        <f t="shared" si="143"/>
        <v>0</v>
      </c>
      <c r="V353">
        <f t="shared" si="144"/>
        <v>0</v>
      </c>
      <c r="W353">
        <f t="shared" si="145"/>
        <v>0</v>
      </c>
      <c r="X353">
        <f t="shared" si="146"/>
        <v>0</v>
      </c>
      <c r="Y353">
        <f t="shared" si="147"/>
        <v>0</v>
      </c>
      <c r="Z353">
        <f t="shared" si="148"/>
        <v>0</v>
      </c>
      <c r="AA353">
        <f t="shared" si="149"/>
        <v>0</v>
      </c>
      <c r="AB353">
        <f t="shared" si="150"/>
        <v>0</v>
      </c>
      <c r="AC353">
        <f t="shared" si="151"/>
        <v>1</v>
      </c>
      <c r="AD353">
        <f t="shared" si="152"/>
        <v>1</v>
      </c>
      <c r="AE353">
        <f t="shared" si="153"/>
        <v>0</v>
      </c>
      <c r="AF353">
        <f t="shared" si="154"/>
        <v>0</v>
      </c>
      <c r="AG353">
        <f t="shared" si="155"/>
        <v>0</v>
      </c>
      <c r="AH353">
        <f t="shared" si="156"/>
        <v>0</v>
      </c>
      <c r="AI353">
        <f t="shared" si="157"/>
        <v>0</v>
      </c>
      <c r="AJ353">
        <f t="shared" si="158"/>
        <v>0</v>
      </c>
      <c r="AK353">
        <f t="shared" si="159"/>
        <v>1</v>
      </c>
      <c r="AL353">
        <f t="shared" si="160"/>
        <v>0</v>
      </c>
      <c r="AM353">
        <f t="shared" si="161"/>
        <v>0</v>
      </c>
      <c r="AN353">
        <f t="shared" si="162"/>
        <v>1</v>
      </c>
      <c r="AO353">
        <f t="shared" si="163"/>
        <v>0</v>
      </c>
      <c r="AP353">
        <f t="shared" si="164"/>
        <v>0</v>
      </c>
      <c r="AQ353">
        <f t="shared" si="165"/>
        <v>0</v>
      </c>
      <c r="AR353">
        <f t="shared" si="166"/>
        <v>0</v>
      </c>
      <c r="AS353">
        <f t="shared" si="167"/>
        <v>1</v>
      </c>
    </row>
    <row r="354" spans="2:45" x14ac:dyDescent="0.3">
      <c r="B354">
        <v>353</v>
      </c>
      <c r="C354" s="1">
        <v>40896</v>
      </c>
      <c r="D354">
        <v>4</v>
      </c>
      <c r="E354">
        <v>0</v>
      </c>
      <c r="F354">
        <v>12</v>
      </c>
      <c r="G354">
        <v>1</v>
      </c>
      <c r="H354">
        <v>1</v>
      </c>
      <c r="I354">
        <v>260</v>
      </c>
      <c r="J354">
        <v>3143</v>
      </c>
      <c r="K354" s="8">
        <v>3403</v>
      </c>
      <c r="L354">
        <v>11.343347</v>
      </c>
      <c r="M354">
        <v>14.04665</v>
      </c>
      <c r="N354">
        <v>63.75</v>
      </c>
      <c r="O354">
        <v>11.584032000000001</v>
      </c>
      <c r="P354">
        <v>0</v>
      </c>
      <c r="Q354">
        <v>1</v>
      </c>
      <c r="R354">
        <f t="shared" si="140"/>
        <v>0</v>
      </c>
      <c r="S354">
        <f t="shared" si="141"/>
        <v>0</v>
      </c>
      <c r="T354">
        <f t="shared" si="142"/>
        <v>0</v>
      </c>
      <c r="U354">
        <f t="shared" si="143"/>
        <v>0</v>
      </c>
      <c r="V354">
        <f t="shared" si="144"/>
        <v>0</v>
      </c>
      <c r="W354">
        <f t="shared" si="145"/>
        <v>0</v>
      </c>
      <c r="X354">
        <f t="shared" si="146"/>
        <v>0</v>
      </c>
      <c r="Y354">
        <f t="shared" si="147"/>
        <v>0</v>
      </c>
      <c r="Z354">
        <f t="shared" si="148"/>
        <v>0</v>
      </c>
      <c r="AA354">
        <f t="shared" si="149"/>
        <v>0</v>
      </c>
      <c r="AB354">
        <f t="shared" si="150"/>
        <v>0</v>
      </c>
      <c r="AC354">
        <f t="shared" si="151"/>
        <v>1</v>
      </c>
      <c r="AD354">
        <f t="shared" si="152"/>
        <v>0</v>
      </c>
      <c r="AE354">
        <f t="shared" si="153"/>
        <v>1</v>
      </c>
      <c r="AF354">
        <f t="shared" si="154"/>
        <v>0</v>
      </c>
      <c r="AG354">
        <f t="shared" si="155"/>
        <v>0</v>
      </c>
      <c r="AH354">
        <f t="shared" si="156"/>
        <v>0</v>
      </c>
      <c r="AI354">
        <f t="shared" si="157"/>
        <v>0</v>
      </c>
      <c r="AJ354">
        <f t="shared" si="158"/>
        <v>0</v>
      </c>
      <c r="AK354">
        <f t="shared" si="159"/>
        <v>1</v>
      </c>
      <c r="AL354">
        <f t="shared" si="160"/>
        <v>0</v>
      </c>
      <c r="AM354">
        <f t="shared" si="161"/>
        <v>0</v>
      </c>
      <c r="AN354">
        <f t="shared" si="162"/>
        <v>1</v>
      </c>
      <c r="AO354">
        <f t="shared" si="163"/>
        <v>0</v>
      </c>
      <c r="AP354">
        <f t="shared" si="164"/>
        <v>0</v>
      </c>
      <c r="AQ354">
        <f t="shared" si="165"/>
        <v>0</v>
      </c>
      <c r="AR354">
        <f t="shared" si="166"/>
        <v>0</v>
      </c>
      <c r="AS354">
        <f t="shared" si="167"/>
        <v>1</v>
      </c>
    </row>
    <row r="355" spans="2:45" x14ac:dyDescent="0.3">
      <c r="B355">
        <v>354</v>
      </c>
      <c r="C355" s="1">
        <v>40897</v>
      </c>
      <c r="D355">
        <v>4</v>
      </c>
      <c r="E355">
        <v>0</v>
      </c>
      <c r="F355">
        <v>12</v>
      </c>
      <c r="G355">
        <v>2</v>
      </c>
      <c r="H355">
        <v>2</v>
      </c>
      <c r="I355">
        <v>216</v>
      </c>
      <c r="J355">
        <v>3534</v>
      </c>
      <c r="K355" s="8">
        <v>3750</v>
      </c>
      <c r="L355">
        <v>15.819153</v>
      </c>
      <c r="M355">
        <v>19.822700000000001</v>
      </c>
      <c r="N355">
        <v>59.541699999999999</v>
      </c>
      <c r="O355">
        <v>4.1252436000000001</v>
      </c>
      <c r="P355">
        <v>0</v>
      </c>
      <c r="Q355">
        <v>1</v>
      </c>
      <c r="R355">
        <f t="shared" si="140"/>
        <v>0</v>
      </c>
      <c r="S355">
        <f t="shared" si="141"/>
        <v>0</v>
      </c>
      <c r="T355">
        <f t="shared" si="142"/>
        <v>0</v>
      </c>
      <c r="U355">
        <f t="shared" si="143"/>
        <v>0</v>
      </c>
      <c r="V355">
        <f t="shared" si="144"/>
        <v>0</v>
      </c>
      <c r="W355">
        <f t="shared" si="145"/>
        <v>0</v>
      </c>
      <c r="X355">
        <f t="shared" si="146"/>
        <v>0</v>
      </c>
      <c r="Y355">
        <f t="shared" si="147"/>
        <v>0</v>
      </c>
      <c r="Z355">
        <f t="shared" si="148"/>
        <v>0</v>
      </c>
      <c r="AA355">
        <f t="shared" si="149"/>
        <v>0</v>
      </c>
      <c r="AB355">
        <f t="shared" si="150"/>
        <v>0</v>
      </c>
      <c r="AC355">
        <f t="shared" si="151"/>
        <v>1</v>
      </c>
      <c r="AD355">
        <f t="shared" si="152"/>
        <v>0</v>
      </c>
      <c r="AE355">
        <f t="shared" si="153"/>
        <v>0</v>
      </c>
      <c r="AF355">
        <f t="shared" si="154"/>
        <v>1</v>
      </c>
      <c r="AG355">
        <f t="shared" si="155"/>
        <v>0</v>
      </c>
      <c r="AH355">
        <f t="shared" si="156"/>
        <v>0</v>
      </c>
      <c r="AI355">
        <f t="shared" si="157"/>
        <v>0</v>
      </c>
      <c r="AJ355">
        <f t="shared" si="158"/>
        <v>0</v>
      </c>
      <c r="AK355">
        <f t="shared" si="159"/>
        <v>0</v>
      </c>
      <c r="AL355">
        <f t="shared" si="160"/>
        <v>1</v>
      </c>
      <c r="AM355">
        <f t="shared" si="161"/>
        <v>0</v>
      </c>
      <c r="AN355">
        <f t="shared" si="162"/>
        <v>1</v>
      </c>
      <c r="AO355">
        <f t="shared" si="163"/>
        <v>0</v>
      </c>
      <c r="AP355">
        <f t="shared" si="164"/>
        <v>0</v>
      </c>
      <c r="AQ355">
        <f t="shared" si="165"/>
        <v>0</v>
      </c>
      <c r="AR355">
        <f t="shared" si="166"/>
        <v>0</v>
      </c>
      <c r="AS355">
        <f t="shared" si="167"/>
        <v>1</v>
      </c>
    </row>
    <row r="356" spans="2:45" x14ac:dyDescent="0.3">
      <c r="B356">
        <v>355</v>
      </c>
      <c r="C356" s="1">
        <v>40898</v>
      </c>
      <c r="D356">
        <v>1</v>
      </c>
      <c r="E356">
        <v>0</v>
      </c>
      <c r="F356">
        <v>12</v>
      </c>
      <c r="G356">
        <v>3</v>
      </c>
      <c r="H356">
        <v>2</v>
      </c>
      <c r="I356">
        <v>107</v>
      </c>
      <c r="J356">
        <v>2553</v>
      </c>
      <c r="K356" s="8">
        <v>2660</v>
      </c>
      <c r="L356">
        <v>17.561653</v>
      </c>
      <c r="M356">
        <v>21.400849999999998</v>
      </c>
      <c r="N356">
        <v>85.833299999999994</v>
      </c>
      <c r="O356">
        <v>14.8338</v>
      </c>
      <c r="P356">
        <v>0</v>
      </c>
      <c r="Q356">
        <v>1</v>
      </c>
      <c r="R356">
        <f t="shared" si="140"/>
        <v>0</v>
      </c>
      <c r="S356">
        <f t="shared" si="141"/>
        <v>0</v>
      </c>
      <c r="T356">
        <f t="shared" si="142"/>
        <v>0</v>
      </c>
      <c r="U356">
        <f t="shared" si="143"/>
        <v>0</v>
      </c>
      <c r="V356">
        <f t="shared" si="144"/>
        <v>0</v>
      </c>
      <c r="W356">
        <f t="shared" si="145"/>
        <v>0</v>
      </c>
      <c r="X356">
        <f t="shared" si="146"/>
        <v>0</v>
      </c>
      <c r="Y356">
        <f t="shared" si="147"/>
        <v>0</v>
      </c>
      <c r="Z356">
        <f t="shared" si="148"/>
        <v>0</v>
      </c>
      <c r="AA356">
        <f t="shared" si="149"/>
        <v>0</v>
      </c>
      <c r="AB356">
        <f t="shared" si="150"/>
        <v>0</v>
      </c>
      <c r="AC356">
        <f t="shared" si="151"/>
        <v>1</v>
      </c>
      <c r="AD356">
        <f t="shared" si="152"/>
        <v>0</v>
      </c>
      <c r="AE356">
        <f t="shared" si="153"/>
        <v>0</v>
      </c>
      <c r="AF356">
        <f t="shared" si="154"/>
        <v>0</v>
      </c>
      <c r="AG356">
        <f t="shared" si="155"/>
        <v>1</v>
      </c>
      <c r="AH356">
        <f t="shared" si="156"/>
        <v>0</v>
      </c>
      <c r="AI356">
        <f t="shared" si="157"/>
        <v>0</v>
      </c>
      <c r="AJ356">
        <f t="shared" si="158"/>
        <v>0</v>
      </c>
      <c r="AK356">
        <f t="shared" si="159"/>
        <v>0</v>
      </c>
      <c r="AL356">
        <f t="shared" si="160"/>
        <v>1</v>
      </c>
      <c r="AM356">
        <f t="shared" si="161"/>
        <v>0</v>
      </c>
      <c r="AN356">
        <f t="shared" si="162"/>
        <v>1</v>
      </c>
      <c r="AO356">
        <f t="shared" si="163"/>
        <v>0</v>
      </c>
      <c r="AP356">
        <f t="shared" si="164"/>
        <v>1</v>
      </c>
      <c r="AQ356">
        <f t="shared" si="165"/>
        <v>0</v>
      </c>
      <c r="AR356">
        <f t="shared" si="166"/>
        <v>0</v>
      </c>
      <c r="AS356">
        <f t="shared" si="167"/>
        <v>0</v>
      </c>
    </row>
    <row r="357" spans="2:45" x14ac:dyDescent="0.3">
      <c r="B357">
        <v>356</v>
      </c>
      <c r="C357" s="1">
        <v>40899</v>
      </c>
      <c r="D357">
        <v>1</v>
      </c>
      <c r="E357">
        <v>0</v>
      </c>
      <c r="F357">
        <v>12</v>
      </c>
      <c r="G357">
        <v>4</v>
      </c>
      <c r="H357">
        <v>2</v>
      </c>
      <c r="I357">
        <v>227</v>
      </c>
      <c r="J357">
        <v>2841</v>
      </c>
      <c r="K357" s="8">
        <v>3068</v>
      </c>
      <c r="L357">
        <v>17.356653000000001</v>
      </c>
      <c r="M357">
        <v>21.306049999999999</v>
      </c>
      <c r="N357">
        <v>75.75</v>
      </c>
      <c r="O357">
        <v>3.1674250000000002</v>
      </c>
      <c r="P357">
        <v>0</v>
      </c>
      <c r="Q357">
        <v>1</v>
      </c>
      <c r="R357">
        <f t="shared" si="140"/>
        <v>0</v>
      </c>
      <c r="S357">
        <f t="shared" si="141"/>
        <v>0</v>
      </c>
      <c r="T357">
        <f t="shared" si="142"/>
        <v>0</v>
      </c>
      <c r="U357">
        <f t="shared" si="143"/>
        <v>0</v>
      </c>
      <c r="V357">
        <f t="shared" si="144"/>
        <v>0</v>
      </c>
      <c r="W357">
        <f t="shared" si="145"/>
        <v>0</v>
      </c>
      <c r="X357">
        <f t="shared" si="146"/>
        <v>0</v>
      </c>
      <c r="Y357">
        <f t="shared" si="147"/>
        <v>0</v>
      </c>
      <c r="Z357">
        <f t="shared" si="148"/>
        <v>0</v>
      </c>
      <c r="AA357">
        <f t="shared" si="149"/>
        <v>0</v>
      </c>
      <c r="AB357">
        <f t="shared" si="150"/>
        <v>0</v>
      </c>
      <c r="AC357">
        <f t="shared" si="151"/>
        <v>1</v>
      </c>
      <c r="AD357">
        <f t="shared" si="152"/>
        <v>0</v>
      </c>
      <c r="AE357">
        <f t="shared" si="153"/>
        <v>0</v>
      </c>
      <c r="AF357">
        <f t="shared" si="154"/>
        <v>0</v>
      </c>
      <c r="AG357">
        <f t="shared" si="155"/>
        <v>0</v>
      </c>
      <c r="AH357">
        <f t="shared" si="156"/>
        <v>1</v>
      </c>
      <c r="AI357">
        <f t="shared" si="157"/>
        <v>0</v>
      </c>
      <c r="AJ357">
        <f t="shared" si="158"/>
        <v>0</v>
      </c>
      <c r="AK357">
        <f t="shared" si="159"/>
        <v>0</v>
      </c>
      <c r="AL357">
        <f t="shared" si="160"/>
        <v>1</v>
      </c>
      <c r="AM357">
        <f t="shared" si="161"/>
        <v>0</v>
      </c>
      <c r="AN357">
        <f t="shared" si="162"/>
        <v>1</v>
      </c>
      <c r="AO357">
        <f t="shared" si="163"/>
        <v>0</v>
      </c>
      <c r="AP357">
        <f t="shared" si="164"/>
        <v>1</v>
      </c>
      <c r="AQ357">
        <f t="shared" si="165"/>
        <v>0</v>
      </c>
      <c r="AR357">
        <f t="shared" si="166"/>
        <v>0</v>
      </c>
      <c r="AS357">
        <f t="shared" si="167"/>
        <v>0</v>
      </c>
    </row>
    <row r="358" spans="2:45" x14ac:dyDescent="0.3">
      <c r="B358">
        <v>357</v>
      </c>
      <c r="C358" s="1">
        <v>40900</v>
      </c>
      <c r="D358">
        <v>1</v>
      </c>
      <c r="E358">
        <v>0</v>
      </c>
      <c r="F358">
        <v>12</v>
      </c>
      <c r="G358">
        <v>5</v>
      </c>
      <c r="H358">
        <v>1</v>
      </c>
      <c r="I358">
        <v>163</v>
      </c>
      <c r="J358">
        <v>2046</v>
      </c>
      <c r="K358" s="8">
        <v>2209</v>
      </c>
      <c r="L358">
        <v>15.306653000000001</v>
      </c>
      <c r="M358">
        <v>18.87565</v>
      </c>
      <c r="N358">
        <v>68.625</v>
      </c>
      <c r="O358">
        <v>18.374482</v>
      </c>
      <c r="P358">
        <v>0</v>
      </c>
      <c r="Q358">
        <v>1</v>
      </c>
      <c r="R358">
        <f t="shared" si="140"/>
        <v>0</v>
      </c>
      <c r="S358">
        <f t="shared" si="141"/>
        <v>0</v>
      </c>
      <c r="T358">
        <f t="shared" si="142"/>
        <v>0</v>
      </c>
      <c r="U358">
        <f t="shared" si="143"/>
        <v>0</v>
      </c>
      <c r="V358">
        <f t="shared" si="144"/>
        <v>0</v>
      </c>
      <c r="W358">
        <f t="shared" si="145"/>
        <v>0</v>
      </c>
      <c r="X358">
        <f t="shared" si="146"/>
        <v>0</v>
      </c>
      <c r="Y358">
        <f t="shared" si="147"/>
        <v>0</v>
      </c>
      <c r="Z358">
        <f t="shared" si="148"/>
        <v>0</v>
      </c>
      <c r="AA358">
        <f t="shared" si="149"/>
        <v>0</v>
      </c>
      <c r="AB358">
        <f t="shared" si="150"/>
        <v>0</v>
      </c>
      <c r="AC358">
        <f t="shared" si="151"/>
        <v>1</v>
      </c>
      <c r="AD358">
        <f t="shared" si="152"/>
        <v>0</v>
      </c>
      <c r="AE358">
        <f t="shared" si="153"/>
        <v>0</v>
      </c>
      <c r="AF358">
        <f t="shared" si="154"/>
        <v>0</v>
      </c>
      <c r="AG358">
        <f t="shared" si="155"/>
        <v>0</v>
      </c>
      <c r="AH358">
        <f t="shared" si="156"/>
        <v>0</v>
      </c>
      <c r="AI358">
        <f t="shared" si="157"/>
        <v>1</v>
      </c>
      <c r="AJ358">
        <f t="shared" si="158"/>
        <v>0</v>
      </c>
      <c r="AK358">
        <f t="shared" si="159"/>
        <v>1</v>
      </c>
      <c r="AL358">
        <f t="shared" si="160"/>
        <v>0</v>
      </c>
      <c r="AM358">
        <f t="shared" si="161"/>
        <v>0</v>
      </c>
      <c r="AN358">
        <f t="shared" si="162"/>
        <v>1</v>
      </c>
      <c r="AO358">
        <f t="shared" si="163"/>
        <v>0</v>
      </c>
      <c r="AP358">
        <f t="shared" si="164"/>
        <v>1</v>
      </c>
      <c r="AQ358">
        <f t="shared" si="165"/>
        <v>0</v>
      </c>
      <c r="AR358">
        <f t="shared" si="166"/>
        <v>0</v>
      </c>
      <c r="AS358">
        <f t="shared" si="167"/>
        <v>0</v>
      </c>
    </row>
    <row r="359" spans="2:45" x14ac:dyDescent="0.3">
      <c r="B359">
        <v>358</v>
      </c>
      <c r="C359" s="1">
        <v>40901</v>
      </c>
      <c r="D359">
        <v>1</v>
      </c>
      <c r="E359">
        <v>0</v>
      </c>
      <c r="F359">
        <v>12</v>
      </c>
      <c r="G359">
        <v>6</v>
      </c>
      <c r="H359">
        <v>1</v>
      </c>
      <c r="I359">
        <v>155</v>
      </c>
      <c r="J359">
        <v>856</v>
      </c>
      <c r="K359" s="8">
        <v>1011</v>
      </c>
      <c r="L359">
        <v>12.4025</v>
      </c>
      <c r="M359">
        <v>14.9621</v>
      </c>
      <c r="N359">
        <v>54.25</v>
      </c>
      <c r="O359">
        <v>12.750368</v>
      </c>
      <c r="P359">
        <v>0</v>
      </c>
      <c r="Q359">
        <v>0</v>
      </c>
      <c r="R359">
        <f t="shared" si="140"/>
        <v>0</v>
      </c>
      <c r="S359">
        <f t="shared" si="141"/>
        <v>0</v>
      </c>
      <c r="T359">
        <f t="shared" si="142"/>
        <v>0</v>
      </c>
      <c r="U359">
        <f t="shared" si="143"/>
        <v>0</v>
      </c>
      <c r="V359">
        <f t="shared" si="144"/>
        <v>0</v>
      </c>
      <c r="W359">
        <f t="shared" si="145"/>
        <v>0</v>
      </c>
      <c r="X359">
        <f t="shared" si="146"/>
        <v>0</v>
      </c>
      <c r="Y359">
        <f t="shared" si="147"/>
        <v>0</v>
      </c>
      <c r="Z359">
        <f t="shared" si="148"/>
        <v>0</v>
      </c>
      <c r="AA359">
        <f t="shared" si="149"/>
        <v>0</v>
      </c>
      <c r="AB359">
        <f t="shared" si="150"/>
        <v>0</v>
      </c>
      <c r="AC359">
        <f t="shared" si="151"/>
        <v>1</v>
      </c>
      <c r="AD359">
        <f t="shared" si="152"/>
        <v>0</v>
      </c>
      <c r="AE359">
        <f t="shared" si="153"/>
        <v>0</v>
      </c>
      <c r="AF359">
        <f t="shared" si="154"/>
        <v>0</v>
      </c>
      <c r="AG359">
        <f t="shared" si="155"/>
        <v>0</v>
      </c>
      <c r="AH359">
        <f t="shared" si="156"/>
        <v>0</v>
      </c>
      <c r="AI359">
        <f t="shared" si="157"/>
        <v>0</v>
      </c>
      <c r="AJ359">
        <f t="shared" si="158"/>
        <v>1</v>
      </c>
      <c r="AK359">
        <f t="shared" si="159"/>
        <v>1</v>
      </c>
      <c r="AL359">
        <f t="shared" si="160"/>
        <v>0</v>
      </c>
      <c r="AM359">
        <f t="shared" si="161"/>
        <v>0</v>
      </c>
      <c r="AN359">
        <f t="shared" si="162"/>
        <v>1</v>
      </c>
      <c r="AO359">
        <f t="shared" si="163"/>
        <v>0</v>
      </c>
      <c r="AP359">
        <f t="shared" si="164"/>
        <v>1</v>
      </c>
      <c r="AQ359">
        <f t="shared" si="165"/>
        <v>0</v>
      </c>
      <c r="AR359">
        <f t="shared" si="166"/>
        <v>0</v>
      </c>
      <c r="AS359">
        <f t="shared" si="167"/>
        <v>0</v>
      </c>
    </row>
    <row r="360" spans="2:45" x14ac:dyDescent="0.3">
      <c r="B360">
        <v>359</v>
      </c>
      <c r="C360" s="1">
        <v>40902</v>
      </c>
      <c r="D360">
        <v>1</v>
      </c>
      <c r="E360">
        <v>0</v>
      </c>
      <c r="F360">
        <v>12</v>
      </c>
      <c r="G360">
        <v>0</v>
      </c>
      <c r="H360">
        <v>1</v>
      </c>
      <c r="I360">
        <v>303</v>
      </c>
      <c r="J360">
        <v>451</v>
      </c>
      <c r="K360" s="8">
        <v>754</v>
      </c>
      <c r="L360">
        <v>11.266102999999999</v>
      </c>
      <c r="M360">
        <v>13.998049999999999</v>
      </c>
      <c r="N360">
        <v>68.130399999999995</v>
      </c>
      <c r="O360">
        <v>10.391097</v>
      </c>
      <c r="P360">
        <v>0</v>
      </c>
      <c r="Q360">
        <v>0</v>
      </c>
      <c r="R360">
        <f t="shared" si="140"/>
        <v>0</v>
      </c>
      <c r="S360">
        <f t="shared" si="141"/>
        <v>0</v>
      </c>
      <c r="T360">
        <f t="shared" si="142"/>
        <v>0</v>
      </c>
      <c r="U360">
        <f t="shared" si="143"/>
        <v>0</v>
      </c>
      <c r="V360">
        <f t="shared" si="144"/>
        <v>0</v>
      </c>
      <c r="W360">
        <f t="shared" si="145"/>
        <v>0</v>
      </c>
      <c r="X360">
        <f t="shared" si="146"/>
        <v>0</v>
      </c>
      <c r="Y360">
        <f t="shared" si="147"/>
        <v>0</v>
      </c>
      <c r="Z360">
        <f t="shared" si="148"/>
        <v>0</v>
      </c>
      <c r="AA360">
        <f t="shared" si="149"/>
        <v>0</v>
      </c>
      <c r="AB360">
        <f t="shared" si="150"/>
        <v>0</v>
      </c>
      <c r="AC360">
        <f t="shared" si="151"/>
        <v>1</v>
      </c>
      <c r="AD360">
        <f t="shared" si="152"/>
        <v>1</v>
      </c>
      <c r="AE360">
        <f t="shared" si="153"/>
        <v>0</v>
      </c>
      <c r="AF360">
        <f t="shared" si="154"/>
        <v>0</v>
      </c>
      <c r="AG360">
        <f t="shared" si="155"/>
        <v>0</v>
      </c>
      <c r="AH360">
        <f t="shared" si="156"/>
        <v>0</v>
      </c>
      <c r="AI360">
        <f t="shared" si="157"/>
        <v>0</v>
      </c>
      <c r="AJ360">
        <f t="shared" si="158"/>
        <v>0</v>
      </c>
      <c r="AK360">
        <f t="shared" si="159"/>
        <v>1</v>
      </c>
      <c r="AL360">
        <f t="shared" si="160"/>
        <v>0</v>
      </c>
      <c r="AM360">
        <f t="shared" si="161"/>
        <v>0</v>
      </c>
      <c r="AN360">
        <f t="shared" si="162"/>
        <v>1</v>
      </c>
      <c r="AO360">
        <f t="shared" si="163"/>
        <v>0</v>
      </c>
      <c r="AP360">
        <f t="shared" si="164"/>
        <v>1</v>
      </c>
      <c r="AQ360">
        <f t="shared" si="165"/>
        <v>0</v>
      </c>
      <c r="AR360">
        <f t="shared" si="166"/>
        <v>0</v>
      </c>
      <c r="AS360">
        <f t="shared" si="167"/>
        <v>0</v>
      </c>
    </row>
    <row r="361" spans="2:45" x14ac:dyDescent="0.3">
      <c r="B361">
        <v>360</v>
      </c>
      <c r="C361" s="1">
        <v>40903</v>
      </c>
      <c r="D361">
        <v>1</v>
      </c>
      <c r="E361">
        <v>0</v>
      </c>
      <c r="F361">
        <v>12</v>
      </c>
      <c r="G361">
        <v>1</v>
      </c>
      <c r="H361">
        <v>1</v>
      </c>
      <c r="I361">
        <v>430</v>
      </c>
      <c r="J361">
        <v>887</v>
      </c>
      <c r="K361" s="8">
        <v>1317</v>
      </c>
      <c r="L361">
        <v>13.191299000000001</v>
      </c>
      <c r="M361">
        <v>15.77675</v>
      </c>
      <c r="N361">
        <v>50.695700000000002</v>
      </c>
      <c r="O361">
        <v>16.044155</v>
      </c>
      <c r="P361">
        <v>1</v>
      </c>
      <c r="Q361">
        <v>0</v>
      </c>
      <c r="R361">
        <f t="shared" si="140"/>
        <v>0</v>
      </c>
      <c r="S361">
        <f t="shared" si="141"/>
        <v>0</v>
      </c>
      <c r="T361">
        <f t="shared" si="142"/>
        <v>0</v>
      </c>
      <c r="U361">
        <f t="shared" si="143"/>
        <v>0</v>
      </c>
      <c r="V361">
        <f t="shared" si="144"/>
        <v>0</v>
      </c>
      <c r="W361">
        <f t="shared" si="145"/>
        <v>0</v>
      </c>
      <c r="X361">
        <f t="shared" si="146"/>
        <v>0</v>
      </c>
      <c r="Y361">
        <f t="shared" si="147"/>
        <v>0</v>
      </c>
      <c r="Z361">
        <f t="shared" si="148"/>
        <v>0</v>
      </c>
      <c r="AA361">
        <f t="shared" si="149"/>
        <v>0</v>
      </c>
      <c r="AB361">
        <f t="shared" si="150"/>
        <v>0</v>
      </c>
      <c r="AC361">
        <f t="shared" si="151"/>
        <v>1</v>
      </c>
      <c r="AD361">
        <f t="shared" si="152"/>
        <v>0</v>
      </c>
      <c r="AE361">
        <f t="shared" si="153"/>
        <v>1</v>
      </c>
      <c r="AF361">
        <f t="shared" si="154"/>
        <v>0</v>
      </c>
      <c r="AG361">
        <f t="shared" si="155"/>
        <v>0</v>
      </c>
      <c r="AH361">
        <f t="shared" si="156"/>
        <v>0</v>
      </c>
      <c r="AI361">
        <f t="shared" si="157"/>
        <v>0</v>
      </c>
      <c r="AJ361">
        <f t="shared" si="158"/>
        <v>0</v>
      </c>
      <c r="AK361">
        <f t="shared" si="159"/>
        <v>1</v>
      </c>
      <c r="AL361">
        <f t="shared" si="160"/>
        <v>0</v>
      </c>
      <c r="AM361">
        <f t="shared" si="161"/>
        <v>0</v>
      </c>
      <c r="AN361">
        <f t="shared" si="162"/>
        <v>1</v>
      </c>
      <c r="AO361">
        <f t="shared" si="163"/>
        <v>0</v>
      </c>
      <c r="AP361">
        <f t="shared" si="164"/>
        <v>1</v>
      </c>
      <c r="AQ361">
        <f t="shared" si="165"/>
        <v>0</v>
      </c>
      <c r="AR361">
        <f t="shared" si="166"/>
        <v>0</v>
      </c>
      <c r="AS361">
        <f t="shared" si="167"/>
        <v>0</v>
      </c>
    </row>
    <row r="362" spans="2:45" x14ac:dyDescent="0.3">
      <c r="B362">
        <v>361</v>
      </c>
      <c r="C362" s="1">
        <v>40904</v>
      </c>
      <c r="D362">
        <v>1</v>
      </c>
      <c r="E362">
        <v>0</v>
      </c>
      <c r="F362">
        <v>12</v>
      </c>
      <c r="G362">
        <v>2</v>
      </c>
      <c r="H362">
        <v>2</v>
      </c>
      <c r="I362">
        <v>103</v>
      </c>
      <c r="J362">
        <v>1059</v>
      </c>
      <c r="K362" s="8">
        <v>1162</v>
      </c>
      <c r="L362">
        <v>13.324999999999999</v>
      </c>
      <c r="M362">
        <v>16.38165</v>
      </c>
      <c r="N362">
        <v>76.25</v>
      </c>
      <c r="O362">
        <v>12.626150000000001</v>
      </c>
      <c r="P362">
        <v>0</v>
      </c>
      <c r="Q362">
        <v>1</v>
      </c>
      <c r="R362">
        <f t="shared" si="140"/>
        <v>0</v>
      </c>
      <c r="S362">
        <f t="shared" si="141"/>
        <v>0</v>
      </c>
      <c r="T362">
        <f t="shared" si="142"/>
        <v>0</v>
      </c>
      <c r="U362">
        <f t="shared" si="143"/>
        <v>0</v>
      </c>
      <c r="V362">
        <f t="shared" si="144"/>
        <v>0</v>
      </c>
      <c r="W362">
        <f t="shared" si="145"/>
        <v>0</v>
      </c>
      <c r="X362">
        <f t="shared" si="146"/>
        <v>0</v>
      </c>
      <c r="Y362">
        <f t="shared" si="147"/>
        <v>0</v>
      </c>
      <c r="Z362">
        <f t="shared" si="148"/>
        <v>0</v>
      </c>
      <c r="AA362">
        <f t="shared" si="149"/>
        <v>0</v>
      </c>
      <c r="AB362">
        <f t="shared" si="150"/>
        <v>0</v>
      </c>
      <c r="AC362">
        <f t="shared" si="151"/>
        <v>1</v>
      </c>
      <c r="AD362">
        <f t="shared" si="152"/>
        <v>0</v>
      </c>
      <c r="AE362">
        <f t="shared" si="153"/>
        <v>0</v>
      </c>
      <c r="AF362">
        <f t="shared" si="154"/>
        <v>1</v>
      </c>
      <c r="AG362">
        <f t="shared" si="155"/>
        <v>0</v>
      </c>
      <c r="AH362">
        <f t="shared" si="156"/>
        <v>0</v>
      </c>
      <c r="AI362">
        <f t="shared" si="157"/>
        <v>0</v>
      </c>
      <c r="AJ362">
        <f t="shared" si="158"/>
        <v>0</v>
      </c>
      <c r="AK362">
        <f t="shared" si="159"/>
        <v>0</v>
      </c>
      <c r="AL362">
        <f t="shared" si="160"/>
        <v>1</v>
      </c>
      <c r="AM362">
        <f t="shared" si="161"/>
        <v>0</v>
      </c>
      <c r="AN362">
        <f t="shared" si="162"/>
        <v>1</v>
      </c>
      <c r="AO362">
        <f t="shared" si="163"/>
        <v>0</v>
      </c>
      <c r="AP362">
        <f t="shared" si="164"/>
        <v>1</v>
      </c>
      <c r="AQ362">
        <f t="shared" si="165"/>
        <v>0</v>
      </c>
      <c r="AR362">
        <f t="shared" si="166"/>
        <v>0</v>
      </c>
      <c r="AS362">
        <f t="shared" si="167"/>
        <v>0</v>
      </c>
    </row>
    <row r="363" spans="2:45" x14ac:dyDescent="0.3">
      <c r="B363">
        <v>362</v>
      </c>
      <c r="C363" s="1">
        <v>40905</v>
      </c>
      <c r="D363">
        <v>1</v>
      </c>
      <c r="E363">
        <v>0</v>
      </c>
      <c r="F363">
        <v>12</v>
      </c>
      <c r="G363">
        <v>3</v>
      </c>
      <c r="H363">
        <v>1</v>
      </c>
      <c r="I363">
        <v>255</v>
      </c>
      <c r="J363">
        <v>2047</v>
      </c>
      <c r="K363" s="8">
        <v>2302</v>
      </c>
      <c r="L363">
        <v>12.264329999999999</v>
      </c>
      <c r="M363">
        <v>13.998699999999999</v>
      </c>
      <c r="N363">
        <v>50.391300000000001</v>
      </c>
      <c r="O363">
        <v>19.695387</v>
      </c>
      <c r="P363">
        <v>0</v>
      </c>
      <c r="Q363">
        <v>1</v>
      </c>
      <c r="R363">
        <f t="shared" si="140"/>
        <v>0</v>
      </c>
      <c r="S363">
        <f t="shared" si="141"/>
        <v>0</v>
      </c>
      <c r="T363">
        <f t="shared" si="142"/>
        <v>0</v>
      </c>
      <c r="U363">
        <f t="shared" si="143"/>
        <v>0</v>
      </c>
      <c r="V363">
        <f t="shared" si="144"/>
        <v>0</v>
      </c>
      <c r="W363">
        <f t="shared" si="145"/>
        <v>0</v>
      </c>
      <c r="X363">
        <f t="shared" si="146"/>
        <v>0</v>
      </c>
      <c r="Y363">
        <f t="shared" si="147"/>
        <v>0</v>
      </c>
      <c r="Z363">
        <f t="shared" si="148"/>
        <v>0</v>
      </c>
      <c r="AA363">
        <f t="shared" si="149"/>
        <v>0</v>
      </c>
      <c r="AB363">
        <f t="shared" si="150"/>
        <v>0</v>
      </c>
      <c r="AC363">
        <f t="shared" si="151"/>
        <v>1</v>
      </c>
      <c r="AD363">
        <f t="shared" si="152"/>
        <v>0</v>
      </c>
      <c r="AE363">
        <f t="shared" si="153"/>
        <v>0</v>
      </c>
      <c r="AF363">
        <f t="shared" si="154"/>
        <v>0</v>
      </c>
      <c r="AG363">
        <f t="shared" si="155"/>
        <v>1</v>
      </c>
      <c r="AH363">
        <f t="shared" si="156"/>
        <v>0</v>
      </c>
      <c r="AI363">
        <f t="shared" si="157"/>
        <v>0</v>
      </c>
      <c r="AJ363">
        <f t="shared" si="158"/>
        <v>0</v>
      </c>
      <c r="AK363">
        <f t="shared" si="159"/>
        <v>1</v>
      </c>
      <c r="AL363">
        <f t="shared" si="160"/>
        <v>0</v>
      </c>
      <c r="AM363">
        <f t="shared" si="161"/>
        <v>0</v>
      </c>
      <c r="AN363">
        <f t="shared" si="162"/>
        <v>1</v>
      </c>
      <c r="AO363">
        <f t="shared" si="163"/>
        <v>0</v>
      </c>
      <c r="AP363">
        <f t="shared" si="164"/>
        <v>1</v>
      </c>
      <c r="AQ363">
        <f t="shared" si="165"/>
        <v>0</v>
      </c>
      <c r="AR363">
        <f t="shared" si="166"/>
        <v>0</v>
      </c>
      <c r="AS363">
        <f t="shared" si="167"/>
        <v>0</v>
      </c>
    </row>
    <row r="364" spans="2:45" x14ac:dyDescent="0.3">
      <c r="B364">
        <v>363</v>
      </c>
      <c r="C364" s="1">
        <v>40906</v>
      </c>
      <c r="D364">
        <v>1</v>
      </c>
      <c r="E364">
        <v>0</v>
      </c>
      <c r="F364">
        <v>12</v>
      </c>
      <c r="G364">
        <v>4</v>
      </c>
      <c r="H364">
        <v>1</v>
      </c>
      <c r="I364">
        <v>254</v>
      </c>
      <c r="J364">
        <v>2169</v>
      </c>
      <c r="K364" s="8">
        <v>2423</v>
      </c>
      <c r="L364">
        <v>10.181653000000001</v>
      </c>
      <c r="M364">
        <v>13.194599999999999</v>
      </c>
      <c r="N364">
        <v>57.416699999999999</v>
      </c>
      <c r="O364">
        <v>8.0006039999999992</v>
      </c>
      <c r="P364">
        <v>0</v>
      </c>
      <c r="Q364">
        <v>1</v>
      </c>
      <c r="R364">
        <f t="shared" si="140"/>
        <v>0</v>
      </c>
      <c r="S364">
        <f t="shared" si="141"/>
        <v>0</v>
      </c>
      <c r="T364">
        <f t="shared" si="142"/>
        <v>0</v>
      </c>
      <c r="U364">
        <f t="shared" si="143"/>
        <v>0</v>
      </c>
      <c r="V364">
        <f t="shared" si="144"/>
        <v>0</v>
      </c>
      <c r="W364">
        <f t="shared" si="145"/>
        <v>0</v>
      </c>
      <c r="X364">
        <f t="shared" si="146"/>
        <v>0</v>
      </c>
      <c r="Y364">
        <f t="shared" si="147"/>
        <v>0</v>
      </c>
      <c r="Z364">
        <f t="shared" si="148"/>
        <v>0</v>
      </c>
      <c r="AA364">
        <f t="shared" si="149"/>
        <v>0</v>
      </c>
      <c r="AB364">
        <f t="shared" si="150"/>
        <v>0</v>
      </c>
      <c r="AC364">
        <f t="shared" si="151"/>
        <v>1</v>
      </c>
      <c r="AD364">
        <f t="shared" si="152"/>
        <v>0</v>
      </c>
      <c r="AE364">
        <f t="shared" si="153"/>
        <v>0</v>
      </c>
      <c r="AF364">
        <f t="shared" si="154"/>
        <v>0</v>
      </c>
      <c r="AG364">
        <f t="shared" si="155"/>
        <v>0</v>
      </c>
      <c r="AH364">
        <f t="shared" si="156"/>
        <v>1</v>
      </c>
      <c r="AI364">
        <f t="shared" si="157"/>
        <v>0</v>
      </c>
      <c r="AJ364">
        <f t="shared" si="158"/>
        <v>0</v>
      </c>
      <c r="AK364">
        <f t="shared" si="159"/>
        <v>1</v>
      </c>
      <c r="AL364">
        <f t="shared" si="160"/>
        <v>0</v>
      </c>
      <c r="AM364">
        <f t="shared" si="161"/>
        <v>0</v>
      </c>
      <c r="AN364">
        <f t="shared" si="162"/>
        <v>1</v>
      </c>
      <c r="AO364">
        <f t="shared" si="163"/>
        <v>0</v>
      </c>
      <c r="AP364">
        <f t="shared" si="164"/>
        <v>1</v>
      </c>
      <c r="AQ364">
        <f t="shared" si="165"/>
        <v>0</v>
      </c>
      <c r="AR364">
        <f t="shared" si="166"/>
        <v>0</v>
      </c>
      <c r="AS364">
        <f t="shared" si="167"/>
        <v>0</v>
      </c>
    </row>
    <row r="365" spans="2:45" x14ac:dyDescent="0.3">
      <c r="B365">
        <v>364</v>
      </c>
      <c r="C365" s="1">
        <v>40907</v>
      </c>
      <c r="D365">
        <v>1</v>
      </c>
      <c r="E365">
        <v>0</v>
      </c>
      <c r="F365">
        <v>12</v>
      </c>
      <c r="G365">
        <v>5</v>
      </c>
      <c r="H365">
        <v>1</v>
      </c>
      <c r="I365">
        <v>491</v>
      </c>
      <c r="J365">
        <v>2508</v>
      </c>
      <c r="K365" s="8">
        <v>2999</v>
      </c>
      <c r="L365">
        <v>12.778347</v>
      </c>
      <c r="M365">
        <v>15.9406</v>
      </c>
      <c r="N365">
        <v>63.666699999999999</v>
      </c>
      <c r="O365">
        <v>9.0005790000000001</v>
      </c>
      <c r="P365">
        <v>0</v>
      </c>
      <c r="Q365">
        <v>1</v>
      </c>
      <c r="R365">
        <f t="shared" si="140"/>
        <v>0</v>
      </c>
      <c r="S365">
        <f t="shared" si="141"/>
        <v>0</v>
      </c>
      <c r="T365">
        <f t="shared" si="142"/>
        <v>0</v>
      </c>
      <c r="U365">
        <f t="shared" si="143"/>
        <v>0</v>
      </c>
      <c r="V365">
        <f t="shared" si="144"/>
        <v>0</v>
      </c>
      <c r="W365">
        <f t="shared" si="145"/>
        <v>0</v>
      </c>
      <c r="X365">
        <f t="shared" si="146"/>
        <v>0</v>
      </c>
      <c r="Y365">
        <f t="shared" si="147"/>
        <v>0</v>
      </c>
      <c r="Z365">
        <f t="shared" si="148"/>
        <v>0</v>
      </c>
      <c r="AA365">
        <f t="shared" si="149"/>
        <v>0</v>
      </c>
      <c r="AB365">
        <f t="shared" si="150"/>
        <v>0</v>
      </c>
      <c r="AC365">
        <f t="shared" si="151"/>
        <v>1</v>
      </c>
      <c r="AD365">
        <f t="shared" si="152"/>
        <v>0</v>
      </c>
      <c r="AE365">
        <f t="shared" si="153"/>
        <v>0</v>
      </c>
      <c r="AF365">
        <f t="shared" si="154"/>
        <v>0</v>
      </c>
      <c r="AG365">
        <f t="shared" si="155"/>
        <v>0</v>
      </c>
      <c r="AH365">
        <f t="shared" si="156"/>
        <v>0</v>
      </c>
      <c r="AI365">
        <f t="shared" si="157"/>
        <v>1</v>
      </c>
      <c r="AJ365">
        <f t="shared" si="158"/>
        <v>0</v>
      </c>
      <c r="AK365">
        <f t="shared" si="159"/>
        <v>1</v>
      </c>
      <c r="AL365">
        <f t="shared" si="160"/>
        <v>0</v>
      </c>
      <c r="AM365">
        <f t="shared" si="161"/>
        <v>0</v>
      </c>
      <c r="AN365">
        <f t="shared" si="162"/>
        <v>1</v>
      </c>
      <c r="AO365">
        <f t="shared" si="163"/>
        <v>0</v>
      </c>
      <c r="AP365">
        <f t="shared" si="164"/>
        <v>1</v>
      </c>
      <c r="AQ365">
        <f t="shared" si="165"/>
        <v>0</v>
      </c>
      <c r="AR365">
        <f t="shared" si="166"/>
        <v>0</v>
      </c>
      <c r="AS365">
        <f t="shared" si="167"/>
        <v>0</v>
      </c>
    </row>
    <row r="366" spans="2:45" x14ac:dyDescent="0.3">
      <c r="B366">
        <v>365</v>
      </c>
      <c r="C366" s="1">
        <v>40908</v>
      </c>
      <c r="D366">
        <v>1</v>
      </c>
      <c r="E366">
        <v>0</v>
      </c>
      <c r="F366">
        <v>12</v>
      </c>
      <c r="G366">
        <v>6</v>
      </c>
      <c r="H366">
        <v>1</v>
      </c>
      <c r="I366">
        <v>665</v>
      </c>
      <c r="J366">
        <v>1820</v>
      </c>
      <c r="K366" s="8">
        <v>2485</v>
      </c>
      <c r="L366">
        <v>16.809999999999999</v>
      </c>
      <c r="M366">
        <v>20.706050000000001</v>
      </c>
      <c r="N366">
        <v>61.583300000000001</v>
      </c>
      <c r="O366">
        <v>14.750318</v>
      </c>
      <c r="P366">
        <v>0</v>
      </c>
      <c r="Q366">
        <v>0</v>
      </c>
      <c r="R366">
        <f t="shared" si="140"/>
        <v>0</v>
      </c>
      <c r="S366">
        <f t="shared" si="141"/>
        <v>0</v>
      </c>
      <c r="T366">
        <f t="shared" si="142"/>
        <v>0</v>
      </c>
      <c r="U366">
        <f t="shared" si="143"/>
        <v>0</v>
      </c>
      <c r="V366">
        <f t="shared" si="144"/>
        <v>0</v>
      </c>
      <c r="W366">
        <f t="shared" si="145"/>
        <v>0</v>
      </c>
      <c r="X366">
        <f t="shared" si="146"/>
        <v>0</v>
      </c>
      <c r="Y366">
        <f t="shared" si="147"/>
        <v>0</v>
      </c>
      <c r="Z366">
        <f t="shared" si="148"/>
        <v>0</v>
      </c>
      <c r="AA366">
        <f t="shared" si="149"/>
        <v>0</v>
      </c>
      <c r="AB366">
        <f t="shared" si="150"/>
        <v>0</v>
      </c>
      <c r="AC366">
        <f t="shared" si="151"/>
        <v>1</v>
      </c>
      <c r="AD366">
        <f t="shared" si="152"/>
        <v>0</v>
      </c>
      <c r="AE366">
        <f t="shared" si="153"/>
        <v>0</v>
      </c>
      <c r="AF366">
        <f t="shared" si="154"/>
        <v>0</v>
      </c>
      <c r="AG366">
        <f t="shared" si="155"/>
        <v>0</v>
      </c>
      <c r="AH366">
        <f t="shared" si="156"/>
        <v>0</v>
      </c>
      <c r="AI366">
        <f t="shared" si="157"/>
        <v>0</v>
      </c>
      <c r="AJ366">
        <f t="shared" si="158"/>
        <v>1</v>
      </c>
      <c r="AK366">
        <f t="shared" si="159"/>
        <v>1</v>
      </c>
      <c r="AL366">
        <f t="shared" si="160"/>
        <v>0</v>
      </c>
      <c r="AM366">
        <f t="shared" si="161"/>
        <v>0</v>
      </c>
      <c r="AN366">
        <f t="shared" si="162"/>
        <v>1</v>
      </c>
      <c r="AO366">
        <f t="shared" si="163"/>
        <v>0</v>
      </c>
      <c r="AP366">
        <f t="shared" si="164"/>
        <v>1</v>
      </c>
      <c r="AQ366">
        <f t="shared" si="165"/>
        <v>0</v>
      </c>
      <c r="AR366">
        <f t="shared" si="166"/>
        <v>0</v>
      </c>
      <c r="AS366">
        <f t="shared" si="167"/>
        <v>0</v>
      </c>
    </row>
    <row r="367" spans="2:45" x14ac:dyDescent="0.3">
      <c r="B367">
        <v>366</v>
      </c>
      <c r="C367" s="1">
        <v>40909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686</v>
      </c>
      <c r="J367">
        <v>1608</v>
      </c>
      <c r="K367" s="8">
        <v>2294</v>
      </c>
      <c r="L367">
        <v>15.17</v>
      </c>
      <c r="M367">
        <v>18.78105</v>
      </c>
      <c r="N367">
        <v>69.25</v>
      </c>
      <c r="O367">
        <v>12.875189000000001</v>
      </c>
      <c r="P367">
        <v>0</v>
      </c>
      <c r="Q367">
        <v>0</v>
      </c>
      <c r="R367">
        <f t="shared" si="140"/>
        <v>1</v>
      </c>
      <c r="S367">
        <f t="shared" si="141"/>
        <v>0</v>
      </c>
      <c r="T367">
        <f t="shared" si="142"/>
        <v>0</v>
      </c>
      <c r="U367">
        <f t="shared" si="143"/>
        <v>0</v>
      </c>
      <c r="V367">
        <f t="shared" si="144"/>
        <v>0</v>
      </c>
      <c r="W367">
        <f t="shared" si="145"/>
        <v>0</v>
      </c>
      <c r="X367">
        <f t="shared" si="146"/>
        <v>0</v>
      </c>
      <c r="Y367">
        <f t="shared" si="147"/>
        <v>0</v>
      </c>
      <c r="Z367">
        <f t="shared" si="148"/>
        <v>0</v>
      </c>
      <c r="AA367">
        <f t="shared" si="149"/>
        <v>0</v>
      </c>
      <c r="AB367">
        <f t="shared" si="150"/>
        <v>0</v>
      </c>
      <c r="AC367">
        <f t="shared" si="151"/>
        <v>0</v>
      </c>
      <c r="AD367">
        <f t="shared" si="152"/>
        <v>1</v>
      </c>
      <c r="AE367">
        <f t="shared" si="153"/>
        <v>0</v>
      </c>
      <c r="AF367">
        <f t="shared" si="154"/>
        <v>0</v>
      </c>
      <c r="AG367">
        <f t="shared" si="155"/>
        <v>0</v>
      </c>
      <c r="AH367">
        <f t="shared" si="156"/>
        <v>0</v>
      </c>
      <c r="AI367">
        <f t="shared" si="157"/>
        <v>0</v>
      </c>
      <c r="AJ367">
        <f t="shared" si="158"/>
        <v>0</v>
      </c>
      <c r="AK367">
        <f t="shared" si="159"/>
        <v>1</v>
      </c>
      <c r="AL367">
        <f t="shared" si="160"/>
        <v>0</v>
      </c>
      <c r="AM367">
        <f t="shared" si="161"/>
        <v>0</v>
      </c>
      <c r="AN367">
        <f t="shared" si="162"/>
        <v>0</v>
      </c>
      <c r="AO367">
        <f t="shared" si="163"/>
        <v>1</v>
      </c>
      <c r="AP367">
        <f t="shared" si="164"/>
        <v>1</v>
      </c>
      <c r="AQ367">
        <f t="shared" si="165"/>
        <v>0</v>
      </c>
      <c r="AR367">
        <f t="shared" si="166"/>
        <v>0</v>
      </c>
      <c r="AS367">
        <f t="shared" si="167"/>
        <v>0</v>
      </c>
    </row>
    <row r="368" spans="2:45" x14ac:dyDescent="0.3">
      <c r="B368">
        <v>367</v>
      </c>
      <c r="C368" s="1">
        <v>40910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244</v>
      </c>
      <c r="J368">
        <v>1707</v>
      </c>
      <c r="K368" s="8">
        <v>1951</v>
      </c>
      <c r="L368">
        <v>11.194763</v>
      </c>
      <c r="M368">
        <v>12.6152</v>
      </c>
      <c r="N368">
        <v>38.130400000000002</v>
      </c>
      <c r="O368">
        <v>22.087554999999998</v>
      </c>
      <c r="P368">
        <v>1</v>
      </c>
      <c r="Q368">
        <v>0</v>
      </c>
      <c r="R368">
        <f t="shared" si="140"/>
        <v>1</v>
      </c>
      <c r="S368">
        <f t="shared" si="141"/>
        <v>0</v>
      </c>
      <c r="T368">
        <f t="shared" si="142"/>
        <v>0</v>
      </c>
      <c r="U368">
        <f t="shared" si="143"/>
        <v>0</v>
      </c>
      <c r="V368">
        <f t="shared" si="144"/>
        <v>0</v>
      </c>
      <c r="W368">
        <f t="shared" si="145"/>
        <v>0</v>
      </c>
      <c r="X368">
        <f t="shared" si="146"/>
        <v>0</v>
      </c>
      <c r="Y368">
        <f t="shared" si="147"/>
        <v>0</v>
      </c>
      <c r="Z368">
        <f t="shared" si="148"/>
        <v>0</v>
      </c>
      <c r="AA368">
        <f t="shared" si="149"/>
        <v>0</v>
      </c>
      <c r="AB368">
        <f t="shared" si="150"/>
        <v>0</v>
      </c>
      <c r="AC368">
        <f t="shared" si="151"/>
        <v>0</v>
      </c>
      <c r="AD368">
        <f t="shared" si="152"/>
        <v>0</v>
      </c>
      <c r="AE368">
        <f t="shared" si="153"/>
        <v>1</v>
      </c>
      <c r="AF368">
        <f t="shared" si="154"/>
        <v>0</v>
      </c>
      <c r="AG368">
        <f t="shared" si="155"/>
        <v>0</v>
      </c>
      <c r="AH368">
        <f t="shared" si="156"/>
        <v>0</v>
      </c>
      <c r="AI368">
        <f t="shared" si="157"/>
        <v>0</v>
      </c>
      <c r="AJ368">
        <f t="shared" si="158"/>
        <v>0</v>
      </c>
      <c r="AK368">
        <f t="shared" si="159"/>
        <v>1</v>
      </c>
      <c r="AL368">
        <f t="shared" si="160"/>
        <v>0</v>
      </c>
      <c r="AM368">
        <f t="shared" si="161"/>
        <v>0</v>
      </c>
      <c r="AN368">
        <f t="shared" si="162"/>
        <v>0</v>
      </c>
      <c r="AO368">
        <f t="shared" si="163"/>
        <v>1</v>
      </c>
      <c r="AP368">
        <f t="shared" si="164"/>
        <v>1</v>
      </c>
      <c r="AQ368">
        <f t="shared" si="165"/>
        <v>0</v>
      </c>
      <c r="AR368">
        <f t="shared" si="166"/>
        <v>0</v>
      </c>
      <c r="AS368">
        <f t="shared" si="167"/>
        <v>0</v>
      </c>
    </row>
    <row r="369" spans="2:45" x14ac:dyDescent="0.3">
      <c r="B369">
        <v>368</v>
      </c>
      <c r="C369" s="1">
        <v>40911</v>
      </c>
      <c r="D369">
        <v>1</v>
      </c>
      <c r="E369">
        <v>1</v>
      </c>
      <c r="F369">
        <v>1</v>
      </c>
      <c r="G369">
        <v>2</v>
      </c>
      <c r="H369">
        <v>1</v>
      </c>
      <c r="I369">
        <v>89</v>
      </c>
      <c r="J369">
        <v>2147</v>
      </c>
      <c r="K369" s="8">
        <v>2236</v>
      </c>
      <c r="L369">
        <v>6.15</v>
      </c>
      <c r="M369">
        <v>6.3137499999999998</v>
      </c>
      <c r="N369">
        <v>44.125</v>
      </c>
      <c r="O369">
        <v>24.499956999999998</v>
      </c>
      <c r="P369">
        <v>0</v>
      </c>
      <c r="Q369">
        <v>1</v>
      </c>
      <c r="R369">
        <f t="shared" si="140"/>
        <v>1</v>
      </c>
      <c r="S369">
        <f t="shared" si="141"/>
        <v>0</v>
      </c>
      <c r="T369">
        <f t="shared" si="142"/>
        <v>0</v>
      </c>
      <c r="U369">
        <f t="shared" si="143"/>
        <v>0</v>
      </c>
      <c r="V369">
        <f t="shared" si="144"/>
        <v>0</v>
      </c>
      <c r="W369">
        <f t="shared" si="145"/>
        <v>0</v>
      </c>
      <c r="X369">
        <f t="shared" si="146"/>
        <v>0</v>
      </c>
      <c r="Y369">
        <f t="shared" si="147"/>
        <v>0</v>
      </c>
      <c r="Z369">
        <f t="shared" si="148"/>
        <v>0</v>
      </c>
      <c r="AA369">
        <f t="shared" si="149"/>
        <v>0</v>
      </c>
      <c r="AB369">
        <f t="shared" si="150"/>
        <v>0</v>
      </c>
      <c r="AC369">
        <f t="shared" si="151"/>
        <v>0</v>
      </c>
      <c r="AD369">
        <f t="shared" si="152"/>
        <v>0</v>
      </c>
      <c r="AE369">
        <f t="shared" si="153"/>
        <v>0</v>
      </c>
      <c r="AF369">
        <f t="shared" si="154"/>
        <v>1</v>
      </c>
      <c r="AG369">
        <f t="shared" si="155"/>
        <v>0</v>
      </c>
      <c r="AH369">
        <f t="shared" si="156"/>
        <v>0</v>
      </c>
      <c r="AI369">
        <f t="shared" si="157"/>
        <v>0</v>
      </c>
      <c r="AJ369">
        <f t="shared" si="158"/>
        <v>0</v>
      </c>
      <c r="AK369">
        <f t="shared" si="159"/>
        <v>1</v>
      </c>
      <c r="AL369">
        <f t="shared" si="160"/>
        <v>0</v>
      </c>
      <c r="AM369">
        <f t="shared" si="161"/>
        <v>0</v>
      </c>
      <c r="AN369">
        <f t="shared" si="162"/>
        <v>0</v>
      </c>
      <c r="AO369">
        <f t="shared" si="163"/>
        <v>1</v>
      </c>
      <c r="AP369">
        <f t="shared" si="164"/>
        <v>1</v>
      </c>
      <c r="AQ369">
        <f t="shared" si="165"/>
        <v>0</v>
      </c>
      <c r="AR369">
        <f t="shared" si="166"/>
        <v>0</v>
      </c>
      <c r="AS369">
        <f t="shared" si="167"/>
        <v>0</v>
      </c>
    </row>
    <row r="370" spans="2:45" x14ac:dyDescent="0.3">
      <c r="B370">
        <v>369</v>
      </c>
      <c r="C370" s="1">
        <v>40912</v>
      </c>
      <c r="D370">
        <v>1</v>
      </c>
      <c r="E370">
        <v>1</v>
      </c>
      <c r="F370">
        <v>1</v>
      </c>
      <c r="G370">
        <v>3</v>
      </c>
      <c r="H370">
        <v>2</v>
      </c>
      <c r="I370">
        <v>95</v>
      </c>
      <c r="J370">
        <v>2273</v>
      </c>
      <c r="K370" s="8">
        <v>2368</v>
      </c>
      <c r="L370">
        <v>4.4074999999999998</v>
      </c>
      <c r="M370">
        <v>5.96685</v>
      </c>
      <c r="N370">
        <v>41.458300000000001</v>
      </c>
      <c r="O370">
        <v>12.3749</v>
      </c>
      <c r="P370">
        <v>0</v>
      </c>
      <c r="Q370">
        <v>1</v>
      </c>
      <c r="R370">
        <f t="shared" si="140"/>
        <v>1</v>
      </c>
      <c r="S370">
        <f t="shared" si="141"/>
        <v>0</v>
      </c>
      <c r="T370">
        <f t="shared" si="142"/>
        <v>0</v>
      </c>
      <c r="U370">
        <f t="shared" si="143"/>
        <v>0</v>
      </c>
      <c r="V370">
        <f t="shared" si="144"/>
        <v>0</v>
      </c>
      <c r="W370">
        <f t="shared" si="145"/>
        <v>0</v>
      </c>
      <c r="X370">
        <f t="shared" si="146"/>
        <v>0</v>
      </c>
      <c r="Y370">
        <f t="shared" si="147"/>
        <v>0</v>
      </c>
      <c r="Z370">
        <f t="shared" si="148"/>
        <v>0</v>
      </c>
      <c r="AA370">
        <f t="shared" si="149"/>
        <v>0</v>
      </c>
      <c r="AB370">
        <f t="shared" si="150"/>
        <v>0</v>
      </c>
      <c r="AC370">
        <f t="shared" si="151"/>
        <v>0</v>
      </c>
      <c r="AD370">
        <f t="shared" si="152"/>
        <v>0</v>
      </c>
      <c r="AE370">
        <f t="shared" si="153"/>
        <v>0</v>
      </c>
      <c r="AF370">
        <f t="shared" si="154"/>
        <v>0</v>
      </c>
      <c r="AG370">
        <f t="shared" si="155"/>
        <v>1</v>
      </c>
      <c r="AH370">
        <f t="shared" si="156"/>
        <v>0</v>
      </c>
      <c r="AI370">
        <f t="shared" si="157"/>
        <v>0</v>
      </c>
      <c r="AJ370">
        <f t="shared" si="158"/>
        <v>0</v>
      </c>
      <c r="AK370">
        <f t="shared" si="159"/>
        <v>0</v>
      </c>
      <c r="AL370">
        <f t="shared" si="160"/>
        <v>1</v>
      </c>
      <c r="AM370">
        <f t="shared" si="161"/>
        <v>0</v>
      </c>
      <c r="AN370">
        <f t="shared" si="162"/>
        <v>0</v>
      </c>
      <c r="AO370">
        <f t="shared" si="163"/>
        <v>1</v>
      </c>
      <c r="AP370">
        <f t="shared" si="164"/>
        <v>1</v>
      </c>
      <c r="AQ370">
        <f t="shared" si="165"/>
        <v>0</v>
      </c>
      <c r="AR370">
        <f t="shared" si="166"/>
        <v>0</v>
      </c>
      <c r="AS370">
        <f t="shared" si="167"/>
        <v>0</v>
      </c>
    </row>
    <row r="371" spans="2:45" x14ac:dyDescent="0.3">
      <c r="B371">
        <v>370</v>
      </c>
      <c r="C371" s="1">
        <v>40913</v>
      </c>
      <c r="D371">
        <v>1</v>
      </c>
      <c r="E371">
        <v>1</v>
      </c>
      <c r="F371">
        <v>1</v>
      </c>
      <c r="G371">
        <v>4</v>
      </c>
      <c r="H371">
        <v>1</v>
      </c>
      <c r="I371">
        <v>140</v>
      </c>
      <c r="J371">
        <v>3132</v>
      </c>
      <c r="K371" s="8">
        <v>3272</v>
      </c>
      <c r="L371">
        <v>10.899153</v>
      </c>
      <c r="M371">
        <v>13.9206</v>
      </c>
      <c r="N371">
        <v>52.416699999999999</v>
      </c>
      <c r="O371">
        <v>8.7091290000000008</v>
      </c>
      <c r="P371">
        <v>0</v>
      </c>
      <c r="Q371">
        <v>1</v>
      </c>
      <c r="R371">
        <f t="shared" si="140"/>
        <v>1</v>
      </c>
      <c r="S371">
        <f t="shared" si="141"/>
        <v>0</v>
      </c>
      <c r="T371">
        <f t="shared" si="142"/>
        <v>0</v>
      </c>
      <c r="U371">
        <f t="shared" si="143"/>
        <v>0</v>
      </c>
      <c r="V371">
        <f t="shared" si="144"/>
        <v>0</v>
      </c>
      <c r="W371">
        <f t="shared" si="145"/>
        <v>0</v>
      </c>
      <c r="X371">
        <f t="shared" si="146"/>
        <v>0</v>
      </c>
      <c r="Y371">
        <f t="shared" si="147"/>
        <v>0</v>
      </c>
      <c r="Z371">
        <f t="shared" si="148"/>
        <v>0</v>
      </c>
      <c r="AA371">
        <f t="shared" si="149"/>
        <v>0</v>
      </c>
      <c r="AB371">
        <f t="shared" si="150"/>
        <v>0</v>
      </c>
      <c r="AC371">
        <f t="shared" si="151"/>
        <v>0</v>
      </c>
      <c r="AD371">
        <f t="shared" si="152"/>
        <v>0</v>
      </c>
      <c r="AE371">
        <f t="shared" si="153"/>
        <v>0</v>
      </c>
      <c r="AF371">
        <f t="shared" si="154"/>
        <v>0</v>
      </c>
      <c r="AG371">
        <f t="shared" si="155"/>
        <v>0</v>
      </c>
      <c r="AH371">
        <f t="shared" si="156"/>
        <v>1</v>
      </c>
      <c r="AI371">
        <f t="shared" si="157"/>
        <v>0</v>
      </c>
      <c r="AJ371">
        <f t="shared" si="158"/>
        <v>0</v>
      </c>
      <c r="AK371">
        <f t="shared" si="159"/>
        <v>1</v>
      </c>
      <c r="AL371">
        <f t="shared" si="160"/>
        <v>0</v>
      </c>
      <c r="AM371">
        <f t="shared" si="161"/>
        <v>0</v>
      </c>
      <c r="AN371">
        <f t="shared" si="162"/>
        <v>0</v>
      </c>
      <c r="AO371">
        <f t="shared" si="163"/>
        <v>1</v>
      </c>
      <c r="AP371">
        <f t="shared" si="164"/>
        <v>1</v>
      </c>
      <c r="AQ371">
        <f t="shared" si="165"/>
        <v>0</v>
      </c>
      <c r="AR371">
        <f t="shared" si="166"/>
        <v>0</v>
      </c>
      <c r="AS371">
        <f t="shared" si="167"/>
        <v>0</v>
      </c>
    </row>
    <row r="372" spans="2:45" x14ac:dyDescent="0.3">
      <c r="B372">
        <v>371</v>
      </c>
      <c r="C372" s="1">
        <v>40914</v>
      </c>
      <c r="D372">
        <v>1</v>
      </c>
      <c r="E372">
        <v>1</v>
      </c>
      <c r="F372">
        <v>1</v>
      </c>
      <c r="G372">
        <v>5</v>
      </c>
      <c r="H372">
        <v>1</v>
      </c>
      <c r="I372">
        <v>307</v>
      </c>
      <c r="J372">
        <v>3791</v>
      </c>
      <c r="K372" s="8">
        <v>4098</v>
      </c>
      <c r="L372">
        <v>13.700847</v>
      </c>
      <c r="M372">
        <v>17.013349999999999</v>
      </c>
      <c r="N372">
        <v>54.208300000000001</v>
      </c>
      <c r="O372">
        <v>11.249836</v>
      </c>
      <c r="P372">
        <v>0</v>
      </c>
      <c r="Q372">
        <v>1</v>
      </c>
      <c r="R372">
        <f t="shared" si="140"/>
        <v>1</v>
      </c>
      <c r="S372">
        <f t="shared" si="141"/>
        <v>0</v>
      </c>
      <c r="T372">
        <f t="shared" si="142"/>
        <v>0</v>
      </c>
      <c r="U372">
        <f t="shared" si="143"/>
        <v>0</v>
      </c>
      <c r="V372">
        <f t="shared" si="144"/>
        <v>0</v>
      </c>
      <c r="W372">
        <f t="shared" si="145"/>
        <v>0</v>
      </c>
      <c r="X372">
        <f t="shared" si="146"/>
        <v>0</v>
      </c>
      <c r="Y372">
        <f t="shared" si="147"/>
        <v>0</v>
      </c>
      <c r="Z372">
        <f t="shared" si="148"/>
        <v>0</v>
      </c>
      <c r="AA372">
        <f t="shared" si="149"/>
        <v>0</v>
      </c>
      <c r="AB372">
        <f t="shared" si="150"/>
        <v>0</v>
      </c>
      <c r="AC372">
        <f t="shared" si="151"/>
        <v>0</v>
      </c>
      <c r="AD372">
        <f t="shared" si="152"/>
        <v>0</v>
      </c>
      <c r="AE372">
        <f t="shared" si="153"/>
        <v>0</v>
      </c>
      <c r="AF372">
        <f t="shared" si="154"/>
        <v>0</v>
      </c>
      <c r="AG372">
        <f t="shared" si="155"/>
        <v>0</v>
      </c>
      <c r="AH372">
        <f t="shared" si="156"/>
        <v>0</v>
      </c>
      <c r="AI372">
        <f t="shared" si="157"/>
        <v>1</v>
      </c>
      <c r="AJ372">
        <f t="shared" si="158"/>
        <v>0</v>
      </c>
      <c r="AK372">
        <f t="shared" si="159"/>
        <v>1</v>
      </c>
      <c r="AL372">
        <f t="shared" si="160"/>
        <v>0</v>
      </c>
      <c r="AM372">
        <f t="shared" si="161"/>
        <v>0</v>
      </c>
      <c r="AN372">
        <f t="shared" si="162"/>
        <v>0</v>
      </c>
      <c r="AO372">
        <f t="shared" si="163"/>
        <v>1</v>
      </c>
      <c r="AP372">
        <f t="shared" si="164"/>
        <v>1</v>
      </c>
      <c r="AQ372">
        <f t="shared" si="165"/>
        <v>0</v>
      </c>
      <c r="AR372">
        <f t="shared" si="166"/>
        <v>0</v>
      </c>
      <c r="AS372">
        <f t="shared" si="167"/>
        <v>0</v>
      </c>
    </row>
    <row r="373" spans="2:45" x14ac:dyDescent="0.3">
      <c r="B373">
        <v>372</v>
      </c>
      <c r="C373" s="1">
        <v>40915</v>
      </c>
      <c r="D373">
        <v>1</v>
      </c>
      <c r="E373">
        <v>1</v>
      </c>
      <c r="F373">
        <v>1</v>
      </c>
      <c r="G373">
        <v>6</v>
      </c>
      <c r="H373">
        <v>1</v>
      </c>
      <c r="I373">
        <v>1070</v>
      </c>
      <c r="J373">
        <v>3451</v>
      </c>
      <c r="K373" s="8">
        <v>4521</v>
      </c>
      <c r="L373">
        <v>16.126653000000001</v>
      </c>
      <c r="M373">
        <v>19.53895</v>
      </c>
      <c r="N373">
        <v>53.166699999999999</v>
      </c>
      <c r="O373">
        <v>11.708786</v>
      </c>
      <c r="P373">
        <v>0</v>
      </c>
      <c r="Q373">
        <v>0</v>
      </c>
      <c r="R373">
        <f t="shared" si="140"/>
        <v>1</v>
      </c>
      <c r="S373">
        <f t="shared" si="141"/>
        <v>0</v>
      </c>
      <c r="T373">
        <f t="shared" si="142"/>
        <v>0</v>
      </c>
      <c r="U373">
        <f t="shared" si="143"/>
        <v>0</v>
      </c>
      <c r="V373">
        <f t="shared" si="144"/>
        <v>0</v>
      </c>
      <c r="W373">
        <f t="shared" si="145"/>
        <v>0</v>
      </c>
      <c r="X373">
        <f t="shared" si="146"/>
        <v>0</v>
      </c>
      <c r="Y373">
        <f t="shared" si="147"/>
        <v>0</v>
      </c>
      <c r="Z373">
        <f t="shared" si="148"/>
        <v>0</v>
      </c>
      <c r="AA373">
        <f t="shared" si="149"/>
        <v>0</v>
      </c>
      <c r="AB373">
        <f t="shared" si="150"/>
        <v>0</v>
      </c>
      <c r="AC373">
        <f t="shared" si="151"/>
        <v>0</v>
      </c>
      <c r="AD373">
        <f t="shared" si="152"/>
        <v>0</v>
      </c>
      <c r="AE373">
        <f t="shared" si="153"/>
        <v>0</v>
      </c>
      <c r="AF373">
        <f t="shared" si="154"/>
        <v>0</v>
      </c>
      <c r="AG373">
        <f t="shared" si="155"/>
        <v>0</v>
      </c>
      <c r="AH373">
        <f t="shared" si="156"/>
        <v>0</v>
      </c>
      <c r="AI373">
        <f t="shared" si="157"/>
        <v>0</v>
      </c>
      <c r="AJ373">
        <f t="shared" si="158"/>
        <v>1</v>
      </c>
      <c r="AK373">
        <f t="shared" si="159"/>
        <v>1</v>
      </c>
      <c r="AL373">
        <f t="shared" si="160"/>
        <v>0</v>
      </c>
      <c r="AM373">
        <f t="shared" si="161"/>
        <v>0</v>
      </c>
      <c r="AN373">
        <f t="shared" si="162"/>
        <v>0</v>
      </c>
      <c r="AO373">
        <f t="shared" si="163"/>
        <v>1</v>
      </c>
      <c r="AP373">
        <f t="shared" si="164"/>
        <v>1</v>
      </c>
      <c r="AQ373">
        <f t="shared" si="165"/>
        <v>0</v>
      </c>
      <c r="AR373">
        <f t="shared" si="166"/>
        <v>0</v>
      </c>
      <c r="AS373">
        <f t="shared" si="167"/>
        <v>0</v>
      </c>
    </row>
    <row r="374" spans="2:45" x14ac:dyDescent="0.3">
      <c r="B374">
        <v>373</v>
      </c>
      <c r="C374" s="1">
        <v>40916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599</v>
      </c>
      <c r="J374">
        <v>2826</v>
      </c>
      <c r="K374" s="8">
        <v>3425</v>
      </c>
      <c r="L374">
        <v>13.8375</v>
      </c>
      <c r="M374">
        <v>17.012899999999998</v>
      </c>
      <c r="N374">
        <v>46.5</v>
      </c>
      <c r="O374">
        <v>12.833314</v>
      </c>
      <c r="P374">
        <v>0</v>
      </c>
      <c r="Q374">
        <v>0</v>
      </c>
      <c r="R374">
        <f t="shared" si="140"/>
        <v>1</v>
      </c>
      <c r="S374">
        <f t="shared" si="141"/>
        <v>0</v>
      </c>
      <c r="T374">
        <f t="shared" si="142"/>
        <v>0</v>
      </c>
      <c r="U374">
        <f t="shared" si="143"/>
        <v>0</v>
      </c>
      <c r="V374">
        <f t="shared" si="144"/>
        <v>0</v>
      </c>
      <c r="W374">
        <f t="shared" si="145"/>
        <v>0</v>
      </c>
      <c r="X374">
        <f t="shared" si="146"/>
        <v>0</v>
      </c>
      <c r="Y374">
        <f t="shared" si="147"/>
        <v>0</v>
      </c>
      <c r="Z374">
        <f t="shared" si="148"/>
        <v>0</v>
      </c>
      <c r="AA374">
        <f t="shared" si="149"/>
        <v>0</v>
      </c>
      <c r="AB374">
        <f t="shared" si="150"/>
        <v>0</v>
      </c>
      <c r="AC374">
        <f t="shared" si="151"/>
        <v>0</v>
      </c>
      <c r="AD374">
        <f t="shared" si="152"/>
        <v>1</v>
      </c>
      <c r="AE374">
        <f t="shared" si="153"/>
        <v>0</v>
      </c>
      <c r="AF374">
        <f t="shared" si="154"/>
        <v>0</v>
      </c>
      <c r="AG374">
        <f t="shared" si="155"/>
        <v>0</v>
      </c>
      <c r="AH374">
        <f t="shared" si="156"/>
        <v>0</v>
      </c>
      <c r="AI374">
        <f t="shared" si="157"/>
        <v>0</v>
      </c>
      <c r="AJ374">
        <f t="shared" si="158"/>
        <v>0</v>
      </c>
      <c r="AK374">
        <f t="shared" si="159"/>
        <v>1</v>
      </c>
      <c r="AL374">
        <f t="shared" si="160"/>
        <v>0</v>
      </c>
      <c r="AM374">
        <f t="shared" si="161"/>
        <v>0</v>
      </c>
      <c r="AN374">
        <f t="shared" si="162"/>
        <v>0</v>
      </c>
      <c r="AO374">
        <f t="shared" si="163"/>
        <v>1</v>
      </c>
      <c r="AP374">
        <f t="shared" si="164"/>
        <v>1</v>
      </c>
      <c r="AQ374">
        <f t="shared" si="165"/>
        <v>0</v>
      </c>
      <c r="AR374">
        <f t="shared" si="166"/>
        <v>0</v>
      </c>
      <c r="AS374">
        <f t="shared" si="167"/>
        <v>0</v>
      </c>
    </row>
    <row r="375" spans="2:45" x14ac:dyDescent="0.3">
      <c r="B375">
        <v>374</v>
      </c>
      <c r="C375" s="1">
        <v>40917</v>
      </c>
      <c r="D375">
        <v>1</v>
      </c>
      <c r="E375">
        <v>1</v>
      </c>
      <c r="F375">
        <v>1</v>
      </c>
      <c r="G375">
        <v>1</v>
      </c>
      <c r="H375">
        <v>2</v>
      </c>
      <c r="I375">
        <v>106</v>
      </c>
      <c r="J375">
        <v>2270</v>
      </c>
      <c r="K375" s="8">
        <v>2376</v>
      </c>
      <c r="L375">
        <v>9.1908469999999998</v>
      </c>
      <c r="M375">
        <v>12.373950000000001</v>
      </c>
      <c r="N375">
        <v>70.166700000000006</v>
      </c>
      <c r="O375">
        <v>6.6262999999999996</v>
      </c>
      <c r="P375">
        <v>0</v>
      </c>
      <c r="Q375">
        <v>1</v>
      </c>
      <c r="R375">
        <f t="shared" si="140"/>
        <v>1</v>
      </c>
      <c r="S375">
        <f t="shared" si="141"/>
        <v>0</v>
      </c>
      <c r="T375">
        <f t="shared" si="142"/>
        <v>0</v>
      </c>
      <c r="U375">
        <f t="shared" si="143"/>
        <v>0</v>
      </c>
      <c r="V375">
        <f t="shared" si="144"/>
        <v>0</v>
      </c>
      <c r="W375">
        <f t="shared" si="145"/>
        <v>0</v>
      </c>
      <c r="X375">
        <f t="shared" si="146"/>
        <v>0</v>
      </c>
      <c r="Y375">
        <f t="shared" si="147"/>
        <v>0</v>
      </c>
      <c r="Z375">
        <f t="shared" si="148"/>
        <v>0</v>
      </c>
      <c r="AA375">
        <f t="shared" si="149"/>
        <v>0</v>
      </c>
      <c r="AB375">
        <f t="shared" si="150"/>
        <v>0</v>
      </c>
      <c r="AC375">
        <f t="shared" si="151"/>
        <v>0</v>
      </c>
      <c r="AD375">
        <f t="shared" si="152"/>
        <v>0</v>
      </c>
      <c r="AE375">
        <f t="shared" si="153"/>
        <v>1</v>
      </c>
      <c r="AF375">
        <f t="shared" si="154"/>
        <v>0</v>
      </c>
      <c r="AG375">
        <f t="shared" si="155"/>
        <v>0</v>
      </c>
      <c r="AH375">
        <f t="shared" si="156"/>
        <v>0</v>
      </c>
      <c r="AI375">
        <f t="shared" si="157"/>
        <v>0</v>
      </c>
      <c r="AJ375">
        <f t="shared" si="158"/>
        <v>0</v>
      </c>
      <c r="AK375">
        <f t="shared" si="159"/>
        <v>0</v>
      </c>
      <c r="AL375">
        <f t="shared" si="160"/>
        <v>1</v>
      </c>
      <c r="AM375">
        <f t="shared" si="161"/>
        <v>0</v>
      </c>
      <c r="AN375">
        <f t="shared" si="162"/>
        <v>0</v>
      </c>
      <c r="AO375">
        <f t="shared" si="163"/>
        <v>1</v>
      </c>
      <c r="AP375">
        <f t="shared" si="164"/>
        <v>1</v>
      </c>
      <c r="AQ375">
        <f t="shared" si="165"/>
        <v>0</v>
      </c>
      <c r="AR375">
        <f t="shared" si="166"/>
        <v>0</v>
      </c>
      <c r="AS375">
        <f t="shared" si="167"/>
        <v>0</v>
      </c>
    </row>
    <row r="376" spans="2:45" x14ac:dyDescent="0.3">
      <c r="B376">
        <v>375</v>
      </c>
      <c r="C376" s="1">
        <v>40918</v>
      </c>
      <c r="D376">
        <v>1</v>
      </c>
      <c r="E376">
        <v>1</v>
      </c>
      <c r="F376">
        <v>1</v>
      </c>
      <c r="G376">
        <v>2</v>
      </c>
      <c r="H376">
        <v>1</v>
      </c>
      <c r="I376">
        <v>173</v>
      </c>
      <c r="J376">
        <v>3425</v>
      </c>
      <c r="K376" s="8">
        <v>3598</v>
      </c>
      <c r="L376">
        <v>12.656535999999999</v>
      </c>
      <c r="M376">
        <v>15.9413</v>
      </c>
      <c r="N376">
        <v>64.652199999999993</v>
      </c>
      <c r="O376">
        <v>12.565984</v>
      </c>
      <c r="P376">
        <v>0</v>
      </c>
      <c r="Q376">
        <v>1</v>
      </c>
      <c r="R376">
        <f t="shared" si="140"/>
        <v>1</v>
      </c>
      <c r="S376">
        <f t="shared" si="141"/>
        <v>0</v>
      </c>
      <c r="T376">
        <f t="shared" si="142"/>
        <v>0</v>
      </c>
      <c r="U376">
        <f t="shared" si="143"/>
        <v>0</v>
      </c>
      <c r="V376">
        <f t="shared" si="144"/>
        <v>0</v>
      </c>
      <c r="W376">
        <f t="shared" si="145"/>
        <v>0</v>
      </c>
      <c r="X376">
        <f t="shared" si="146"/>
        <v>0</v>
      </c>
      <c r="Y376">
        <f t="shared" si="147"/>
        <v>0</v>
      </c>
      <c r="Z376">
        <f t="shared" si="148"/>
        <v>0</v>
      </c>
      <c r="AA376">
        <f t="shared" si="149"/>
        <v>0</v>
      </c>
      <c r="AB376">
        <f t="shared" si="150"/>
        <v>0</v>
      </c>
      <c r="AC376">
        <f t="shared" si="151"/>
        <v>0</v>
      </c>
      <c r="AD376">
        <f t="shared" si="152"/>
        <v>0</v>
      </c>
      <c r="AE376">
        <f t="shared" si="153"/>
        <v>0</v>
      </c>
      <c r="AF376">
        <f t="shared" si="154"/>
        <v>1</v>
      </c>
      <c r="AG376">
        <f t="shared" si="155"/>
        <v>0</v>
      </c>
      <c r="AH376">
        <f t="shared" si="156"/>
        <v>0</v>
      </c>
      <c r="AI376">
        <f t="shared" si="157"/>
        <v>0</v>
      </c>
      <c r="AJ376">
        <f t="shared" si="158"/>
        <v>0</v>
      </c>
      <c r="AK376">
        <f t="shared" si="159"/>
        <v>1</v>
      </c>
      <c r="AL376">
        <f t="shared" si="160"/>
        <v>0</v>
      </c>
      <c r="AM376">
        <f t="shared" si="161"/>
        <v>0</v>
      </c>
      <c r="AN376">
        <f t="shared" si="162"/>
        <v>0</v>
      </c>
      <c r="AO376">
        <f t="shared" si="163"/>
        <v>1</v>
      </c>
      <c r="AP376">
        <f t="shared" si="164"/>
        <v>1</v>
      </c>
      <c r="AQ376">
        <f t="shared" si="165"/>
        <v>0</v>
      </c>
      <c r="AR376">
        <f t="shared" si="166"/>
        <v>0</v>
      </c>
      <c r="AS376">
        <f t="shared" si="167"/>
        <v>0</v>
      </c>
    </row>
    <row r="377" spans="2:45" x14ac:dyDescent="0.3">
      <c r="B377">
        <v>376</v>
      </c>
      <c r="C377" s="1">
        <v>40919</v>
      </c>
      <c r="D377">
        <v>1</v>
      </c>
      <c r="E377">
        <v>1</v>
      </c>
      <c r="F377">
        <v>1</v>
      </c>
      <c r="G377">
        <v>3</v>
      </c>
      <c r="H377">
        <v>2</v>
      </c>
      <c r="I377">
        <v>92</v>
      </c>
      <c r="J377">
        <v>2085</v>
      </c>
      <c r="K377" s="8">
        <v>2177</v>
      </c>
      <c r="L377">
        <v>11.240847</v>
      </c>
      <c r="M377">
        <v>14.14105</v>
      </c>
      <c r="N377">
        <v>84.75</v>
      </c>
      <c r="O377">
        <v>8.7918070000000004</v>
      </c>
      <c r="P377">
        <v>0</v>
      </c>
      <c r="Q377">
        <v>1</v>
      </c>
      <c r="R377">
        <f t="shared" si="140"/>
        <v>1</v>
      </c>
      <c r="S377">
        <f t="shared" si="141"/>
        <v>0</v>
      </c>
      <c r="T377">
        <f t="shared" si="142"/>
        <v>0</v>
      </c>
      <c r="U377">
        <f t="shared" si="143"/>
        <v>0</v>
      </c>
      <c r="V377">
        <f t="shared" si="144"/>
        <v>0</v>
      </c>
      <c r="W377">
        <f t="shared" si="145"/>
        <v>0</v>
      </c>
      <c r="X377">
        <f t="shared" si="146"/>
        <v>0</v>
      </c>
      <c r="Y377">
        <f t="shared" si="147"/>
        <v>0</v>
      </c>
      <c r="Z377">
        <f t="shared" si="148"/>
        <v>0</v>
      </c>
      <c r="AA377">
        <f t="shared" si="149"/>
        <v>0</v>
      </c>
      <c r="AB377">
        <f t="shared" si="150"/>
        <v>0</v>
      </c>
      <c r="AC377">
        <f t="shared" si="151"/>
        <v>0</v>
      </c>
      <c r="AD377">
        <f t="shared" si="152"/>
        <v>0</v>
      </c>
      <c r="AE377">
        <f t="shared" si="153"/>
        <v>0</v>
      </c>
      <c r="AF377">
        <f t="shared" si="154"/>
        <v>0</v>
      </c>
      <c r="AG377">
        <f t="shared" si="155"/>
        <v>1</v>
      </c>
      <c r="AH377">
        <f t="shared" si="156"/>
        <v>0</v>
      </c>
      <c r="AI377">
        <f t="shared" si="157"/>
        <v>0</v>
      </c>
      <c r="AJ377">
        <f t="shared" si="158"/>
        <v>0</v>
      </c>
      <c r="AK377">
        <f t="shared" si="159"/>
        <v>0</v>
      </c>
      <c r="AL377">
        <f t="shared" si="160"/>
        <v>1</v>
      </c>
      <c r="AM377">
        <f t="shared" si="161"/>
        <v>0</v>
      </c>
      <c r="AN377">
        <f t="shared" si="162"/>
        <v>0</v>
      </c>
      <c r="AO377">
        <f t="shared" si="163"/>
        <v>1</v>
      </c>
      <c r="AP377">
        <f t="shared" si="164"/>
        <v>1</v>
      </c>
      <c r="AQ377">
        <f t="shared" si="165"/>
        <v>0</v>
      </c>
      <c r="AR377">
        <f t="shared" si="166"/>
        <v>0</v>
      </c>
      <c r="AS377">
        <f t="shared" si="167"/>
        <v>0</v>
      </c>
    </row>
    <row r="378" spans="2:45" x14ac:dyDescent="0.3">
      <c r="B378">
        <v>377</v>
      </c>
      <c r="C378" s="1">
        <v>40920</v>
      </c>
      <c r="D378">
        <v>1</v>
      </c>
      <c r="E378">
        <v>1</v>
      </c>
      <c r="F378">
        <v>1</v>
      </c>
      <c r="G378">
        <v>4</v>
      </c>
      <c r="H378">
        <v>2</v>
      </c>
      <c r="I378">
        <v>269</v>
      </c>
      <c r="J378">
        <v>3828</v>
      </c>
      <c r="K378" s="8">
        <v>4097</v>
      </c>
      <c r="L378">
        <v>15.682499999999999</v>
      </c>
      <c r="M378">
        <v>19.096900000000002</v>
      </c>
      <c r="N378">
        <v>80.291700000000006</v>
      </c>
      <c r="O378">
        <v>12.124789</v>
      </c>
      <c r="P378">
        <v>0</v>
      </c>
      <c r="Q378">
        <v>1</v>
      </c>
      <c r="R378">
        <f t="shared" si="140"/>
        <v>1</v>
      </c>
      <c r="S378">
        <f t="shared" si="141"/>
        <v>0</v>
      </c>
      <c r="T378">
        <f t="shared" si="142"/>
        <v>0</v>
      </c>
      <c r="U378">
        <f t="shared" si="143"/>
        <v>0</v>
      </c>
      <c r="V378">
        <f t="shared" si="144"/>
        <v>0</v>
      </c>
      <c r="W378">
        <f t="shared" si="145"/>
        <v>0</v>
      </c>
      <c r="X378">
        <f t="shared" si="146"/>
        <v>0</v>
      </c>
      <c r="Y378">
        <f t="shared" si="147"/>
        <v>0</v>
      </c>
      <c r="Z378">
        <f t="shared" si="148"/>
        <v>0</v>
      </c>
      <c r="AA378">
        <f t="shared" si="149"/>
        <v>0</v>
      </c>
      <c r="AB378">
        <f t="shared" si="150"/>
        <v>0</v>
      </c>
      <c r="AC378">
        <f t="shared" si="151"/>
        <v>0</v>
      </c>
      <c r="AD378">
        <f t="shared" si="152"/>
        <v>0</v>
      </c>
      <c r="AE378">
        <f t="shared" si="153"/>
        <v>0</v>
      </c>
      <c r="AF378">
        <f t="shared" si="154"/>
        <v>0</v>
      </c>
      <c r="AG378">
        <f t="shared" si="155"/>
        <v>0</v>
      </c>
      <c r="AH378">
        <f t="shared" si="156"/>
        <v>1</v>
      </c>
      <c r="AI378">
        <f t="shared" si="157"/>
        <v>0</v>
      </c>
      <c r="AJ378">
        <f t="shared" si="158"/>
        <v>0</v>
      </c>
      <c r="AK378">
        <f t="shared" si="159"/>
        <v>0</v>
      </c>
      <c r="AL378">
        <f t="shared" si="160"/>
        <v>1</v>
      </c>
      <c r="AM378">
        <f t="shared" si="161"/>
        <v>0</v>
      </c>
      <c r="AN378">
        <f t="shared" si="162"/>
        <v>0</v>
      </c>
      <c r="AO378">
        <f t="shared" si="163"/>
        <v>1</v>
      </c>
      <c r="AP378">
        <f t="shared" si="164"/>
        <v>1</v>
      </c>
      <c r="AQ378">
        <f t="shared" si="165"/>
        <v>0</v>
      </c>
      <c r="AR378">
        <f t="shared" si="166"/>
        <v>0</v>
      </c>
      <c r="AS378">
        <f t="shared" si="167"/>
        <v>0</v>
      </c>
    </row>
    <row r="379" spans="2:45" x14ac:dyDescent="0.3">
      <c r="B379">
        <v>378</v>
      </c>
      <c r="C379" s="1">
        <v>40921</v>
      </c>
      <c r="D379">
        <v>1</v>
      </c>
      <c r="E379">
        <v>1</v>
      </c>
      <c r="F379">
        <v>1</v>
      </c>
      <c r="G379">
        <v>5</v>
      </c>
      <c r="H379">
        <v>1</v>
      </c>
      <c r="I379">
        <v>174</v>
      </c>
      <c r="J379">
        <v>3040</v>
      </c>
      <c r="K379" s="8">
        <v>3214</v>
      </c>
      <c r="L379">
        <v>11.240847</v>
      </c>
      <c r="M379">
        <v>12.4681</v>
      </c>
      <c r="N379">
        <v>50.75</v>
      </c>
      <c r="O379">
        <v>25.333235999999999</v>
      </c>
      <c r="P379">
        <v>0</v>
      </c>
      <c r="Q379">
        <v>1</v>
      </c>
      <c r="R379">
        <f t="shared" si="140"/>
        <v>1</v>
      </c>
      <c r="S379">
        <f t="shared" si="141"/>
        <v>0</v>
      </c>
      <c r="T379">
        <f t="shared" si="142"/>
        <v>0</v>
      </c>
      <c r="U379">
        <f t="shared" si="143"/>
        <v>0</v>
      </c>
      <c r="V379">
        <f t="shared" si="144"/>
        <v>0</v>
      </c>
      <c r="W379">
        <f t="shared" si="145"/>
        <v>0</v>
      </c>
      <c r="X379">
        <f t="shared" si="146"/>
        <v>0</v>
      </c>
      <c r="Y379">
        <f t="shared" si="147"/>
        <v>0</v>
      </c>
      <c r="Z379">
        <f t="shared" si="148"/>
        <v>0</v>
      </c>
      <c r="AA379">
        <f t="shared" si="149"/>
        <v>0</v>
      </c>
      <c r="AB379">
        <f t="shared" si="150"/>
        <v>0</v>
      </c>
      <c r="AC379">
        <f t="shared" si="151"/>
        <v>0</v>
      </c>
      <c r="AD379">
        <f t="shared" si="152"/>
        <v>0</v>
      </c>
      <c r="AE379">
        <f t="shared" si="153"/>
        <v>0</v>
      </c>
      <c r="AF379">
        <f t="shared" si="154"/>
        <v>0</v>
      </c>
      <c r="AG379">
        <f t="shared" si="155"/>
        <v>0</v>
      </c>
      <c r="AH379">
        <f t="shared" si="156"/>
        <v>0</v>
      </c>
      <c r="AI379">
        <f t="shared" si="157"/>
        <v>1</v>
      </c>
      <c r="AJ379">
        <f t="shared" si="158"/>
        <v>0</v>
      </c>
      <c r="AK379">
        <f t="shared" si="159"/>
        <v>1</v>
      </c>
      <c r="AL379">
        <f t="shared" si="160"/>
        <v>0</v>
      </c>
      <c r="AM379">
        <f t="shared" si="161"/>
        <v>0</v>
      </c>
      <c r="AN379">
        <f t="shared" si="162"/>
        <v>0</v>
      </c>
      <c r="AO379">
        <f t="shared" si="163"/>
        <v>1</v>
      </c>
      <c r="AP379">
        <f t="shared" si="164"/>
        <v>1</v>
      </c>
      <c r="AQ379">
        <f t="shared" si="165"/>
        <v>0</v>
      </c>
      <c r="AR379">
        <f t="shared" si="166"/>
        <v>0</v>
      </c>
      <c r="AS379">
        <f t="shared" si="167"/>
        <v>0</v>
      </c>
    </row>
    <row r="380" spans="2:45" x14ac:dyDescent="0.3">
      <c r="B380">
        <v>379</v>
      </c>
      <c r="C380" s="1">
        <v>40922</v>
      </c>
      <c r="D380">
        <v>1</v>
      </c>
      <c r="E380">
        <v>1</v>
      </c>
      <c r="F380">
        <v>1</v>
      </c>
      <c r="G380">
        <v>6</v>
      </c>
      <c r="H380">
        <v>1</v>
      </c>
      <c r="I380">
        <v>333</v>
      </c>
      <c r="J380">
        <v>2160</v>
      </c>
      <c r="K380" s="8">
        <v>2493</v>
      </c>
      <c r="L380">
        <v>7.38</v>
      </c>
      <c r="M380">
        <v>9.1543500000000009</v>
      </c>
      <c r="N380">
        <v>45.75</v>
      </c>
      <c r="O380">
        <v>12.541261</v>
      </c>
      <c r="P380">
        <v>0</v>
      </c>
      <c r="Q380">
        <v>0</v>
      </c>
      <c r="R380">
        <f t="shared" si="140"/>
        <v>1</v>
      </c>
      <c r="S380">
        <f t="shared" si="141"/>
        <v>0</v>
      </c>
      <c r="T380">
        <f t="shared" si="142"/>
        <v>0</v>
      </c>
      <c r="U380">
        <f t="shared" si="143"/>
        <v>0</v>
      </c>
      <c r="V380">
        <f t="shared" si="144"/>
        <v>0</v>
      </c>
      <c r="W380">
        <f t="shared" si="145"/>
        <v>0</v>
      </c>
      <c r="X380">
        <f t="shared" si="146"/>
        <v>0</v>
      </c>
      <c r="Y380">
        <f t="shared" si="147"/>
        <v>0</v>
      </c>
      <c r="Z380">
        <f t="shared" si="148"/>
        <v>0</v>
      </c>
      <c r="AA380">
        <f t="shared" si="149"/>
        <v>0</v>
      </c>
      <c r="AB380">
        <f t="shared" si="150"/>
        <v>0</v>
      </c>
      <c r="AC380">
        <f t="shared" si="151"/>
        <v>0</v>
      </c>
      <c r="AD380">
        <f t="shared" si="152"/>
        <v>0</v>
      </c>
      <c r="AE380">
        <f t="shared" si="153"/>
        <v>0</v>
      </c>
      <c r="AF380">
        <f t="shared" si="154"/>
        <v>0</v>
      </c>
      <c r="AG380">
        <f t="shared" si="155"/>
        <v>0</v>
      </c>
      <c r="AH380">
        <f t="shared" si="156"/>
        <v>0</v>
      </c>
      <c r="AI380">
        <f t="shared" si="157"/>
        <v>0</v>
      </c>
      <c r="AJ380">
        <f t="shared" si="158"/>
        <v>1</v>
      </c>
      <c r="AK380">
        <f t="shared" si="159"/>
        <v>1</v>
      </c>
      <c r="AL380">
        <f t="shared" si="160"/>
        <v>0</v>
      </c>
      <c r="AM380">
        <f t="shared" si="161"/>
        <v>0</v>
      </c>
      <c r="AN380">
        <f t="shared" si="162"/>
        <v>0</v>
      </c>
      <c r="AO380">
        <f t="shared" si="163"/>
        <v>1</v>
      </c>
      <c r="AP380">
        <f t="shared" si="164"/>
        <v>1</v>
      </c>
      <c r="AQ380">
        <f t="shared" si="165"/>
        <v>0</v>
      </c>
      <c r="AR380">
        <f t="shared" si="166"/>
        <v>0</v>
      </c>
      <c r="AS380">
        <f t="shared" si="167"/>
        <v>0</v>
      </c>
    </row>
    <row r="381" spans="2:45" x14ac:dyDescent="0.3">
      <c r="B381">
        <v>380</v>
      </c>
      <c r="C381" s="1">
        <v>40923</v>
      </c>
      <c r="D381">
        <v>1</v>
      </c>
      <c r="E381">
        <v>1</v>
      </c>
      <c r="F381">
        <v>1</v>
      </c>
      <c r="G381">
        <v>0</v>
      </c>
      <c r="H381">
        <v>1</v>
      </c>
      <c r="I381">
        <v>284</v>
      </c>
      <c r="J381">
        <v>2027</v>
      </c>
      <c r="K381" s="8">
        <v>2311</v>
      </c>
      <c r="L381">
        <v>6.8333469999999998</v>
      </c>
      <c r="M381">
        <v>8.0812500000000007</v>
      </c>
      <c r="N381">
        <v>41.916699999999999</v>
      </c>
      <c r="O381">
        <v>16.834285999999999</v>
      </c>
      <c r="P381">
        <v>0</v>
      </c>
      <c r="Q381">
        <v>0</v>
      </c>
      <c r="R381">
        <f t="shared" si="140"/>
        <v>1</v>
      </c>
      <c r="S381">
        <f t="shared" si="141"/>
        <v>0</v>
      </c>
      <c r="T381">
        <f t="shared" si="142"/>
        <v>0</v>
      </c>
      <c r="U381">
        <f t="shared" si="143"/>
        <v>0</v>
      </c>
      <c r="V381">
        <f t="shared" si="144"/>
        <v>0</v>
      </c>
      <c r="W381">
        <f t="shared" si="145"/>
        <v>0</v>
      </c>
      <c r="X381">
        <f t="shared" si="146"/>
        <v>0</v>
      </c>
      <c r="Y381">
        <f t="shared" si="147"/>
        <v>0</v>
      </c>
      <c r="Z381">
        <f t="shared" si="148"/>
        <v>0</v>
      </c>
      <c r="AA381">
        <f t="shared" si="149"/>
        <v>0</v>
      </c>
      <c r="AB381">
        <f t="shared" si="150"/>
        <v>0</v>
      </c>
      <c r="AC381">
        <f t="shared" si="151"/>
        <v>0</v>
      </c>
      <c r="AD381">
        <f t="shared" si="152"/>
        <v>1</v>
      </c>
      <c r="AE381">
        <f t="shared" si="153"/>
        <v>0</v>
      </c>
      <c r="AF381">
        <f t="shared" si="154"/>
        <v>0</v>
      </c>
      <c r="AG381">
        <f t="shared" si="155"/>
        <v>0</v>
      </c>
      <c r="AH381">
        <f t="shared" si="156"/>
        <v>0</v>
      </c>
      <c r="AI381">
        <f t="shared" si="157"/>
        <v>0</v>
      </c>
      <c r="AJ381">
        <f t="shared" si="158"/>
        <v>0</v>
      </c>
      <c r="AK381">
        <f t="shared" si="159"/>
        <v>1</v>
      </c>
      <c r="AL381">
        <f t="shared" si="160"/>
        <v>0</v>
      </c>
      <c r="AM381">
        <f t="shared" si="161"/>
        <v>0</v>
      </c>
      <c r="AN381">
        <f t="shared" si="162"/>
        <v>0</v>
      </c>
      <c r="AO381">
        <f t="shared" si="163"/>
        <v>1</v>
      </c>
      <c r="AP381">
        <f t="shared" si="164"/>
        <v>1</v>
      </c>
      <c r="AQ381">
        <f t="shared" si="165"/>
        <v>0</v>
      </c>
      <c r="AR381">
        <f t="shared" si="166"/>
        <v>0</v>
      </c>
      <c r="AS381">
        <f t="shared" si="167"/>
        <v>0</v>
      </c>
    </row>
    <row r="382" spans="2:45" x14ac:dyDescent="0.3">
      <c r="B382">
        <v>381</v>
      </c>
      <c r="C382" s="1">
        <v>40924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217</v>
      </c>
      <c r="J382">
        <v>2081</v>
      </c>
      <c r="K382" s="8">
        <v>2298</v>
      </c>
      <c r="L382">
        <v>7.79</v>
      </c>
      <c r="M382">
        <v>9.5331499999999991</v>
      </c>
      <c r="N382">
        <v>52.25</v>
      </c>
      <c r="O382">
        <v>15.500985999999999</v>
      </c>
      <c r="P382">
        <v>1</v>
      </c>
      <c r="Q382">
        <v>0</v>
      </c>
      <c r="R382">
        <f t="shared" si="140"/>
        <v>1</v>
      </c>
      <c r="S382">
        <f t="shared" si="141"/>
        <v>0</v>
      </c>
      <c r="T382">
        <f t="shared" si="142"/>
        <v>0</v>
      </c>
      <c r="U382">
        <f t="shared" si="143"/>
        <v>0</v>
      </c>
      <c r="V382">
        <f t="shared" si="144"/>
        <v>0</v>
      </c>
      <c r="W382">
        <f t="shared" si="145"/>
        <v>0</v>
      </c>
      <c r="X382">
        <f t="shared" si="146"/>
        <v>0</v>
      </c>
      <c r="Y382">
        <f t="shared" si="147"/>
        <v>0</v>
      </c>
      <c r="Z382">
        <f t="shared" si="148"/>
        <v>0</v>
      </c>
      <c r="AA382">
        <f t="shared" si="149"/>
        <v>0</v>
      </c>
      <c r="AB382">
        <f t="shared" si="150"/>
        <v>0</v>
      </c>
      <c r="AC382">
        <f t="shared" si="151"/>
        <v>0</v>
      </c>
      <c r="AD382">
        <f t="shared" si="152"/>
        <v>0</v>
      </c>
      <c r="AE382">
        <f t="shared" si="153"/>
        <v>1</v>
      </c>
      <c r="AF382">
        <f t="shared" si="154"/>
        <v>0</v>
      </c>
      <c r="AG382">
        <f t="shared" si="155"/>
        <v>0</v>
      </c>
      <c r="AH382">
        <f t="shared" si="156"/>
        <v>0</v>
      </c>
      <c r="AI382">
        <f t="shared" si="157"/>
        <v>0</v>
      </c>
      <c r="AJ382">
        <f t="shared" si="158"/>
        <v>0</v>
      </c>
      <c r="AK382">
        <f t="shared" si="159"/>
        <v>1</v>
      </c>
      <c r="AL382">
        <f t="shared" si="160"/>
        <v>0</v>
      </c>
      <c r="AM382">
        <f t="shared" si="161"/>
        <v>0</v>
      </c>
      <c r="AN382">
        <f t="shared" si="162"/>
        <v>0</v>
      </c>
      <c r="AO382">
        <f t="shared" si="163"/>
        <v>1</v>
      </c>
      <c r="AP382">
        <f t="shared" si="164"/>
        <v>1</v>
      </c>
      <c r="AQ382">
        <f t="shared" si="165"/>
        <v>0</v>
      </c>
      <c r="AR382">
        <f t="shared" si="166"/>
        <v>0</v>
      </c>
      <c r="AS382">
        <f t="shared" si="167"/>
        <v>0</v>
      </c>
    </row>
    <row r="383" spans="2:45" x14ac:dyDescent="0.3">
      <c r="B383">
        <v>382</v>
      </c>
      <c r="C383" s="1">
        <v>40925</v>
      </c>
      <c r="D383">
        <v>1</v>
      </c>
      <c r="E383">
        <v>1</v>
      </c>
      <c r="F383">
        <v>1</v>
      </c>
      <c r="G383">
        <v>2</v>
      </c>
      <c r="H383">
        <v>2</v>
      </c>
      <c r="I383">
        <v>127</v>
      </c>
      <c r="J383">
        <v>2808</v>
      </c>
      <c r="K383" s="8">
        <v>2935</v>
      </c>
      <c r="L383">
        <v>15.294763</v>
      </c>
      <c r="M383">
        <v>18.213899999999999</v>
      </c>
      <c r="N383">
        <v>71.608699999999999</v>
      </c>
      <c r="O383">
        <v>23.39171</v>
      </c>
      <c r="P383">
        <v>0</v>
      </c>
      <c r="Q383">
        <v>1</v>
      </c>
      <c r="R383">
        <f t="shared" si="140"/>
        <v>1</v>
      </c>
      <c r="S383">
        <f t="shared" si="141"/>
        <v>0</v>
      </c>
      <c r="T383">
        <f t="shared" si="142"/>
        <v>0</v>
      </c>
      <c r="U383">
        <f t="shared" si="143"/>
        <v>0</v>
      </c>
      <c r="V383">
        <f t="shared" si="144"/>
        <v>0</v>
      </c>
      <c r="W383">
        <f t="shared" si="145"/>
        <v>0</v>
      </c>
      <c r="X383">
        <f t="shared" si="146"/>
        <v>0</v>
      </c>
      <c r="Y383">
        <f t="shared" si="147"/>
        <v>0</v>
      </c>
      <c r="Z383">
        <f t="shared" si="148"/>
        <v>0</v>
      </c>
      <c r="AA383">
        <f t="shared" si="149"/>
        <v>0</v>
      </c>
      <c r="AB383">
        <f t="shared" si="150"/>
        <v>0</v>
      </c>
      <c r="AC383">
        <f t="shared" si="151"/>
        <v>0</v>
      </c>
      <c r="AD383">
        <f t="shared" si="152"/>
        <v>0</v>
      </c>
      <c r="AE383">
        <f t="shared" si="153"/>
        <v>0</v>
      </c>
      <c r="AF383">
        <f t="shared" si="154"/>
        <v>1</v>
      </c>
      <c r="AG383">
        <f t="shared" si="155"/>
        <v>0</v>
      </c>
      <c r="AH383">
        <f t="shared" si="156"/>
        <v>0</v>
      </c>
      <c r="AI383">
        <f t="shared" si="157"/>
        <v>0</v>
      </c>
      <c r="AJ383">
        <f t="shared" si="158"/>
        <v>0</v>
      </c>
      <c r="AK383">
        <f t="shared" si="159"/>
        <v>0</v>
      </c>
      <c r="AL383">
        <f t="shared" si="160"/>
        <v>1</v>
      </c>
      <c r="AM383">
        <f t="shared" si="161"/>
        <v>0</v>
      </c>
      <c r="AN383">
        <f t="shared" si="162"/>
        <v>0</v>
      </c>
      <c r="AO383">
        <f t="shared" si="163"/>
        <v>1</v>
      </c>
      <c r="AP383">
        <f t="shared" si="164"/>
        <v>1</v>
      </c>
      <c r="AQ383">
        <f t="shared" si="165"/>
        <v>0</v>
      </c>
      <c r="AR383">
        <f t="shared" si="166"/>
        <v>0</v>
      </c>
      <c r="AS383">
        <f t="shared" si="167"/>
        <v>0</v>
      </c>
    </row>
    <row r="384" spans="2:45" x14ac:dyDescent="0.3">
      <c r="B384">
        <v>383</v>
      </c>
      <c r="C384" s="1">
        <v>40926</v>
      </c>
      <c r="D384">
        <v>1</v>
      </c>
      <c r="E384">
        <v>1</v>
      </c>
      <c r="F384">
        <v>1</v>
      </c>
      <c r="G384">
        <v>3</v>
      </c>
      <c r="H384">
        <v>1</v>
      </c>
      <c r="I384">
        <v>109</v>
      </c>
      <c r="J384">
        <v>3267</v>
      </c>
      <c r="K384" s="8">
        <v>3376</v>
      </c>
      <c r="L384">
        <v>12.436653</v>
      </c>
      <c r="M384">
        <v>13.762700000000001</v>
      </c>
      <c r="N384">
        <v>44.333300000000001</v>
      </c>
      <c r="O384">
        <v>27.833742999999998</v>
      </c>
      <c r="P384">
        <v>0</v>
      </c>
      <c r="Q384">
        <v>1</v>
      </c>
      <c r="R384">
        <f t="shared" si="140"/>
        <v>1</v>
      </c>
      <c r="S384">
        <f t="shared" si="141"/>
        <v>0</v>
      </c>
      <c r="T384">
        <f t="shared" si="142"/>
        <v>0</v>
      </c>
      <c r="U384">
        <f t="shared" si="143"/>
        <v>0</v>
      </c>
      <c r="V384">
        <f t="shared" si="144"/>
        <v>0</v>
      </c>
      <c r="W384">
        <f t="shared" si="145"/>
        <v>0</v>
      </c>
      <c r="X384">
        <f t="shared" si="146"/>
        <v>0</v>
      </c>
      <c r="Y384">
        <f t="shared" si="147"/>
        <v>0</v>
      </c>
      <c r="Z384">
        <f t="shared" si="148"/>
        <v>0</v>
      </c>
      <c r="AA384">
        <f t="shared" si="149"/>
        <v>0</v>
      </c>
      <c r="AB384">
        <f t="shared" si="150"/>
        <v>0</v>
      </c>
      <c r="AC384">
        <f t="shared" si="151"/>
        <v>0</v>
      </c>
      <c r="AD384">
        <f t="shared" si="152"/>
        <v>0</v>
      </c>
      <c r="AE384">
        <f t="shared" si="153"/>
        <v>0</v>
      </c>
      <c r="AF384">
        <f t="shared" si="154"/>
        <v>0</v>
      </c>
      <c r="AG384">
        <f t="shared" si="155"/>
        <v>1</v>
      </c>
      <c r="AH384">
        <f t="shared" si="156"/>
        <v>0</v>
      </c>
      <c r="AI384">
        <f t="shared" si="157"/>
        <v>0</v>
      </c>
      <c r="AJ384">
        <f t="shared" si="158"/>
        <v>0</v>
      </c>
      <c r="AK384">
        <f t="shared" si="159"/>
        <v>1</v>
      </c>
      <c r="AL384">
        <f t="shared" si="160"/>
        <v>0</v>
      </c>
      <c r="AM384">
        <f t="shared" si="161"/>
        <v>0</v>
      </c>
      <c r="AN384">
        <f t="shared" si="162"/>
        <v>0</v>
      </c>
      <c r="AO384">
        <f t="shared" si="163"/>
        <v>1</v>
      </c>
      <c r="AP384">
        <f t="shared" si="164"/>
        <v>1</v>
      </c>
      <c r="AQ384">
        <f t="shared" si="165"/>
        <v>0</v>
      </c>
      <c r="AR384">
        <f t="shared" si="166"/>
        <v>0</v>
      </c>
      <c r="AS384">
        <f t="shared" si="167"/>
        <v>0</v>
      </c>
    </row>
    <row r="385" spans="2:45" x14ac:dyDescent="0.3">
      <c r="B385">
        <v>384</v>
      </c>
      <c r="C385" s="1">
        <v>40927</v>
      </c>
      <c r="D385">
        <v>1</v>
      </c>
      <c r="E385">
        <v>1</v>
      </c>
      <c r="F385">
        <v>1</v>
      </c>
      <c r="G385">
        <v>4</v>
      </c>
      <c r="H385">
        <v>1</v>
      </c>
      <c r="I385">
        <v>130</v>
      </c>
      <c r="J385">
        <v>3162</v>
      </c>
      <c r="K385" s="8">
        <v>3292</v>
      </c>
      <c r="L385">
        <v>7.79</v>
      </c>
      <c r="M385">
        <v>9.5018999999999991</v>
      </c>
      <c r="N385">
        <v>49.75</v>
      </c>
      <c r="O385">
        <v>14.750586</v>
      </c>
      <c r="P385">
        <v>0</v>
      </c>
      <c r="Q385">
        <v>1</v>
      </c>
      <c r="R385">
        <f t="shared" si="140"/>
        <v>1</v>
      </c>
      <c r="S385">
        <f t="shared" si="141"/>
        <v>0</v>
      </c>
      <c r="T385">
        <f t="shared" si="142"/>
        <v>0</v>
      </c>
      <c r="U385">
        <f t="shared" si="143"/>
        <v>0</v>
      </c>
      <c r="V385">
        <f t="shared" si="144"/>
        <v>0</v>
      </c>
      <c r="W385">
        <f t="shared" si="145"/>
        <v>0</v>
      </c>
      <c r="X385">
        <f t="shared" si="146"/>
        <v>0</v>
      </c>
      <c r="Y385">
        <f t="shared" si="147"/>
        <v>0</v>
      </c>
      <c r="Z385">
        <f t="shared" si="148"/>
        <v>0</v>
      </c>
      <c r="AA385">
        <f t="shared" si="149"/>
        <v>0</v>
      </c>
      <c r="AB385">
        <f t="shared" si="150"/>
        <v>0</v>
      </c>
      <c r="AC385">
        <f t="shared" si="151"/>
        <v>0</v>
      </c>
      <c r="AD385">
        <f t="shared" si="152"/>
        <v>0</v>
      </c>
      <c r="AE385">
        <f t="shared" si="153"/>
        <v>0</v>
      </c>
      <c r="AF385">
        <f t="shared" si="154"/>
        <v>0</v>
      </c>
      <c r="AG385">
        <f t="shared" si="155"/>
        <v>0</v>
      </c>
      <c r="AH385">
        <f t="shared" si="156"/>
        <v>1</v>
      </c>
      <c r="AI385">
        <f t="shared" si="157"/>
        <v>0</v>
      </c>
      <c r="AJ385">
        <f t="shared" si="158"/>
        <v>0</v>
      </c>
      <c r="AK385">
        <f t="shared" si="159"/>
        <v>1</v>
      </c>
      <c r="AL385">
        <f t="shared" si="160"/>
        <v>0</v>
      </c>
      <c r="AM385">
        <f t="shared" si="161"/>
        <v>0</v>
      </c>
      <c r="AN385">
        <f t="shared" si="162"/>
        <v>0</v>
      </c>
      <c r="AO385">
        <f t="shared" si="163"/>
        <v>1</v>
      </c>
      <c r="AP385">
        <f t="shared" si="164"/>
        <v>1</v>
      </c>
      <c r="AQ385">
        <f t="shared" si="165"/>
        <v>0</v>
      </c>
      <c r="AR385">
        <f t="shared" si="166"/>
        <v>0</v>
      </c>
      <c r="AS385">
        <f t="shared" si="167"/>
        <v>0</v>
      </c>
    </row>
    <row r="386" spans="2:45" x14ac:dyDescent="0.3">
      <c r="B386">
        <v>385</v>
      </c>
      <c r="C386" s="1">
        <v>40928</v>
      </c>
      <c r="D386">
        <v>1</v>
      </c>
      <c r="E386">
        <v>1</v>
      </c>
      <c r="F386">
        <v>1</v>
      </c>
      <c r="G386">
        <v>5</v>
      </c>
      <c r="H386">
        <v>2</v>
      </c>
      <c r="I386">
        <v>115</v>
      </c>
      <c r="J386">
        <v>3048</v>
      </c>
      <c r="K386" s="8">
        <v>3163</v>
      </c>
      <c r="L386">
        <v>8.9175000000000004</v>
      </c>
      <c r="M386">
        <v>11.0479</v>
      </c>
      <c r="N386">
        <v>45</v>
      </c>
      <c r="O386">
        <v>13.584250000000001</v>
      </c>
      <c r="P386">
        <v>0</v>
      </c>
      <c r="Q386">
        <v>1</v>
      </c>
      <c r="R386">
        <f t="shared" si="140"/>
        <v>1</v>
      </c>
      <c r="S386">
        <f t="shared" si="141"/>
        <v>0</v>
      </c>
      <c r="T386">
        <f t="shared" si="142"/>
        <v>0</v>
      </c>
      <c r="U386">
        <f t="shared" si="143"/>
        <v>0</v>
      </c>
      <c r="V386">
        <f t="shared" si="144"/>
        <v>0</v>
      </c>
      <c r="W386">
        <f t="shared" si="145"/>
        <v>0</v>
      </c>
      <c r="X386">
        <f t="shared" si="146"/>
        <v>0</v>
      </c>
      <c r="Y386">
        <f t="shared" si="147"/>
        <v>0</v>
      </c>
      <c r="Z386">
        <f t="shared" si="148"/>
        <v>0</v>
      </c>
      <c r="AA386">
        <f t="shared" si="149"/>
        <v>0</v>
      </c>
      <c r="AB386">
        <f t="shared" si="150"/>
        <v>0</v>
      </c>
      <c r="AC386">
        <f t="shared" si="151"/>
        <v>0</v>
      </c>
      <c r="AD386">
        <f t="shared" si="152"/>
        <v>0</v>
      </c>
      <c r="AE386">
        <f t="shared" si="153"/>
        <v>0</v>
      </c>
      <c r="AF386">
        <f t="shared" si="154"/>
        <v>0</v>
      </c>
      <c r="AG386">
        <f t="shared" si="155"/>
        <v>0</v>
      </c>
      <c r="AH386">
        <f t="shared" si="156"/>
        <v>0</v>
      </c>
      <c r="AI386">
        <f t="shared" si="157"/>
        <v>1</v>
      </c>
      <c r="AJ386">
        <f t="shared" si="158"/>
        <v>0</v>
      </c>
      <c r="AK386">
        <f t="shared" si="159"/>
        <v>0</v>
      </c>
      <c r="AL386">
        <f t="shared" si="160"/>
        <v>1</v>
      </c>
      <c r="AM386">
        <f t="shared" si="161"/>
        <v>0</v>
      </c>
      <c r="AN386">
        <f t="shared" si="162"/>
        <v>0</v>
      </c>
      <c r="AO386">
        <f t="shared" si="163"/>
        <v>1</v>
      </c>
      <c r="AP386">
        <f t="shared" si="164"/>
        <v>1</v>
      </c>
      <c r="AQ386">
        <f t="shared" si="165"/>
        <v>0</v>
      </c>
      <c r="AR386">
        <f t="shared" si="166"/>
        <v>0</v>
      </c>
      <c r="AS386">
        <f t="shared" si="167"/>
        <v>0</v>
      </c>
    </row>
    <row r="387" spans="2:45" x14ac:dyDescent="0.3">
      <c r="B387">
        <v>386</v>
      </c>
      <c r="C387" s="1">
        <v>40929</v>
      </c>
      <c r="D387">
        <v>1</v>
      </c>
      <c r="E387">
        <v>1</v>
      </c>
      <c r="F387">
        <v>1</v>
      </c>
      <c r="G387">
        <v>6</v>
      </c>
      <c r="H387">
        <v>2</v>
      </c>
      <c r="I387">
        <v>67</v>
      </c>
      <c r="J387">
        <v>1234</v>
      </c>
      <c r="K387" s="8">
        <v>1301</v>
      </c>
      <c r="L387">
        <v>7.1066529999999997</v>
      </c>
      <c r="M387">
        <v>8.7437500000000004</v>
      </c>
      <c r="N387">
        <v>83.125</v>
      </c>
      <c r="O387">
        <v>14.917014</v>
      </c>
      <c r="P387">
        <v>0</v>
      </c>
      <c r="Q387">
        <v>0</v>
      </c>
      <c r="R387">
        <f t="shared" ref="R387:R450" si="168">IF($F387=1,1,0)</f>
        <v>1</v>
      </c>
      <c r="S387">
        <f t="shared" ref="S387:S450" si="169">IF($F387=2,1,0)</f>
        <v>0</v>
      </c>
      <c r="T387">
        <f t="shared" ref="T387:T450" si="170">IF($F387=3,1,0)</f>
        <v>0</v>
      </c>
      <c r="U387">
        <f t="shared" ref="U387:U450" si="171">IF($F387=4,1,0)</f>
        <v>0</v>
      </c>
      <c r="V387">
        <f t="shared" ref="V387:V450" si="172">IF($F387=5,1,0)</f>
        <v>0</v>
      </c>
      <c r="W387">
        <f t="shared" ref="W387:W450" si="173">IF($F387=6,1,0)</f>
        <v>0</v>
      </c>
      <c r="X387">
        <f t="shared" ref="X387:X450" si="174">IF($F387=7,1,0)</f>
        <v>0</v>
      </c>
      <c r="Y387">
        <f t="shared" ref="Y387:Y450" si="175">IF($F387=8,1,0)</f>
        <v>0</v>
      </c>
      <c r="Z387">
        <f t="shared" ref="Z387:Z450" si="176">IF($F387=9,1,0)</f>
        <v>0</v>
      </c>
      <c r="AA387">
        <f t="shared" ref="AA387:AA450" si="177">IF($F387=10,1,0)</f>
        <v>0</v>
      </c>
      <c r="AB387">
        <f t="shared" ref="AB387:AB450" si="178">IF($F387=11,1,0)</f>
        <v>0</v>
      </c>
      <c r="AC387">
        <f t="shared" ref="AC387:AC450" si="179">IF($F387=12,1,0)</f>
        <v>0</v>
      </c>
      <c r="AD387">
        <f t="shared" ref="AD387:AD450" si="180">IF($G387=0,1,0)</f>
        <v>0</v>
      </c>
      <c r="AE387">
        <f t="shared" ref="AE387:AE450" si="181">IF($G387=1,1,0)</f>
        <v>0</v>
      </c>
      <c r="AF387">
        <f t="shared" ref="AF387:AF450" si="182">IF($G387=2,1,0)</f>
        <v>0</v>
      </c>
      <c r="AG387">
        <f t="shared" ref="AG387:AG450" si="183">IF($G387=3,1,0)</f>
        <v>0</v>
      </c>
      <c r="AH387">
        <f t="shared" ref="AH387:AH450" si="184">IF($G387=4,1,0)</f>
        <v>0</v>
      </c>
      <c r="AI387">
        <f t="shared" ref="AI387:AI450" si="185">IF($G387=5,1,0)</f>
        <v>0</v>
      </c>
      <c r="AJ387">
        <f t="shared" ref="AJ387:AJ450" si="186">IF($G387=6,1,0)</f>
        <v>1</v>
      </c>
      <c r="AK387">
        <f t="shared" ref="AK387:AK450" si="187">IF($H387=1,1,0)</f>
        <v>0</v>
      </c>
      <c r="AL387">
        <f t="shared" ref="AL387:AL450" si="188">IF($H387=2,1,0)</f>
        <v>1</v>
      </c>
      <c r="AM387">
        <f t="shared" ref="AM387:AM450" si="189">IF($H387=3,1,0)</f>
        <v>0</v>
      </c>
      <c r="AN387">
        <f t="shared" ref="AN387:AN450" si="190">IF($E387=0,1,0)</f>
        <v>0</v>
      </c>
      <c r="AO387">
        <f t="shared" ref="AO387:AO450" si="191">IF($E387=1,1,0)</f>
        <v>1</v>
      </c>
      <c r="AP387">
        <f t="shared" ref="AP387:AP450" si="192">IF($D387=1,1,0)</f>
        <v>1</v>
      </c>
      <c r="AQ387">
        <f t="shared" ref="AQ387:AQ450" si="193">IF($D387=2,1,0)</f>
        <v>0</v>
      </c>
      <c r="AR387">
        <f t="shared" ref="AR387:AR450" si="194">IF($D387=3,1,0)</f>
        <v>0</v>
      </c>
      <c r="AS387">
        <f t="shared" ref="AS387:AS450" si="195">IF($D387=4,1,0)</f>
        <v>0</v>
      </c>
    </row>
    <row r="388" spans="2:45" x14ac:dyDescent="0.3">
      <c r="B388">
        <v>387</v>
      </c>
      <c r="C388" s="1">
        <v>40930</v>
      </c>
      <c r="D388">
        <v>1</v>
      </c>
      <c r="E388">
        <v>1</v>
      </c>
      <c r="F388">
        <v>1</v>
      </c>
      <c r="G388">
        <v>0</v>
      </c>
      <c r="H388">
        <v>2</v>
      </c>
      <c r="I388">
        <v>196</v>
      </c>
      <c r="J388">
        <v>1781</v>
      </c>
      <c r="K388" s="8">
        <v>1977</v>
      </c>
      <c r="L388">
        <v>6.6624999999999996</v>
      </c>
      <c r="M388">
        <v>8.1125000000000007</v>
      </c>
      <c r="N388">
        <v>79.625</v>
      </c>
      <c r="O388">
        <v>13.375745999999999</v>
      </c>
      <c r="P388">
        <v>0</v>
      </c>
      <c r="Q388">
        <v>0</v>
      </c>
      <c r="R388">
        <f t="shared" si="168"/>
        <v>1</v>
      </c>
      <c r="S388">
        <f t="shared" si="169"/>
        <v>0</v>
      </c>
      <c r="T388">
        <f t="shared" si="170"/>
        <v>0</v>
      </c>
      <c r="U388">
        <f t="shared" si="171"/>
        <v>0</v>
      </c>
      <c r="V388">
        <f t="shared" si="172"/>
        <v>0</v>
      </c>
      <c r="W388">
        <f t="shared" si="173"/>
        <v>0</v>
      </c>
      <c r="X388">
        <f t="shared" si="174"/>
        <v>0</v>
      </c>
      <c r="Y388">
        <f t="shared" si="175"/>
        <v>0</v>
      </c>
      <c r="Z388">
        <f t="shared" si="176"/>
        <v>0</v>
      </c>
      <c r="AA388">
        <f t="shared" si="177"/>
        <v>0</v>
      </c>
      <c r="AB388">
        <f t="shared" si="178"/>
        <v>0</v>
      </c>
      <c r="AC388">
        <f t="shared" si="179"/>
        <v>0</v>
      </c>
      <c r="AD388">
        <f t="shared" si="180"/>
        <v>1</v>
      </c>
      <c r="AE388">
        <f t="shared" si="181"/>
        <v>0</v>
      </c>
      <c r="AF388">
        <f t="shared" si="182"/>
        <v>0</v>
      </c>
      <c r="AG388">
        <f t="shared" si="183"/>
        <v>0</v>
      </c>
      <c r="AH388">
        <f t="shared" si="184"/>
        <v>0</v>
      </c>
      <c r="AI388">
        <f t="shared" si="185"/>
        <v>0</v>
      </c>
      <c r="AJ388">
        <f t="shared" si="186"/>
        <v>0</v>
      </c>
      <c r="AK388">
        <f t="shared" si="187"/>
        <v>0</v>
      </c>
      <c r="AL388">
        <f t="shared" si="188"/>
        <v>1</v>
      </c>
      <c r="AM388">
        <f t="shared" si="189"/>
        <v>0</v>
      </c>
      <c r="AN388">
        <f t="shared" si="190"/>
        <v>0</v>
      </c>
      <c r="AO388">
        <f t="shared" si="191"/>
        <v>1</v>
      </c>
      <c r="AP388">
        <f t="shared" si="192"/>
        <v>1</v>
      </c>
      <c r="AQ388">
        <f t="shared" si="193"/>
        <v>0</v>
      </c>
      <c r="AR388">
        <f t="shared" si="194"/>
        <v>0</v>
      </c>
      <c r="AS388">
        <f t="shared" si="195"/>
        <v>0</v>
      </c>
    </row>
    <row r="389" spans="2:45" x14ac:dyDescent="0.3">
      <c r="B389">
        <v>388</v>
      </c>
      <c r="C389" s="1">
        <v>40931</v>
      </c>
      <c r="D389">
        <v>1</v>
      </c>
      <c r="E389">
        <v>1</v>
      </c>
      <c r="F389">
        <v>1</v>
      </c>
      <c r="G389">
        <v>1</v>
      </c>
      <c r="H389">
        <v>2</v>
      </c>
      <c r="I389">
        <v>145</v>
      </c>
      <c r="J389">
        <v>2287</v>
      </c>
      <c r="K389" s="8">
        <v>2432</v>
      </c>
      <c r="L389">
        <v>8.9516530000000003</v>
      </c>
      <c r="M389">
        <v>12.152900000000001</v>
      </c>
      <c r="N389">
        <v>91.125</v>
      </c>
      <c r="O389">
        <v>7.4174360000000004</v>
      </c>
      <c r="P389">
        <v>0</v>
      </c>
      <c r="Q389">
        <v>1</v>
      </c>
      <c r="R389">
        <f t="shared" si="168"/>
        <v>1</v>
      </c>
      <c r="S389">
        <f t="shared" si="169"/>
        <v>0</v>
      </c>
      <c r="T389">
        <f t="shared" si="170"/>
        <v>0</v>
      </c>
      <c r="U389">
        <f t="shared" si="171"/>
        <v>0</v>
      </c>
      <c r="V389">
        <f t="shared" si="172"/>
        <v>0</v>
      </c>
      <c r="W389">
        <f t="shared" si="173"/>
        <v>0</v>
      </c>
      <c r="X389">
        <f t="shared" si="174"/>
        <v>0</v>
      </c>
      <c r="Y389">
        <f t="shared" si="175"/>
        <v>0</v>
      </c>
      <c r="Z389">
        <f t="shared" si="176"/>
        <v>0</v>
      </c>
      <c r="AA389">
        <f t="shared" si="177"/>
        <v>0</v>
      </c>
      <c r="AB389">
        <f t="shared" si="178"/>
        <v>0</v>
      </c>
      <c r="AC389">
        <f t="shared" si="179"/>
        <v>0</v>
      </c>
      <c r="AD389">
        <f t="shared" si="180"/>
        <v>0</v>
      </c>
      <c r="AE389">
        <f t="shared" si="181"/>
        <v>1</v>
      </c>
      <c r="AF389">
        <f t="shared" si="182"/>
        <v>0</v>
      </c>
      <c r="AG389">
        <f t="shared" si="183"/>
        <v>0</v>
      </c>
      <c r="AH389">
        <f t="shared" si="184"/>
        <v>0</v>
      </c>
      <c r="AI389">
        <f t="shared" si="185"/>
        <v>0</v>
      </c>
      <c r="AJ389">
        <f t="shared" si="186"/>
        <v>0</v>
      </c>
      <c r="AK389">
        <f t="shared" si="187"/>
        <v>0</v>
      </c>
      <c r="AL389">
        <f t="shared" si="188"/>
        <v>1</v>
      </c>
      <c r="AM389">
        <f t="shared" si="189"/>
        <v>0</v>
      </c>
      <c r="AN389">
        <f t="shared" si="190"/>
        <v>0</v>
      </c>
      <c r="AO389">
        <f t="shared" si="191"/>
        <v>1</v>
      </c>
      <c r="AP389">
        <f t="shared" si="192"/>
        <v>1</v>
      </c>
      <c r="AQ389">
        <f t="shared" si="193"/>
        <v>0</v>
      </c>
      <c r="AR389">
        <f t="shared" si="194"/>
        <v>0</v>
      </c>
      <c r="AS389">
        <f t="shared" si="195"/>
        <v>0</v>
      </c>
    </row>
    <row r="390" spans="2:45" x14ac:dyDescent="0.3">
      <c r="B390">
        <v>389</v>
      </c>
      <c r="C390" s="1">
        <v>40932</v>
      </c>
      <c r="D390">
        <v>1</v>
      </c>
      <c r="E390">
        <v>1</v>
      </c>
      <c r="F390">
        <v>1</v>
      </c>
      <c r="G390">
        <v>2</v>
      </c>
      <c r="H390">
        <v>1</v>
      </c>
      <c r="I390">
        <v>439</v>
      </c>
      <c r="J390">
        <v>3900</v>
      </c>
      <c r="K390" s="8">
        <v>4339</v>
      </c>
      <c r="L390">
        <v>14.0425</v>
      </c>
      <c r="M390">
        <v>17.455400000000001</v>
      </c>
      <c r="N390">
        <v>83.583299999999994</v>
      </c>
      <c r="O390">
        <v>8.292389</v>
      </c>
      <c r="P390">
        <v>0</v>
      </c>
      <c r="Q390">
        <v>1</v>
      </c>
      <c r="R390">
        <f t="shared" si="168"/>
        <v>1</v>
      </c>
      <c r="S390">
        <f t="shared" si="169"/>
        <v>0</v>
      </c>
      <c r="T390">
        <f t="shared" si="170"/>
        <v>0</v>
      </c>
      <c r="U390">
        <f t="shared" si="171"/>
        <v>0</v>
      </c>
      <c r="V390">
        <f t="shared" si="172"/>
        <v>0</v>
      </c>
      <c r="W390">
        <f t="shared" si="173"/>
        <v>0</v>
      </c>
      <c r="X390">
        <f t="shared" si="174"/>
        <v>0</v>
      </c>
      <c r="Y390">
        <f t="shared" si="175"/>
        <v>0</v>
      </c>
      <c r="Z390">
        <f t="shared" si="176"/>
        <v>0</v>
      </c>
      <c r="AA390">
        <f t="shared" si="177"/>
        <v>0</v>
      </c>
      <c r="AB390">
        <f t="shared" si="178"/>
        <v>0</v>
      </c>
      <c r="AC390">
        <f t="shared" si="179"/>
        <v>0</v>
      </c>
      <c r="AD390">
        <f t="shared" si="180"/>
        <v>0</v>
      </c>
      <c r="AE390">
        <f t="shared" si="181"/>
        <v>0</v>
      </c>
      <c r="AF390">
        <f t="shared" si="182"/>
        <v>1</v>
      </c>
      <c r="AG390">
        <f t="shared" si="183"/>
        <v>0</v>
      </c>
      <c r="AH390">
        <f t="shared" si="184"/>
        <v>0</v>
      </c>
      <c r="AI390">
        <f t="shared" si="185"/>
        <v>0</v>
      </c>
      <c r="AJ390">
        <f t="shared" si="186"/>
        <v>0</v>
      </c>
      <c r="AK390">
        <f t="shared" si="187"/>
        <v>1</v>
      </c>
      <c r="AL390">
        <f t="shared" si="188"/>
        <v>0</v>
      </c>
      <c r="AM390">
        <f t="shared" si="189"/>
        <v>0</v>
      </c>
      <c r="AN390">
        <f t="shared" si="190"/>
        <v>0</v>
      </c>
      <c r="AO390">
        <f t="shared" si="191"/>
        <v>1</v>
      </c>
      <c r="AP390">
        <f t="shared" si="192"/>
        <v>1</v>
      </c>
      <c r="AQ390">
        <f t="shared" si="193"/>
        <v>0</v>
      </c>
      <c r="AR390">
        <f t="shared" si="194"/>
        <v>0</v>
      </c>
      <c r="AS390">
        <f t="shared" si="195"/>
        <v>0</v>
      </c>
    </row>
    <row r="391" spans="2:45" x14ac:dyDescent="0.3">
      <c r="B391">
        <v>390</v>
      </c>
      <c r="C391" s="1">
        <v>40933</v>
      </c>
      <c r="D391">
        <v>1</v>
      </c>
      <c r="E391">
        <v>1</v>
      </c>
      <c r="F391">
        <v>1</v>
      </c>
      <c r="G391">
        <v>3</v>
      </c>
      <c r="H391">
        <v>1</v>
      </c>
      <c r="I391">
        <v>467</v>
      </c>
      <c r="J391">
        <v>3803</v>
      </c>
      <c r="K391" s="8">
        <v>4270</v>
      </c>
      <c r="L391">
        <v>12.060847000000001</v>
      </c>
      <c r="M391">
        <v>14.74105</v>
      </c>
      <c r="N391">
        <v>64.375</v>
      </c>
      <c r="O391">
        <v>10.791757</v>
      </c>
      <c r="P391">
        <v>0</v>
      </c>
      <c r="Q391">
        <v>1</v>
      </c>
      <c r="R391">
        <f t="shared" si="168"/>
        <v>1</v>
      </c>
      <c r="S391">
        <f t="shared" si="169"/>
        <v>0</v>
      </c>
      <c r="T391">
        <f t="shared" si="170"/>
        <v>0</v>
      </c>
      <c r="U391">
        <f t="shared" si="171"/>
        <v>0</v>
      </c>
      <c r="V391">
        <f t="shared" si="172"/>
        <v>0</v>
      </c>
      <c r="W391">
        <f t="shared" si="173"/>
        <v>0</v>
      </c>
      <c r="X391">
        <f t="shared" si="174"/>
        <v>0</v>
      </c>
      <c r="Y391">
        <f t="shared" si="175"/>
        <v>0</v>
      </c>
      <c r="Z391">
        <f t="shared" si="176"/>
        <v>0</v>
      </c>
      <c r="AA391">
        <f t="shared" si="177"/>
        <v>0</v>
      </c>
      <c r="AB391">
        <f t="shared" si="178"/>
        <v>0</v>
      </c>
      <c r="AC391">
        <f t="shared" si="179"/>
        <v>0</v>
      </c>
      <c r="AD391">
        <f t="shared" si="180"/>
        <v>0</v>
      </c>
      <c r="AE391">
        <f t="shared" si="181"/>
        <v>0</v>
      </c>
      <c r="AF391">
        <f t="shared" si="182"/>
        <v>0</v>
      </c>
      <c r="AG391">
        <f t="shared" si="183"/>
        <v>1</v>
      </c>
      <c r="AH391">
        <f t="shared" si="184"/>
        <v>0</v>
      </c>
      <c r="AI391">
        <f t="shared" si="185"/>
        <v>0</v>
      </c>
      <c r="AJ391">
        <f t="shared" si="186"/>
        <v>0</v>
      </c>
      <c r="AK391">
        <f t="shared" si="187"/>
        <v>1</v>
      </c>
      <c r="AL391">
        <f t="shared" si="188"/>
        <v>0</v>
      </c>
      <c r="AM391">
        <f t="shared" si="189"/>
        <v>0</v>
      </c>
      <c r="AN391">
        <f t="shared" si="190"/>
        <v>0</v>
      </c>
      <c r="AO391">
        <f t="shared" si="191"/>
        <v>1</v>
      </c>
      <c r="AP391">
        <f t="shared" si="192"/>
        <v>1</v>
      </c>
      <c r="AQ391">
        <f t="shared" si="193"/>
        <v>0</v>
      </c>
      <c r="AR391">
        <f t="shared" si="194"/>
        <v>0</v>
      </c>
      <c r="AS391">
        <f t="shared" si="195"/>
        <v>0</v>
      </c>
    </row>
    <row r="392" spans="2:45" x14ac:dyDescent="0.3">
      <c r="B392">
        <v>391</v>
      </c>
      <c r="C392" s="1">
        <v>40934</v>
      </c>
      <c r="D392">
        <v>1</v>
      </c>
      <c r="E392">
        <v>1</v>
      </c>
      <c r="F392">
        <v>1</v>
      </c>
      <c r="G392">
        <v>4</v>
      </c>
      <c r="H392">
        <v>2</v>
      </c>
      <c r="I392">
        <v>244</v>
      </c>
      <c r="J392">
        <v>3831</v>
      </c>
      <c r="K392" s="8">
        <v>4075</v>
      </c>
      <c r="L392">
        <v>14.008347000000001</v>
      </c>
      <c r="M392">
        <v>17.802499999999998</v>
      </c>
      <c r="N392">
        <v>76.958299999999994</v>
      </c>
      <c r="O392">
        <v>4.9175186000000002</v>
      </c>
      <c r="P392">
        <v>0</v>
      </c>
      <c r="Q392">
        <v>1</v>
      </c>
      <c r="R392">
        <f t="shared" si="168"/>
        <v>1</v>
      </c>
      <c r="S392">
        <f t="shared" si="169"/>
        <v>0</v>
      </c>
      <c r="T392">
        <f t="shared" si="170"/>
        <v>0</v>
      </c>
      <c r="U392">
        <f t="shared" si="171"/>
        <v>0</v>
      </c>
      <c r="V392">
        <f t="shared" si="172"/>
        <v>0</v>
      </c>
      <c r="W392">
        <f t="shared" si="173"/>
        <v>0</v>
      </c>
      <c r="X392">
        <f t="shared" si="174"/>
        <v>0</v>
      </c>
      <c r="Y392">
        <f t="shared" si="175"/>
        <v>0</v>
      </c>
      <c r="Z392">
        <f t="shared" si="176"/>
        <v>0</v>
      </c>
      <c r="AA392">
        <f t="shared" si="177"/>
        <v>0</v>
      </c>
      <c r="AB392">
        <f t="shared" si="178"/>
        <v>0</v>
      </c>
      <c r="AC392">
        <f t="shared" si="179"/>
        <v>0</v>
      </c>
      <c r="AD392">
        <f t="shared" si="180"/>
        <v>0</v>
      </c>
      <c r="AE392">
        <f t="shared" si="181"/>
        <v>0</v>
      </c>
      <c r="AF392">
        <f t="shared" si="182"/>
        <v>0</v>
      </c>
      <c r="AG392">
        <f t="shared" si="183"/>
        <v>0</v>
      </c>
      <c r="AH392">
        <f t="shared" si="184"/>
        <v>1</v>
      </c>
      <c r="AI392">
        <f t="shared" si="185"/>
        <v>0</v>
      </c>
      <c r="AJ392">
        <f t="shared" si="186"/>
        <v>0</v>
      </c>
      <c r="AK392">
        <f t="shared" si="187"/>
        <v>0</v>
      </c>
      <c r="AL392">
        <f t="shared" si="188"/>
        <v>1</v>
      </c>
      <c r="AM392">
        <f t="shared" si="189"/>
        <v>0</v>
      </c>
      <c r="AN392">
        <f t="shared" si="190"/>
        <v>0</v>
      </c>
      <c r="AO392">
        <f t="shared" si="191"/>
        <v>1</v>
      </c>
      <c r="AP392">
        <f t="shared" si="192"/>
        <v>1</v>
      </c>
      <c r="AQ392">
        <f t="shared" si="193"/>
        <v>0</v>
      </c>
      <c r="AR392">
        <f t="shared" si="194"/>
        <v>0</v>
      </c>
      <c r="AS392">
        <f t="shared" si="195"/>
        <v>0</v>
      </c>
    </row>
    <row r="393" spans="2:45" x14ac:dyDescent="0.3">
      <c r="B393">
        <v>392</v>
      </c>
      <c r="C393" s="1">
        <v>40935</v>
      </c>
      <c r="D393">
        <v>1</v>
      </c>
      <c r="E393">
        <v>1</v>
      </c>
      <c r="F393">
        <v>1</v>
      </c>
      <c r="G393">
        <v>5</v>
      </c>
      <c r="H393">
        <v>2</v>
      </c>
      <c r="I393">
        <v>269</v>
      </c>
      <c r="J393">
        <v>3187</v>
      </c>
      <c r="K393" s="8">
        <v>3456</v>
      </c>
      <c r="L393">
        <v>17.425000000000001</v>
      </c>
      <c r="M393">
        <v>20.76915</v>
      </c>
      <c r="N393">
        <v>74.125</v>
      </c>
      <c r="O393">
        <v>22.958689</v>
      </c>
      <c r="P393">
        <v>0</v>
      </c>
      <c r="Q393">
        <v>1</v>
      </c>
      <c r="R393">
        <f t="shared" si="168"/>
        <v>1</v>
      </c>
      <c r="S393">
        <f t="shared" si="169"/>
        <v>0</v>
      </c>
      <c r="T393">
        <f t="shared" si="170"/>
        <v>0</v>
      </c>
      <c r="U393">
        <f t="shared" si="171"/>
        <v>0</v>
      </c>
      <c r="V393">
        <f t="shared" si="172"/>
        <v>0</v>
      </c>
      <c r="W393">
        <f t="shared" si="173"/>
        <v>0</v>
      </c>
      <c r="X393">
        <f t="shared" si="174"/>
        <v>0</v>
      </c>
      <c r="Y393">
        <f t="shared" si="175"/>
        <v>0</v>
      </c>
      <c r="Z393">
        <f t="shared" si="176"/>
        <v>0</v>
      </c>
      <c r="AA393">
        <f t="shared" si="177"/>
        <v>0</v>
      </c>
      <c r="AB393">
        <f t="shared" si="178"/>
        <v>0</v>
      </c>
      <c r="AC393">
        <f t="shared" si="179"/>
        <v>0</v>
      </c>
      <c r="AD393">
        <f t="shared" si="180"/>
        <v>0</v>
      </c>
      <c r="AE393">
        <f t="shared" si="181"/>
        <v>0</v>
      </c>
      <c r="AF393">
        <f t="shared" si="182"/>
        <v>0</v>
      </c>
      <c r="AG393">
        <f t="shared" si="183"/>
        <v>0</v>
      </c>
      <c r="AH393">
        <f t="shared" si="184"/>
        <v>0</v>
      </c>
      <c r="AI393">
        <f t="shared" si="185"/>
        <v>1</v>
      </c>
      <c r="AJ393">
        <f t="shared" si="186"/>
        <v>0</v>
      </c>
      <c r="AK393">
        <f t="shared" si="187"/>
        <v>0</v>
      </c>
      <c r="AL393">
        <f t="shared" si="188"/>
        <v>1</v>
      </c>
      <c r="AM393">
        <f t="shared" si="189"/>
        <v>0</v>
      </c>
      <c r="AN393">
        <f t="shared" si="190"/>
        <v>0</v>
      </c>
      <c r="AO393">
        <f t="shared" si="191"/>
        <v>1</v>
      </c>
      <c r="AP393">
        <f t="shared" si="192"/>
        <v>1</v>
      </c>
      <c r="AQ393">
        <f t="shared" si="193"/>
        <v>0</v>
      </c>
      <c r="AR393">
        <f t="shared" si="194"/>
        <v>0</v>
      </c>
      <c r="AS393">
        <f t="shared" si="195"/>
        <v>0</v>
      </c>
    </row>
    <row r="394" spans="2:45" x14ac:dyDescent="0.3">
      <c r="B394">
        <v>393</v>
      </c>
      <c r="C394" s="1">
        <v>40936</v>
      </c>
      <c r="D394">
        <v>1</v>
      </c>
      <c r="E394">
        <v>1</v>
      </c>
      <c r="F394">
        <v>1</v>
      </c>
      <c r="G394">
        <v>6</v>
      </c>
      <c r="H394">
        <v>1</v>
      </c>
      <c r="I394">
        <v>775</v>
      </c>
      <c r="J394">
        <v>3248</v>
      </c>
      <c r="K394" s="8">
        <v>4023</v>
      </c>
      <c r="L394">
        <v>12.949153000000001</v>
      </c>
      <c r="M394">
        <v>16.318950000000001</v>
      </c>
      <c r="N394">
        <v>54.333300000000001</v>
      </c>
      <c r="O394">
        <v>14.125543</v>
      </c>
      <c r="P394">
        <v>0</v>
      </c>
      <c r="Q394">
        <v>0</v>
      </c>
      <c r="R394">
        <f t="shared" si="168"/>
        <v>1</v>
      </c>
      <c r="S394">
        <f t="shared" si="169"/>
        <v>0</v>
      </c>
      <c r="T394">
        <f t="shared" si="170"/>
        <v>0</v>
      </c>
      <c r="U394">
        <f t="shared" si="171"/>
        <v>0</v>
      </c>
      <c r="V394">
        <f t="shared" si="172"/>
        <v>0</v>
      </c>
      <c r="W394">
        <f t="shared" si="173"/>
        <v>0</v>
      </c>
      <c r="X394">
        <f t="shared" si="174"/>
        <v>0</v>
      </c>
      <c r="Y394">
        <f t="shared" si="175"/>
        <v>0</v>
      </c>
      <c r="Z394">
        <f t="shared" si="176"/>
        <v>0</v>
      </c>
      <c r="AA394">
        <f t="shared" si="177"/>
        <v>0</v>
      </c>
      <c r="AB394">
        <f t="shared" si="178"/>
        <v>0</v>
      </c>
      <c r="AC394">
        <f t="shared" si="179"/>
        <v>0</v>
      </c>
      <c r="AD394">
        <f t="shared" si="180"/>
        <v>0</v>
      </c>
      <c r="AE394">
        <f t="shared" si="181"/>
        <v>0</v>
      </c>
      <c r="AF394">
        <f t="shared" si="182"/>
        <v>0</v>
      </c>
      <c r="AG394">
        <f t="shared" si="183"/>
        <v>0</v>
      </c>
      <c r="AH394">
        <f t="shared" si="184"/>
        <v>0</v>
      </c>
      <c r="AI394">
        <f t="shared" si="185"/>
        <v>0</v>
      </c>
      <c r="AJ394">
        <f t="shared" si="186"/>
        <v>1</v>
      </c>
      <c r="AK394">
        <f t="shared" si="187"/>
        <v>1</v>
      </c>
      <c r="AL394">
        <f t="shared" si="188"/>
        <v>0</v>
      </c>
      <c r="AM394">
        <f t="shared" si="189"/>
        <v>0</v>
      </c>
      <c r="AN394">
        <f t="shared" si="190"/>
        <v>0</v>
      </c>
      <c r="AO394">
        <f t="shared" si="191"/>
        <v>1</v>
      </c>
      <c r="AP394">
        <f t="shared" si="192"/>
        <v>1</v>
      </c>
      <c r="AQ394">
        <f t="shared" si="193"/>
        <v>0</v>
      </c>
      <c r="AR394">
        <f t="shared" si="194"/>
        <v>0</v>
      </c>
      <c r="AS394">
        <f t="shared" si="195"/>
        <v>0</v>
      </c>
    </row>
    <row r="395" spans="2:45" x14ac:dyDescent="0.3">
      <c r="B395">
        <v>394</v>
      </c>
      <c r="C395" s="1">
        <v>40937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558</v>
      </c>
      <c r="J395">
        <v>2685</v>
      </c>
      <c r="K395" s="8">
        <v>3243</v>
      </c>
      <c r="L395">
        <v>11.5825</v>
      </c>
      <c r="M395">
        <v>13.636049999999999</v>
      </c>
      <c r="N395">
        <v>31.125</v>
      </c>
      <c r="O395">
        <v>16.083349999999999</v>
      </c>
      <c r="P395">
        <v>0</v>
      </c>
      <c r="Q395">
        <v>0</v>
      </c>
      <c r="R395">
        <f t="shared" si="168"/>
        <v>1</v>
      </c>
      <c r="S395">
        <f t="shared" si="169"/>
        <v>0</v>
      </c>
      <c r="T395">
        <f t="shared" si="170"/>
        <v>0</v>
      </c>
      <c r="U395">
        <f t="shared" si="171"/>
        <v>0</v>
      </c>
      <c r="V395">
        <f t="shared" si="172"/>
        <v>0</v>
      </c>
      <c r="W395">
        <f t="shared" si="173"/>
        <v>0</v>
      </c>
      <c r="X395">
        <f t="shared" si="174"/>
        <v>0</v>
      </c>
      <c r="Y395">
        <f t="shared" si="175"/>
        <v>0</v>
      </c>
      <c r="Z395">
        <f t="shared" si="176"/>
        <v>0</v>
      </c>
      <c r="AA395">
        <f t="shared" si="177"/>
        <v>0</v>
      </c>
      <c r="AB395">
        <f t="shared" si="178"/>
        <v>0</v>
      </c>
      <c r="AC395">
        <f t="shared" si="179"/>
        <v>0</v>
      </c>
      <c r="AD395">
        <f t="shared" si="180"/>
        <v>1</v>
      </c>
      <c r="AE395">
        <f t="shared" si="181"/>
        <v>0</v>
      </c>
      <c r="AF395">
        <f t="shared" si="182"/>
        <v>0</v>
      </c>
      <c r="AG395">
        <f t="shared" si="183"/>
        <v>0</v>
      </c>
      <c r="AH395">
        <f t="shared" si="184"/>
        <v>0</v>
      </c>
      <c r="AI395">
        <f t="shared" si="185"/>
        <v>0</v>
      </c>
      <c r="AJ395">
        <f t="shared" si="186"/>
        <v>0</v>
      </c>
      <c r="AK395">
        <f t="shared" si="187"/>
        <v>1</v>
      </c>
      <c r="AL395">
        <f t="shared" si="188"/>
        <v>0</v>
      </c>
      <c r="AM395">
        <f t="shared" si="189"/>
        <v>0</v>
      </c>
      <c r="AN395">
        <f t="shared" si="190"/>
        <v>0</v>
      </c>
      <c r="AO395">
        <f t="shared" si="191"/>
        <v>1</v>
      </c>
      <c r="AP395">
        <f t="shared" si="192"/>
        <v>1</v>
      </c>
      <c r="AQ395">
        <f t="shared" si="193"/>
        <v>0</v>
      </c>
      <c r="AR395">
        <f t="shared" si="194"/>
        <v>0</v>
      </c>
      <c r="AS395">
        <f t="shared" si="195"/>
        <v>0</v>
      </c>
    </row>
    <row r="396" spans="2:45" x14ac:dyDescent="0.3">
      <c r="B396">
        <v>395</v>
      </c>
      <c r="C396" s="1">
        <v>40938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126</v>
      </c>
      <c r="J396">
        <v>3498</v>
      </c>
      <c r="K396" s="8">
        <v>3624</v>
      </c>
      <c r="L396">
        <v>11.035847</v>
      </c>
      <c r="M396">
        <v>13.13125</v>
      </c>
      <c r="N396">
        <v>40.083300000000001</v>
      </c>
      <c r="O396">
        <v>14.458064</v>
      </c>
      <c r="P396">
        <v>0</v>
      </c>
      <c r="Q396">
        <v>1</v>
      </c>
      <c r="R396">
        <f t="shared" si="168"/>
        <v>1</v>
      </c>
      <c r="S396">
        <f t="shared" si="169"/>
        <v>0</v>
      </c>
      <c r="T396">
        <f t="shared" si="170"/>
        <v>0</v>
      </c>
      <c r="U396">
        <f t="shared" si="171"/>
        <v>0</v>
      </c>
      <c r="V396">
        <f t="shared" si="172"/>
        <v>0</v>
      </c>
      <c r="W396">
        <f t="shared" si="173"/>
        <v>0</v>
      </c>
      <c r="X396">
        <f t="shared" si="174"/>
        <v>0</v>
      </c>
      <c r="Y396">
        <f t="shared" si="175"/>
        <v>0</v>
      </c>
      <c r="Z396">
        <f t="shared" si="176"/>
        <v>0</v>
      </c>
      <c r="AA396">
        <f t="shared" si="177"/>
        <v>0</v>
      </c>
      <c r="AB396">
        <f t="shared" si="178"/>
        <v>0</v>
      </c>
      <c r="AC396">
        <f t="shared" si="179"/>
        <v>0</v>
      </c>
      <c r="AD396">
        <f t="shared" si="180"/>
        <v>0</v>
      </c>
      <c r="AE396">
        <f t="shared" si="181"/>
        <v>1</v>
      </c>
      <c r="AF396">
        <f t="shared" si="182"/>
        <v>0</v>
      </c>
      <c r="AG396">
        <f t="shared" si="183"/>
        <v>0</v>
      </c>
      <c r="AH396">
        <f t="shared" si="184"/>
        <v>0</v>
      </c>
      <c r="AI396">
        <f t="shared" si="185"/>
        <v>0</v>
      </c>
      <c r="AJ396">
        <f t="shared" si="186"/>
        <v>0</v>
      </c>
      <c r="AK396">
        <f t="shared" si="187"/>
        <v>1</v>
      </c>
      <c r="AL396">
        <f t="shared" si="188"/>
        <v>0</v>
      </c>
      <c r="AM396">
        <f t="shared" si="189"/>
        <v>0</v>
      </c>
      <c r="AN396">
        <f t="shared" si="190"/>
        <v>0</v>
      </c>
      <c r="AO396">
        <f t="shared" si="191"/>
        <v>1</v>
      </c>
      <c r="AP396">
        <f t="shared" si="192"/>
        <v>1</v>
      </c>
      <c r="AQ396">
        <f t="shared" si="193"/>
        <v>0</v>
      </c>
      <c r="AR396">
        <f t="shared" si="194"/>
        <v>0</v>
      </c>
      <c r="AS396">
        <f t="shared" si="195"/>
        <v>0</v>
      </c>
    </row>
    <row r="397" spans="2:45" x14ac:dyDescent="0.3">
      <c r="B397">
        <v>396</v>
      </c>
      <c r="C397" s="1">
        <v>40939</v>
      </c>
      <c r="D397">
        <v>1</v>
      </c>
      <c r="E397">
        <v>1</v>
      </c>
      <c r="F397">
        <v>1</v>
      </c>
      <c r="G397">
        <v>2</v>
      </c>
      <c r="H397">
        <v>1</v>
      </c>
      <c r="I397">
        <v>324</v>
      </c>
      <c r="J397">
        <v>4185</v>
      </c>
      <c r="K397" s="8">
        <v>4509</v>
      </c>
      <c r="L397">
        <v>15.99</v>
      </c>
      <c r="M397">
        <v>19.065850000000001</v>
      </c>
      <c r="N397">
        <v>41.666699999999999</v>
      </c>
      <c r="O397">
        <v>17.541739</v>
      </c>
      <c r="P397">
        <v>0</v>
      </c>
      <c r="Q397">
        <v>1</v>
      </c>
      <c r="R397">
        <f t="shared" si="168"/>
        <v>1</v>
      </c>
      <c r="S397">
        <f t="shared" si="169"/>
        <v>0</v>
      </c>
      <c r="T397">
        <f t="shared" si="170"/>
        <v>0</v>
      </c>
      <c r="U397">
        <f t="shared" si="171"/>
        <v>0</v>
      </c>
      <c r="V397">
        <f t="shared" si="172"/>
        <v>0</v>
      </c>
      <c r="W397">
        <f t="shared" si="173"/>
        <v>0</v>
      </c>
      <c r="X397">
        <f t="shared" si="174"/>
        <v>0</v>
      </c>
      <c r="Y397">
        <f t="shared" si="175"/>
        <v>0</v>
      </c>
      <c r="Z397">
        <f t="shared" si="176"/>
        <v>0</v>
      </c>
      <c r="AA397">
        <f t="shared" si="177"/>
        <v>0</v>
      </c>
      <c r="AB397">
        <f t="shared" si="178"/>
        <v>0</v>
      </c>
      <c r="AC397">
        <f t="shared" si="179"/>
        <v>0</v>
      </c>
      <c r="AD397">
        <f t="shared" si="180"/>
        <v>0</v>
      </c>
      <c r="AE397">
        <f t="shared" si="181"/>
        <v>0</v>
      </c>
      <c r="AF397">
        <f t="shared" si="182"/>
        <v>1</v>
      </c>
      <c r="AG397">
        <f t="shared" si="183"/>
        <v>0</v>
      </c>
      <c r="AH397">
        <f t="shared" si="184"/>
        <v>0</v>
      </c>
      <c r="AI397">
        <f t="shared" si="185"/>
        <v>0</v>
      </c>
      <c r="AJ397">
        <f t="shared" si="186"/>
        <v>0</v>
      </c>
      <c r="AK397">
        <f t="shared" si="187"/>
        <v>1</v>
      </c>
      <c r="AL397">
        <f t="shared" si="188"/>
        <v>0</v>
      </c>
      <c r="AM397">
        <f t="shared" si="189"/>
        <v>0</v>
      </c>
      <c r="AN397">
        <f t="shared" si="190"/>
        <v>0</v>
      </c>
      <c r="AO397">
        <f t="shared" si="191"/>
        <v>1</v>
      </c>
      <c r="AP397">
        <f t="shared" si="192"/>
        <v>1</v>
      </c>
      <c r="AQ397">
        <f t="shared" si="193"/>
        <v>0</v>
      </c>
      <c r="AR397">
        <f t="shared" si="194"/>
        <v>0</v>
      </c>
      <c r="AS397">
        <f t="shared" si="195"/>
        <v>0</v>
      </c>
    </row>
    <row r="398" spans="2:45" x14ac:dyDescent="0.3">
      <c r="B398">
        <v>397</v>
      </c>
      <c r="C398" s="1">
        <v>40940</v>
      </c>
      <c r="D398">
        <v>1</v>
      </c>
      <c r="E398">
        <v>1</v>
      </c>
      <c r="F398">
        <v>2</v>
      </c>
      <c r="G398">
        <v>3</v>
      </c>
      <c r="H398">
        <v>1</v>
      </c>
      <c r="I398">
        <v>304</v>
      </c>
      <c r="J398">
        <v>4275</v>
      </c>
      <c r="K398" s="8">
        <v>4579</v>
      </c>
      <c r="L398">
        <v>19.235847</v>
      </c>
      <c r="M398">
        <v>23.326899999999998</v>
      </c>
      <c r="N398">
        <v>50.791699999999999</v>
      </c>
      <c r="O398">
        <v>12.667489</v>
      </c>
      <c r="P398">
        <v>0</v>
      </c>
      <c r="Q398">
        <v>1</v>
      </c>
      <c r="R398">
        <f t="shared" si="168"/>
        <v>0</v>
      </c>
      <c r="S398">
        <f t="shared" si="169"/>
        <v>1</v>
      </c>
      <c r="T398">
        <f t="shared" si="170"/>
        <v>0</v>
      </c>
      <c r="U398">
        <f t="shared" si="171"/>
        <v>0</v>
      </c>
      <c r="V398">
        <f t="shared" si="172"/>
        <v>0</v>
      </c>
      <c r="W398">
        <f t="shared" si="173"/>
        <v>0</v>
      </c>
      <c r="X398">
        <f t="shared" si="174"/>
        <v>0</v>
      </c>
      <c r="Y398">
        <f t="shared" si="175"/>
        <v>0</v>
      </c>
      <c r="Z398">
        <f t="shared" si="176"/>
        <v>0</v>
      </c>
      <c r="AA398">
        <f t="shared" si="177"/>
        <v>0</v>
      </c>
      <c r="AB398">
        <f t="shared" si="178"/>
        <v>0</v>
      </c>
      <c r="AC398">
        <f t="shared" si="179"/>
        <v>0</v>
      </c>
      <c r="AD398">
        <f t="shared" si="180"/>
        <v>0</v>
      </c>
      <c r="AE398">
        <f t="shared" si="181"/>
        <v>0</v>
      </c>
      <c r="AF398">
        <f t="shared" si="182"/>
        <v>0</v>
      </c>
      <c r="AG398">
        <f t="shared" si="183"/>
        <v>1</v>
      </c>
      <c r="AH398">
        <f t="shared" si="184"/>
        <v>0</v>
      </c>
      <c r="AI398">
        <f t="shared" si="185"/>
        <v>0</v>
      </c>
      <c r="AJ398">
        <f t="shared" si="186"/>
        <v>0</v>
      </c>
      <c r="AK398">
        <f t="shared" si="187"/>
        <v>1</v>
      </c>
      <c r="AL398">
        <f t="shared" si="188"/>
        <v>0</v>
      </c>
      <c r="AM398">
        <f t="shared" si="189"/>
        <v>0</v>
      </c>
      <c r="AN398">
        <f t="shared" si="190"/>
        <v>0</v>
      </c>
      <c r="AO398">
        <f t="shared" si="191"/>
        <v>1</v>
      </c>
      <c r="AP398">
        <f t="shared" si="192"/>
        <v>1</v>
      </c>
      <c r="AQ398">
        <f t="shared" si="193"/>
        <v>0</v>
      </c>
      <c r="AR398">
        <f t="shared" si="194"/>
        <v>0</v>
      </c>
      <c r="AS398">
        <f t="shared" si="195"/>
        <v>0</v>
      </c>
    </row>
    <row r="399" spans="2:45" x14ac:dyDescent="0.3">
      <c r="B399">
        <v>398</v>
      </c>
      <c r="C399" s="1">
        <v>40941</v>
      </c>
      <c r="D399">
        <v>1</v>
      </c>
      <c r="E399">
        <v>1</v>
      </c>
      <c r="F399">
        <v>2</v>
      </c>
      <c r="G399">
        <v>4</v>
      </c>
      <c r="H399">
        <v>2</v>
      </c>
      <c r="I399">
        <v>190</v>
      </c>
      <c r="J399">
        <v>3571</v>
      </c>
      <c r="K399" s="8">
        <v>3761</v>
      </c>
      <c r="L399">
        <v>16.365846999999999</v>
      </c>
      <c r="M399">
        <v>19.948550000000001</v>
      </c>
      <c r="N399">
        <v>67.291700000000006</v>
      </c>
      <c r="O399">
        <v>12.541529000000001</v>
      </c>
      <c r="P399">
        <v>0</v>
      </c>
      <c r="Q399">
        <v>1</v>
      </c>
      <c r="R399">
        <f t="shared" si="168"/>
        <v>0</v>
      </c>
      <c r="S399">
        <f t="shared" si="169"/>
        <v>1</v>
      </c>
      <c r="T399">
        <f t="shared" si="170"/>
        <v>0</v>
      </c>
      <c r="U399">
        <f t="shared" si="171"/>
        <v>0</v>
      </c>
      <c r="V399">
        <f t="shared" si="172"/>
        <v>0</v>
      </c>
      <c r="W399">
        <f t="shared" si="173"/>
        <v>0</v>
      </c>
      <c r="X399">
        <f t="shared" si="174"/>
        <v>0</v>
      </c>
      <c r="Y399">
        <f t="shared" si="175"/>
        <v>0</v>
      </c>
      <c r="Z399">
        <f t="shared" si="176"/>
        <v>0</v>
      </c>
      <c r="AA399">
        <f t="shared" si="177"/>
        <v>0</v>
      </c>
      <c r="AB399">
        <f t="shared" si="178"/>
        <v>0</v>
      </c>
      <c r="AC399">
        <f t="shared" si="179"/>
        <v>0</v>
      </c>
      <c r="AD399">
        <f t="shared" si="180"/>
        <v>0</v>
      </c>
      <c r="AE399">
        <f t="shared" si="181"/>
        <v>0</v>
      </c>
      <c r="AF399">
        <f t="shared" si="182"/>
        <v>0</v>
      </c>
      <c r="AG399">
        <f t="shared" si="183"/>
        <v>0</v>
      </c>
      <c r="AH399">
        <f t="shared" si="184"/>
        <v>1</v>
      </c>
      <c r="AI399">
        <f t="shared" si="185"/>
        <v>0</v>
      </c>
      <c r="AJ399">
        <f t="shared" si="186"/>
        <v>0</v>
      </c>
      <c r="AK399">
        <f t="shared" si="187"/>
        <v>0</v>
      </c>
      <c r="AL399">
        <f t="shared" si="188"/>
        <v>1</v>
      </c>
      <c r="AM399">
        <f t="shared" si="189"/>
        <v>0</v>
      </c>
      <c r="AN399">
        <f t="shared" si="190"/>
        <v>0</v>
      </c>
      <c r="AO399">
        <f t="shared" si="191"/>
        <v>1</v>
      </c>
      <c r="AP399">
        <f t="shared" si="192"/>
        <v>1</v>
      </c>
      <c r="AQ399">
        <f t="shared" si="193"/>
        <v>0</v>
      </c>
      <c r="AR399">
        <f t="shared" si="194"/>
        <v>0</v>
      </c>
      <c r="AS399">
        <f t="shared" si="195"/>
        <v>0</v>
      </c>
    </row>
    <row r="400" spans="2:45" x14ac:dyDescent="0.3">
      <c r="B400">
        <v>399</v>
      </c>
      <c r="C400" s="1">
        <v>40942</v>
      </c>
      <c r="D400">
        <v>1</v>
      </c>
      <c r="E400">
        <v>1</v>
      </c>
      <c r="F400">
        <v>2</v>
      </c>
      <c r="G400">
        <v>5</v>
      </c>
      <c r="H400">
        <v>1</v>
      </c>
      <c r="I400">
        <v>310</v>
      </c>
      <c r="J400">
        <v>3841</v>
      </c>
      <c r="K400" s="8">
        <v>4151</v>
      </c>
      <c r="L400">
        <v>12.846653</v>
      </c>
      <c r="M400">
        <v>15.4673</v>
      </c>
      <c r="N400">
        <v>52.666699999999999</v>
      </c>
      <c r="O400">
        <v>11.959232</v>
      </c>
      <c r="P400">
        <v>0</v>
      </c>
      <c r="Q400">
        <v>1</v>
      </c>
      <c r="R400">
        <f t="shared" si="168"/>
        <v>0</v>
      </c>
      <c r="S400">
        <f t="shared" si="169"/>
        <v>1</v>
      </c>
      <c r="T400">
        <f t="shared" si="170"/>
        <v>0</v>
      </c>
      <c r="U400">
        <f t="shared" si="171"/>
        <v>0</v>
      </c>
      <c r="V400">
        <f t="shared" si="172"/>
        <v>0</v>
      </c>
      <c r="W400">
        <f t="shared" si="173"/>
        <v>0</v>
      </c>
      <c r="X400">
        <f t="shared" si="174"/>
        <v>0</v>
      </c>
      <c r="Y400">
        <f t="shared" si="175"/>
        <v>0</v>
      </c>
      <c r="Z400">
        <f t="shared" si="176"/>
        <v>0</v>
      </c>
      <c r="AA400">
        <f t="shared" si="177"/>
        <v>0</v>
      </c>
      <c r="AB400">
        <f t="shared" si="178"/>
        <v>0</v>
      </c>
      <c r="AC400">
        <f t="shared" si="179"/>
        <v>0</v>
      </c>
      <c r="AD400">
        <f t="shared" si="180"/>
        <v>0</v>
      </c>
      <c r="AE400">
        <f t="shared" si="181"/>
        <v>0</v>
      </c>
      <c r="AF400">
        <f t="shared" si="182"/>
        <v>0</v>
      </c>
      <c r="AG400">
        <f t="shared" si="183"/>
        <v>0</v>
      </c>
      <c r="AH400">
        <f t="shared" si="184"/>
        <v>0</v>
      </c>
      <c r="AI400">
        <f t="shared" si="185"/>
        <v>1</v>
      </c>
      <c r="AJ400">
        <f t="shared" si="186"/>
        <v>0</v>
      </c>
      <c r="AK400">
        <f t="shared" si="187"/>
        <v>1</v>
      </c>
      <c r="AL400">
        <f t="shared" si="188"/>
        <v>0</v>
      </c>
      <c r="AM400">
        <f t="shared" si="189"/>
        <v>0</v>
      </c>
      <c r="AN400">
        <f t="shared" si="190"/>
        <v>0</v>
      </c>
      <c r="AO400">
        <f t="shared" si="191"/>
        <v>1</v>
      </c>
      <c r="AP400">
        <f t="shared" si="192"/>
        <v>1</v>
      </c>
      <c r="AQ400">
        <f t="shared" si="193"/>
        <v>0</v>
      </c>
      <c r="AR400">
        <f t="shared" si="194"/>
        <v>0</v>
      </c>
      <c r="AS400">
        <f t="shared" si="195"/>
        <v>0</v>
      </c>
    </row>
    <row r="401" spans="2:45" x14ac:dyDescent="0.3">
      <c r="B401">
        <v>400</v>
      </c>
      <c r="C401" s="1">
        <v>40943</v>
      </c>
      <c r="D401">
        <v>1</v>
      </c>
      <c r="E401">
        <v>1</v>
      </c>
      <c r="F401">
        <v>2</v>
      </c>
      <c r="G401">
        <v>6</v>
      </c>
      <c r="H401">
        <v>2</v>
      </c>
      <c r="I401">
        <v>384</v>
      </c>
      <c r="J401">
        <v>2448</v>
      </c>
      <c r="K401" s="8">
        <v>2832</v>
      </c>
      <c r="L401">
        <v>10.830847</v>
      </c>
      <c r="M401">
        <v>13.63625</v>
      </c>
      <c r="N401">
        <v>77.958299999999994</v>
      </c>
      <c r="O401">
        <v>8.1670320000000007</v>
      </c>
      <c r="P401">
        <v>0</v>
      </c>
      <c r="Q401">
        <v>0</v>
      </c>
      <c r="R401">
        <f t="shared" si="168"/>
        <v>0</v>
      </c>
      <c r="S401">
        <f t="shared" si="169"/>
        <v>1</v>
      </c>
      <c r="T401">
        <f t="shared" si="170"/>
        <v>0</v>
      </c>
      <c r="U401">
        <f t="shared" si="171"/>
        <v>0</v>
      </c>
      <c r="V401">
        <f t="shared" si="172"/>
        <v>0</v>
      </c>
      <c r="W401">
        <f t="shared" si="173"/>
        <v>0</v>
      </c>
      <c r="X401">
        <f t="shared" si="174"/>
        <v>0</v>
      </c>
      <c r="Y401">
        <f t="shared" si="175"/>
        <v>0</v>
      </c>
      <c r="Z401">
        <f t="shared" si="176"/>
        <v>0</v>
      </c>
      <c r="AA401">
        <f t="shared" si="177"/>
        <v>0</v>
      </c>
      <c r="AB401">
        <f t="shared" si="178"/>
        <v>0</v>
      </c>
      <c r="AC401">
        <f t="shared" si="179"/>
        <v>0</v>
      </c>
      <c r="AD401">
        <f t="shared" si="180"/>
        <v>0</v>
      </c>
      <c r="AE401">
        <f t="shared" si="181"/>
        <v>0</v>
      </c>
      <c r="AF401">
        <f t="shared" si="182"/>
        <v>0</v>
      </c>
      <c r="AG401">
        <f t="shared" si="183"/>
        <v>0</v>
      </c>
      <c r="AH401">
        <f t="shared" si="184"/>
        <v>0</v>
      </c>
      <c r="AI401">
        <f t="shared" si="185"/>
        <v>0</v>
      </c>
      <c r="AJ401">
        <f t="shared" si="186"/>
        <v>1</v>
      </c>
      <c r="AK401">
        <f t="shared" si="187"/>
        <v>0</v>
      </c>
      <c r="AL401">
        <f t="shared" si="188"/>
        <v>1</v>
      </c>
      <c r="AM401">
        <f t="shared" si="189"/>
        <v>0</v>
      </c>
      <c r="AN401">
        <f t="shared" si="190"/>
        <v>0</v>
      </c>
      <c r="AO401">
        <f t="shared" si="191"/>
        <v>1</v>
      </c>
      <c r="AP401">
        <f t="shared" si="192"/>
        <v>1</v>
      </c>
      <c r="AQ401">
        <f t="shared" si="193"/>
        <v>0</v>
      </c>
      <c r="AR401">
        <f t="shared" si="194"/>
        <v>0</v>
      </c>
      <c r="AS401">
        <f t="shared" si="195"/>
        <v>0</v>
      </c>
    </row>
    <row r="402" spans="2:45" x14ac:dyDescent="0.3">
      <c r="B402">
        <v>401</v>
      </c>
      <c r="C402" s="1">
        <v>40944</v>
      </c>
      <c r="D402">
        <v>1</v>
      </c>
      <c r="E402">
        <v>1</v>
      </c>
      <c r="F402">
        <v>2</v>
      </c>
      <c r="G402">
        <v>0</v>
      </c>
      <c r="H402">
        <v>2</v>
      </c>
      <c r="I402">
        <v>318</v>
      </c>
      <c r="J402">
        <v>2629</v>
      </c>
      <c r="K402" s="8">
        <v>2947</v>
      </c>
      <c r="L402">
        <v>10.899153</v>
      </c>
      <c r="M402">
        <v>13.226050000000001</v>
      </c>
      <c r="N402">
        <v>68.791700000000006</v>
      </c>
      <c r="O402">
        <v>11.791732</v>
      </c>
      <c r="P402">
        <v>0</v>
      </c>
      <c r="Q402">
        <v>0</v>
      </c>
      <c r="R402">
        <f t="shared" si="168"/>
        <v>0</v>
      </c>
      <c r="S402">
        <f t="shared" si="169"/>
        <v>1</v>
      </c>
      <c r="T402">
        <f t="shared" si="170"/>
        <v>0</v>
      </c>
      <c r="U402">
        <f t="shared" si="171"/>
        <v>0</v>
      </c>
      <c r="V402">
        <f t="shared" si="172"/>
        <v>0</v>
      </c>
      <c r="W402">
        <f t="shared" si="173"/>
        <v>0</v>
      </c>
      <c r="X402">
        <f t="shared" si="174"/>
        <v>0</v>
      </c>
      <c r="Y402">
        <f t="shared" si="175"/>
        <v>0</v>
      </c>
      <c r="Z402">
        <f t="shared" si="176"/>
        <v>0</v>
      </c>
      <c r="AA402">
        <f t="shared" si="177"/>
        <v>0</v>
      </c>
      <c r="AB402">
        <f t="shared" si="178"/>
        <v>0</v>
      </c>
      <c r="AC402">
        <f t="shared" si="179"/>
        <v>0</v>
      </c>
      <c r="AD402">
        <f t="shared" si="180"/>
        <v>1</v>
      </c>
      <c r="AE402">
        <f t="shared" si="181"/>
        <v>0</v>
      </c>
      <c r="AF402">
        <f t="shared" si="182"/>
        <v>0</v>
      </c>
      <c r="AG402">
        <f t="shared" si="183"/>
        <v>0</v>
      </c>
      <c r="AH402">
        <f t="shared" si="184"/>
        <v>0</v>
      </c>
      <c r="AI402">
        <f t="shared" si="185"/>
        <v>0</v>
      </c>
      <c r="AJ402">
        <f t="shared" si="186"/>
        <v>0</v>
      </c>
      <c r="AK402">
        <f t="shared" si="187"/>
        <v>0</v>
      </c>
      <c r="AL402">
        <f t="shared" si="188"/>
        <v>1</v>
      </c>
      <c r="AM402">
        <f t="shared" si="189"/>
        <v>0</v>
      </c>
      <c r="AN402">
        <f t="shared" si="190"/>
        <v>0</v>
      </c>
      <c r="AO402">
        <f t="shared" si="191"/>
        <v>1</v>
      </c>
      <c r="AP402">
        <f t="shared" si="192"/>
        <v>1</v>
      </c>
      <c r="AQ402">
        <f t="shared" si="193"/>
        <v>0</v>
      </c>
      <c r="AR402">
        <f t="shared" si="194"/>
        <v>0</v>
      </c>
      <c r="AS402">
        <f t="shared" si="195"/>
        <v>0</v>
      </c>
    </row>
    <row r="403" spans="2:45" x14ac:dyDescent="0.3">
      <c r="B403">
        <v>402</v>
      </c>
      <c r="C403" s="1">
        <v>40945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206</v>
      </c>
      <c r="J403">
        <v>3578</v>
      </c>
      <c r="K403" s="8">
        <v>3784</v>
      </c>
      <c r="L403">
        <v>11.586969</v>
      </c>
      <c r="M403">
        <v>14.821300000000001</v>
      </c>
      <c r="N403">
        <v>62.217399999999998</v>
      </c>
      <c r="O403">
        <v>10.304600000000001</v>
      </c>
      <c r="P403">
        <v>0</v>
      </c>
      <c r="Q403">
        <v>1</v>
      </c>
      <c r="R403">
        <f t="shared" si="168"/>
        <v>0</v>
      </c>
      <c r="S403">
        <f t="shared" si="169"/>
        <v>1</v>
      </c>
      <c r="T403">
        <f t="shared" si="170"/>
        <v>0</v>
      </c>
      <c r="U403">
        <f t="shared" si="171"/>
        <v>0</v>
      </c>
      <c r="V403">
        <f t="shared" si="172"/>
        <v>0</v>
      </c>
      <c r="W403">
        <f t="shared" si="173"/>
        <v>0</v>
      </c>
      <c r="X403">
        <f t="shared" si="174"/>
        <v>0</v>
      </c>
      <c r="Y403">
        <f t="shared" si="175"/>
        <v>0</v>
      </c>
      <c r="Z403">
        <f t="shared" si="176"/>
        <v>0</v>
      </c>
      <c r="AA403">
        <f t="shared" si="177"/>
        <v>0</v>
      </c>
      <c r="AB403">
        <f t="shared" si="178"/>
        <v>0</v>
      </c>
      <c r="AC403">
        <f t="shared" si="179"/>
        <v>0</v>
      </c>
      <c r="AD403">
        <f t="shared" si="180"/>
        <v>0</v>
      </c>
      <c r="AE403">
        <f t="shared" si="181"/>
        <v>1</v>
      </c>
      <c r="AF403">
        <f t="shared" si="182"/>
        <v>0</v>
      </c>
      <c r="AG403">
        <f t="shared" si="183"/>
        <v>0</v>
      </c>
      <c r="AH403">
        <f t="shared" si="184"/>
        <v>0</v>
      </c>
      <c r="AI403">
        <f t="shared" si="185"/>
        <v>0</v>
      </c>
      <c r="AJ403">
        <f t="shared" si="186"/>
        <v>0</v>
      </c>
      <c r="AK403">
        <f t="shared" si="187"/>
        <v>1</v>
      </c>
      <c r="AL403">
        <f t="shared" si="188"/>
        <v>0</v>
      </c>
      <c r="AM403">
        <f t="shared" si="189"/>
        <v>0</v>
      </c>
      <c r="AN403">
        <f t="shared" si="190"/>
        <v>0</v>
      </c>
      <c r="AO403">
        <f t="shared" si="191"/>
        <v>1</v>
      </c>
      <c r="AP403">
        <f t="shared" si="192"/>
        <v>1</v>
      </c>
      <c r="AQ403">
        <f t="shared" si="193"/>
        <v>0</v>
      </c>
      <c r="AR403">
        <f t="shared" si="194"/>
        <v>0</v>
      </c>
      <c r="AS403">
        <f t="shared" si="195"/>
        <v>0</v>
      </c>
    </row>
    <row r="404" spans="2:45" x14ac:dyDescent="0.3">
      <c r="B404">
        <v>403</v>
      </c>
      <c r="C404" s="1">
        <v>40946</v>
      </c>
      <c r="D404">
        <v>1</v>
      </c>
      <c r="E404">
        <v>1</v>
      </c>
      <c r="F404">
        <v>2</v>
      </c>
      <c r="G404">
        <v>2</v>
      </c>
      <c r="H404">
        <v>1</v>
      </c>
      <c r="I404">
        <v>199</v>
      </c>
      <c r="J404">
        <v>4176</v>
      </c>
      <c r="K404" s="8">
        <v>4375</v>
      </c>
      <c r="L404">
        <v>14.520847</v>
      </c>
      <c r="M404">
        <v>18.055199999999999</v>
      </c>
      <c r="N404">
        <v>49.625</v>
      </c>
      <c r="O404">
        <v>9.8743929999999995</v>
      </c>
      <c r="P404">
        <v>0</v>
      </c>
      <c r="Q404">
        <v>1</v>
      </c>
      <c r="R404">
        <f t="shared" si="168"/>
        <v>0</v>
      </c>
      <c r="S404">
        <f t="shared" si="169"/>
        <v>1</v>
      </c>
      <c r="T404">
        <f t="shared" si="170"/>
        <v>0</v>
      </c>
      <c r="U404">
        <f t="shared" si="171"/>
        <v>0</v>
      </c>
      <c r="V404">
        <f t="shared" si="172"/>
        <v>0</v>
      </c>
      <c r="W404">
        <f t="shared" si="173"/>
        <v>0</v>
      </c>
      <c r="X404">
        <f t="shared" si="174"/>
        <v>0</v>
      </c>
      <c r="Y404">
        <f t="shared" si="175"/>
        <v>0</v>
      </c>
      <c r="Z404">
        <f t="shared" si="176"/>
        <v>0</v>
      </c>
      <c r="AA404">
        <f t="shared" si="177"/>
        <v>0</v>
      </c>
      <c r="AB404">
        <f t="shared" si="178"/>
        <v>0</v>
      </c>
      <c r="AC404">
        <f t="shared" si="179"/>
        <v>0</v>
      </c>
      <c r="AD404">
        <f t="shared" si="180"/>
        <v>0</v>
      </c>
      <c r="AE404">
        <f t="shared" si="181"/>
        <v>0</v>
      </c>
      <c r="AF404">
        <f t="shared" si="182"/>
        <v>1</v>
      </c>
      <c r="AG404">
        <f t="shared" si="183"/>
        <v>0</v>
      </c>
      <c r="AH404">
        <f t="shared" si="184"/>
        <v>0</v>
      </c>
      <c r="AI404">
        <f t="shared" si="185"/>
        <v>0</v>
      </c>
      <c r="AJ404">
        <f t="shared" si="186"/>
        <v>0</v>
      </c>
      <c r="AK404">
        <f t="shared" si="187"/>
        <v>1</v>
      </c>
      <c r="AL404">
        <f t="shared" si="188"/>
        <v>0</v>
      </c>
      <c r="AM404">
        <f t="shared" si="189"/>
        <v>0</v>
      </c>
      <c r="AN404">
        <f t="shared" si="190"/>
        <v>0</v>
      </c>
      <c r="AO404">
        <f t="shared" si="191"/>
        <v>1</v>
      </c>
      <c r="AP404">
        <f t="shared" si="192"/>
        <v>1</v>
      </c>
      <c r="AQ404">
        <f t="shared" si="193"/>
        <v>0</v>
      </c>
      <c r="AR404">
        <f t="shared" si="194"/>
        <v>0</v>
      </c>
      <c r="AS404">
        <f t="shared" si="195"/>
        <v>0</v>
      </c>
    </row>
    <row r="405" spans="2:45" x14ac:dyDescent="0.3">
      <c r="B405">
        <v>404</v>
      </c>
      <c r="C405" s="1">
        <v>40947</v>
      </c>
      <c r="D405">
        <v>1</v>
      </c>
      <c r="E405">
        <v>1</v>
      </c>
      <c r="F405">
        <v>2</v>
      </c>
      <c r="G405">
        <v>3</v>
      </c>
      <c r="H405">
        <v>2</v>
      </c>
      <c r="I405">
        <v>109</v>
      </c>
      <c r="J405">
        <v>2693</v>
      </c>
      <c r="K405" s="8">
        <v>2802</v>
      </c>
      <c r="L405">
        <v>10.523346999999999</v>
      </c>
      <c r="M405">
        <v>13.32105</v>
      </c>
      <c r="N405">
        <v>72.291700000000006</v>
      </c>
      <c r="O405">
        <v>8.9593070000000008</v>
      </c>
      <c r="P405">
        <v>0</v>
      </c>
      <c r="Q405">
        <v>1</v>
      </c>
      <c r="R405">
        <f t="shared" si="168"/>
        <v>0</v>
      </c>
      <c r="S405">
        <f t="shared" si="169"/>
        <v>1</v>
      </c>
      <c r="T405">
        <f t="shared" si="170"/>
        <v>0</v>
      </c>
      <c r="U405">
        <f t="shared" si="171"/>
        <v>0</v>
      </c>
      <c r="V405">
        <f t="shared" si="172"/>
        <v>0</v>
      </c>
      <c r="W405">
        <f t="shared" si="173"/>
        <v>0</v>
      </c>
      <c r="X405">
        <f t="shared" si="174"/>
        <v>0</v>
      </c>
      <c r="Y405">
        <f t="shared" si="175"/>
        <v>0</v>
      </c>
      <c r="Z405">
        <f t="shared" si="176"/>
        <v>0</v>
      </c>
      <c r="AA405">
        <f t="shared" si="177"/>
        <v>0</v>
      </c>
      <c r="AB405">
        <f t="shared" si="178"/>
        <v>0</v>
      </c>
      <c r="AC405">
        <f t="shared" si="179"/>
        <v>0</v>
      </c>
      <c r="AD405">
        <f t="shared" si="180"/>
        <v>0</v>
      </c>
      <c r="AE405">
        <f t="shared" si="181"/>
        <v>0</v>
      </c>
      <c r="AF405">
        <f t="shared" si="182"/>
        <v>0</v>
      </c>
      <c r="AG405">
        <f t="shared" si="183"/>
        <v>1</v>
      </c>
      <c r="AH405">
        <f t="shared" si="184"/>
        <v>0</v>
      </c>
      <c r="AI405">
        <f t="shared" si="185"/>
        <v>0</v>
      </c>
      <c r="AJ405">
        <f t="shared" si="186"/>
        <v>0</v>
      </c>
      <c r="AK405">
        <f t="shared" si="187"/>
        <v>0</v>
      </c>
      <c r="AL405">
        <f t="shared" si="188"/>
        <v>1</v>
      </c>
      <c r="AM405">
        <f t="shared" si="189"/>
        <v>0</v>
      </c>
      <c r="AN405">
        <f t="shared" si="190"/>
        <v>0</v>
      </c>
      <c r="AO405">
        <f t="shared" si="191"/>
        <v>1</v>
      </c>
      <c r="AP405">
        <f t="shared" si="192"/>
        <v>1</v>
      </c>
      <c r="AQ405">
        <f t="shared" si="193"/>
        <v>0</v>
      </c>
      <c r="AR405">
        <f t="shared" si="194"/>
        <v>0</v>
      </c>
      <c r="AS405">
        <f t="shared" si="195"/>
        <v>0</v>
      </c>
    </row>
    <row r="406" spans="2:45" x14ac:dyDescent="0.3">
      <c r="B406">
        <v>405</v>
      </c>
      <c r="C406" s="1">
        <v>40948</v>
      </c>
      <c r="D406">
        <v>1</v>
      </c>
      <c r="E406">
        <v>1</v>
      </c>
      <c r="F406">
        <v>2</v>
      </c>
      <c r="G406">
        <v>4</v>
      </c>
      <c r="H406">
        <v>1</v>
      </c>
      <c r="I406">
        <v>163</v>
      </c>
      <c r="J406">
        <v>3667</v>
      </c>
      <c r="K406" s="8">
        <v>3830</v>
      </c>
      <c r="L406">
        <v>10.865</v>
      </c>
      <c r="M406">
        <v>13.099399999999999</v>
      </c>
      <c r="N406">
        <v>56.208300000000001</v>
      </c>
      <c r="O406">
        <v>13.000479</v>
      </c>
      <c r="P406">
        <v>0</v>
      </c>
      <c r="Q406">
        <v>1</v>
      </c>
      <c r="R406">
        <f t="shared" si="168"/>
        <v>0</v>
      </c>
      <c r="S406">
        <f t="shared" si="169"/>
        <v>1</v>
      </c>
      <c r="T406">
        <f t="shared" si="170"/>
        <v>0</v>
      </c>
      <c r="U406">
        <f t="shared" si="171"/>
        <v>0</v>
      </c>
      <c r="V406">
        <f t="shared" si="172"/>
        <v>0</v>
      </c>
      <c r="W406">
        <f t="shared" si="173"/>
        <v>0</v>
      </c>
      <c r="X406">
        <f t="shared" si="174"/>
        <v>0</v>
      </c>
      <c r="Y406">
        <f t="shared" si="175"/>
        <v>0</v>
      </c>
      <c r="Z406">
        <f t="shared" si="176"/>
        <v>0</v>
      </c>
      <c r="AA406">
        <f t="shared" si="177"/>
        <v>0</v>
      </c>
      <c r="AB406">
        <f t="shared" si="178"/>
        <v>0</v>
      </c>
      <c r="AC406">
        <f t="shared" si="179"/>
        <v>0</v>
      </c>
      <c r="AD406">
        <f t="shared" si="180"/>
        <v>0</v>
      </c>
      <c r="AE406">
        <f t="shared" si="181"/>
        <v>0</v>
      </c>
      <c r="AF406">
        <f t="shared" si="182"/>
        <v>0</v>
      </c>
      <c r="AG406">
        <f t="shared" si="183"/>
        <v>0</v>
      </c>
      <c r="AH406">
        <f t="shared" si="184"/>
        <v>1</v>
      </c>
      <c r="AI406">
        <f t="shared" si="185"/>
        <v>0</v>
      </c>
      <c r="AJ406">
        <f t="shared" si="186"/>
        <v>0</v>
      </c>
      <c r="AK406">
        <f t="shared" si="187"/>
        <v>1</v>
      </c>
      <c r="AL406">
        <f t="shared" si="188"/>
        <v>0</v>
      </c>
      <c r="AM406">
        <f t="shared" si="189"/>
        <v>0</v>
      </c>
      <c r="AN406">
        <f t="shared" si="190"/>
        <v>0</v>
      </c>
      <c r="AO406">
        <f t="shared" si="191"/>
        <v>1</v>
      </c>
      <c r="AP406">
        <f t="shared" si="192"/>
        <v>1</v>
      </c>
      <c r="AQ406">
        <f t="shared" si="193"/>
        <v>0</v>
      </c>
      <c r="AR406">
        <f t="shared" si="194"/>
        <v>0</v>
      </c>
      <c r="AS406">
        <f t="shared" si="195"/>
        <v>0</v>
      </c>
    </row>
    <row r="407" spans="2:45" x14ac:dyDescent="0.3">
      <c r="B407">
        <v>406</v>
      </c>
      <c r="C407" s="1">
        <v>40949</v>
      </c>
      <c r="D407">
        <v>1</v>
      </c>
      <c r="E407">
        <v>1</v>
      </c>
      <c r="F407">
        <v>2</v>
      </c>
      <c r="G407">
        <v>5</v>
      </c>
      <c r="H407">
        <v>2</v>
      </c>
      <c r="I407">
        <v>227</v>
      </c>
      <c r="J407">
        <v>3604</v>
      </c>
      <c r="K407" s="8">
        <v>3831</v>
      </c>
      <c r="L407">
        <v>11.514153</v>
      </c>
      <c r="M407">
        <v>14.677899999999999</v>
      </c>
      <c r="N407">
        <v>54</v>
      </c>
      <c r="O407">
        <v>7.8342429999999998</v>
      </c>
      <c r="P407">
        <v>0</v>
      </c>
      <c r="Q407">
        <v>1</v>
      </c>
      <c r="R407">
        <f t="shared" si="168"/>
        <v>0</v>
      </c>
      <c r="S407">
        <f t="shared" si="169"/>
        <v>1</v>
      </c>
      <c r="T407">
        <f t="shared" si="170"/>
        <v>0</v>
      </c>
      <c r="U407">
        <f t="shared" si="171"/>
        <v>0</v>
      </c>
      <c r="V407">
        <f t="shared" si="172"/>
        <v>0</v>
      </c>
      <c r="W407">
        <f t="shared" si="173"/>
        <v>0</v>
      </c>
      <c r="X407">
        <f t="shared" si="174"/>
        <v>0</v>
      </c>
      <c r="Y407">
        <f t="shared" si="175"/>
        <v>0</v>
      </c>
      <c r="Z407">
        <f t="shared" si="176"/>
        <v>0</v>
      </c>
      <c r="AA407">
        <f t="shared" si="177"/>
        <v>0</v>
      </c>
      <c r="AB407">
        <f t="shared" si="178"/>
        <v>0</v>
      </c>
      <c r="AC407">
        <f t="shared" si="179"/>
        <v>0</v>
      </c>
      <c r="AD407">
        <f t="shared" si="180"/>
        <v>0</v>
      </c>
      <c r="AE407">
        <f t="shared" si="181"/>
        <v>0</v>
      </c>
      <c r="AF407">
        <f t="shared" si="182"/>
        <v>0</v>
      </c>
      <c r="AG407">
        <f t="shared" si="183"/>
        <v>0</v>
      </c>
      <c r="AH407">
        <f t="shared" si="184"/>
        <v>0</v>
      </c>
      <c r="AI407">
        <f t="shared" si="185"/>
        <v>1</v>
      </c>
      <c r="AJ407">
        <f t="shared" si="186"/>
        <v>0</v>
      </c>
      <c r="AK407">
        <f t="shared" si="187"/>
        <v>0</v>
      </c>
      <c r="AL407">
        <f t="shared" si="188"/>
        <v>1</v>
      </c>
      <c r="AM407">
        <f t="shared" si="189"/>
        <v>0</v>
      </c>
      <c r="AN407">
        <f t="shared" si="190"/>
        <v>0</v>
      </c>
      <c r="AO407">
        <f t="shared" si="191"/>
        <v>1</v>
      </c>
      <c r="AP407">
        <f t="shared" si="192"/>
        <v>1</v>
      </c>
      <c r="AQ407">
        <f t="shared" si="193"/>
        <v>0</v>
      </c>
      <c r="AR407">
        <f t="shared" si="194"/>
        <v>0</v>
      </c>
      <c r="AS407">
        <f t="shared" si="195"/>
        <v>0</v>
      </c>
    </row>
    <row r="408" spans="2:45" x14ac:dyDescent="0.3">
      <c r="B408">
        <v>407</v>
      </c>
      <c r="C408" s="1">
        <v>40950</v>
      </c>
      <c r="D408">
        <v>1</v>
      </c>
      <c r="E408">
        <v>1</v>
      </c>
      <c r="F408">
        <v>2</v>
      </c>
      <c r="G408">
        <v>6</v>
      </c>
      <c r="H408">
        <v>3</v>
      </c>
      <c r="I408">
        <v>192</v>
      </c>
      <c r="J408">
        <v>1977</v>
      </c>
      <c r="K408" s="8">
        <v>2169</v>
      </c>
      <c r="L408">
        <v>9.1908469999999998</v>
      </c>
      <c r="M408">
        <v>10.54335</v>
      </c>
      <c r="N408">
        <v>73.125</v>
      </c>
      <c r="O408">
        <v>19.416332000000001</v>
      </c>
      <c r="P408">
        <v>0</v>
      </c>
      <c r="Q408">
        <v>0</v>
      </c>
      <c r="R408">
        <f t="shared" si="168"/>
        <v>0</v>
      </c>
      <c r="S408">
        <f t="shared" si="169"/>
        <v>1</v>
      </c>
      <c r="T408">
        <f t="shared" si="170"/>
        <v>0</v>
      </c>
      <c r="U408">
        <f t="shared" si="171"/>
        <v>0</v>
      </c>
      <c r="V408">
        <f t="shared" si="172"/>
        <v>0</v>
      </c>
      <c r="W408">
        <f t="shared" si="173"/>
        <v>0</v>
      </c>
      <c r="X408">
        <f t="shared" si="174"/>
        <v>0</v>
      </c>
      <c r="Y408">
        <f t="shared" si="175"/>
        <v>0</v>
      </c>
      <c r="Z408">
        <f t="shared" si="176"/>
        <v>0</v>
      </c>
      <c r="AA408">
        <f t="shared" si="177"/>
        <v>0</v>
      </c>
      <c r="AB408">
        <f t="shared" si="178"/>
        <v>0</v>
      </c>
      <c r="AC408">
        <f t="shared" si="179"/>
        <v>0</v>
      </c>
      <c r="AD408">
        <f t="shared" si="180"/>
        <v>0</v>
      </c>
      <c r="AE408">
        <f t="shared" si="181"/>
        <v>0</v>
      </c>
      <c r="AF408">
        <f t="shared" si="182"/>
        <v>0</v>
      </c>
      <c r="AG408">
        <f t="shared" si="183"/>
        <v>0</v>
      </c>
      <c r="AH408">
        <f t="shared" si="184"/>
        <v>0</v>
      </c>
      <c r="AI408">
        <f t="shared" si="185"/>
        <v>0</v>
      </c>
      <c r="AJ408">
        <f t="shared" si="186"/>
        <v>1</v>
      </c>
      <c r="AK408">
        <f t="shared" si="187"/>
        <v>0</v>
      </c>
      <c r="AL408">
        <f t="shared" si="188"/>
        <v>0</v>
      </c>
      <c r="AM408">
        <f t="shared" si="189"/>
        <v>1</v>
      </c>
      <c r="AN408">
        <f t="shared" si="190"/>
        <v>0</v>
      </c>
      <c r="AO408">
        <f t="shared" si="191"/>
        <v>1</v>
      </c>
      <c r="AP408">
        <f t="shared" si="192"/>
        <v>1</v>
      </c>
      <c r="AQ408">
        <f t="shared" si="193"/>
        <v>0</v>
      </c>
      <c r="AR408">
        <f t="shared" si="194"/>
        <v>0</v>
      </c>
      <c r="AS408">
        <f t="shared" si="195"/>
        <v>0</v>
      </c>
    </row>
    <row r="409" spans="2:45" x14ac:dyDescent="0.3">
      <c r="B409">
        <v>408</v>
      </c>
      <c r="C409" s="1">
        <v>40951</v>
      </c>
      <c r="D409">
        <v>1</v>
      </c>
      <c r="E409">
        <v>1</v>
      </c>
      <c r="F409">
        <v>2</v>
      </c>
      <c r="G409">
        <v>0</v>
      </c>
      <c r="H409">
        <v>1</v>
      </c>
      <c r="I409">
        <v>73</v>
      </c>
      <c r="J409">
        <v>1456</v>
      </c>
      <c r="K409" s="8">
        <v>1529</v>
      </c>
      <c r="L409">
        <v>5.2275</v>
      </c>
      <c r="M409">
        <v>5.0829000000000004</v>
      </c>
      <c r="N409">
        <v>46.458300000000001</v>
      </c>
      <c r="O409">
        <v>27.417204000000002</v>
      </c>
      <c r="P409">
        <v>0</v>
      </c>
      <c r="Q409">
        <v>0</v>
      </c>
      <c r="R409">
        <f t="shared" si="168"/>
        <v>0</v>
      </c>
      <c r="S409">
        <f t="shared" si="169"/>
        <v>1</v>
      </c>
      <c r="T409">
        <f t="shared" si="170"/>
        <v>0</v>
      </c>
      <c r="U409">
        <f t="shared" si="171"/>
        <v>0</v>
      </c>
      <c r="V409">
        <f t="shared" si="172"/>
        <v>0</v>
      </c>
      <c r="W409">
        <f t="shared" si="173"/>
        <v>0</v>
      </c>
      <c r="X409">
        <f t="shared" si="174"/>
        <v>0</v>
      </c>
      <c r="Y409">
        <f t="shared" si="175"/>
        <v>0</v>
      </c>
      <c r="Z409">
        <f t="shared" si="176"/>
        <v>0</v>
      </c>
      <c r="AA409">
        <f t="shared" si="177"/>
        <v>0</v>
      </c>
      <c r="AB409">
        <f t="shared" si="178"/>
        <v>0</v>
      </c>
      <c r="AC409">
        <f t="shared" si="179"/>
        <v>0</v>
      </c>
      <c r="AD409">
        <f t="shared" si="180"/>
        <v>1</v>
      </c>
      <c r="AE409">
        <f t="shared" si="181"/>
        <v>0</v>
      </c>
      <c r="AF409">
        <f t="shared" si="182"/>
        <v>0</v>
      </c>
      <c r="AG409">
        <f t="shared" si="183"/>
        <v>0</v>
      </c>
      <c r="AH409">
        <f t="shared" si="184"/>
        <v>0</v>
      </c>
      <c r="AI409">
        <f t="shared" si="185"/>
        <v>0</v>
      </c>
      <c r="AJ409">
        <f t="shared" si="186"/>
        <v>0</v>
      </c>
      <c r="AK409">
        <f t="shared" si="187"/>
        <v>1</v>
      </c>
      <c r="AL409">
        <f t="shared" si="188"/>
        <v>0</v>
      </c>
      <c r="AM409">
        <f t="shared" si="189"/>
        <v>0</v>
      </c>
      <c r="AN409">
        <f t="shared" si="190"/>
        <v>0</v>
      </c>
      <c r="AO409">
        <f t="shared" si="191"/>
        <v>1</v>
      </c>
      <c r="AP409">
        <f t="shared" si="192"/>
        <v>1</v>
      </c>
      <c r="AQ409">
        <f t="shared" si="193"/>
        <v>0</v>
      </c>
      <c r="AR409">
        <f t="shared" si="194"/>
        <v>0</v>
      </c>
      <c r="AS409">
        <f t="shared" si="195"/>
        <v>0</v>
      </c>
    </row>
    <row r="410" spans="2:45" x14ac:dyDescent="0.3">
      <c r="B410">
        <v>409</v>
      </c>
      <c r="C410" s="1">
        <v>40952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94</v>
      </c>
      <c r="J410">
        <v>3328</v>
      </c>
      <c r="K410" s="8">
        <v>3422</v>
      </c>
      <c r="L410">
        <v>9.1225000000000005</v>
      </c>
      <c r="M410">
        <v>11.39565</v>
      </c>
      <c r="N410">
        <v>41.125</v>
      </c>
      <c r="O410">
        <v>11.207960999999999</v>
      </c>
      <c r="P410">
        <v>0</v>
      </c>
      <c r="Q410">
        <v>1</v>
      </c>
      <c r="R410">
        <f t="shared" si="168"/>
        <v>0</v>
      </c>
      <c r="S410">
        <f t="shared" si="169"/>
        <v>1</v>
      </c>
      <c r="T410">
        <f t="shared" si="170"/>
        <v>0</v>
      </c>
      <c r="U410">
        <f t="shared" si="171"/>
        <v>0</v>
      </c>
      <c r="V410">
        <f t="shared" si="172"/>
        <v>0</v>
      </c>
      <c r="W410">
        <f t="shared" si="173"/>
        <v>0</v>
      </c>
      <c r="X410">
        <f t="shared" si="174"/>
        <v>0</v>
      </c>
      <c r="Y410">
        <f t="shared" si="175"/>
        <v>0</v>
      </c>
      <c r="Z410">
        <f t="shared" si="176"/>
        <v>0</v>
      </c>
      <c r="AA410">
        <f t="shared" si="177"/>
        <v>0</v>
      </c>
      <c r="AB410">
        <f t="shared" si="178"/>
        <v>0</v>
      </c>
      <c r="AC410">
        <f t="shared" si="179"/>
        <v>0</v>
      </c>
      <c r="AD410">
        <f t="shared" si="180"/>
        <v>0</v>
      </c>
      <c r="AE410">
        <f t="shared" si="181"/>
        <v>1</v>
      </c>
      <c r="AF410">
        <f t="shared" si="182"/>
        <v>0</v>
      </c>
      <c r="AG410">
        <f t="shared" si="183"/>
        <v>0</v>
      </c>
      <c r="AH410">
        <f t="shared" si="184"/>
        <v>0</v>
      </c>
      <c r="AI410">
        <f t="shared" si="185"/>
        <v>0</v>
      </c>
      <c r="AJ410">
        <f t="shared" si="186"/>
        <v>0</v>
      </c>
      <c r="AK410">
        <f t="shared" si="187"/>
        <v>1</v>
      </c>
      <c r="AL410">
        <f t="shared" si="188"/>
        <v>0</v>
      </c>
      <c r="AM410">
        <f t="shared" si="189"/>
        <v>0</v>
      </c>
      <c r="AN410">
        <f t="shared" si="190"/>
        <v>0</v>
      </c>
      <c r="AO410">
        <f t="shared" si="191"/>
        <v>1</v>
      </c>
      <c r="AP410">
        <f t="shared" si="192"/>
        <v>1</v>
      </c>
      <c r="AQ410">
        <f t="shared" si="193"/>
        <v>0</v>
      </c>
      <c r="AR410">
        <f t="shared" si="194"/>
        <v>0</v>
      </c>
      <c r="AS410">
        <f t="shared" si="195"/>
        <v>0</v>
      </c>
    </row>
    <row r="411" spans="2:45" x14ac:dyDescent="0.3">
      <c r="B411">
        <v>410</v>
      </c>
      <c r="C411" s="1">
        <v>40953</v>
      </c>
      <c r="D411">
        <v>1</v>
      </c>
      <c r="E411">
        <v>1</v>
      </c>
      <c r="F411">
        <v>2</v>
      </c>
      <c r="G411">
        <v>2</v>
      </c>
      <c r="H411">
        <v>2</v>
      </c>
      <c r="I411">
        <v>135</v>
      </c>
      <c r="J411">
        <v>3787</v>
      </c>
      <c r="K411" s="8">
        <v>3922</v>
      </c>
      <c r="L411">
        <v>13.085846999999999</v>
      </c>
      <c r="M411">
        <v>16.697299999999998</v>
      </c>
      <c r="N411">
        <v>50.875</v>
      </c>
      <c r="O411">
        <v>9.4589929999999995</v>
      </c>
      <c r="P411">
        <v>0</v>
      </c>
      <c r="Q411">
        <v>1</v>
      </c>
      <c r="R411">
        <f t="shared" si="168"/>
        <v>0</v>
      </c>
      <c r="S411">
        <f t="shared" si="169"/>
        <v>1</v>
      </c>
      <c r="T411">
        <f t="shared" si="170"/>
        <v>0</v>
      </c>
      <c r="U411">
        <f t="shared" si="171"/>
        <v>0</v>
      </c>
      <c r="V411">
        <f t="shared" si="172"/>
        <v>0</v>
      </c>
      <c r="W411">
        <f t="shared" si="173"/>
        <v>0</v>
      </c>
      <c r="X411">
        <f t="shared" si="174"/>
        <v>0</v>
      </c>
      <c r="Y411">
        <f t="shared" si="175"/>
        <v>0</v>
      </c>
      <c r="Z411">
        <f t="shared" si="176"/>
        <v>0</v>
      </c>
      <c r="AA411">
        <f t="shared" si="177"/>
        <v>0</v>
      </c>
      <c r="AB411">
        <f t="shared" si="178"/>
        <v>0</v>
      </c>
      <c r="AC411">
        <f t="shared" si="179"/>
        <v>0</v>
      </c>
      <c r="AD411">
        <f t="shared" si="180"/>
        <v>0</v>
      </c>
      <c r="AE411">
        <f t="shared" si="181"/>
        <v>0</v>
      </c>
      <c r="AF411">
        <f t="shared" si="182"/>
        <v>1</v>
      </c>
      <c r="AG411">
        <f t="shared" si="183"/>
        <v>0</v>
      </c>
      <c r="AH411">
        <f t="shared" si="184"/>
        <v>0</v>
      </c>
      <c r="AI411">
        <f t="shared" si="185"/>
        <v>0</v>
      </c>
      <c r="AJ411">
        <f t="shared" si="186"/>
        <v>0</v>
      </c>
      <c r="AK411">
        <f t="shared" si="187"/>
        <v>0</v>
      </c>
      <c r="AL411">
        <f t="shared" si="188"/>
        <v>1</v>
      </c>
      <c r="AM411">
        <f t="shared" si="189"/>
        <v>0</v>
      </c>
      <c r="AN411">
        <f t="shared" si="190"/>
        <v>0</v>
      </c>
      <c r="AO411">
        <f t="shared" si="191"/>
        <v>1</v>
      </c>
      <c r="AP411">
        <f t="shared" si="192"/>
        <v>1</v>
      </c>
      <c r="AQ411">
        <f t="shared" si="193"/>
        <v>0</v>
      </c>
      <c r="AR411">
        <f t="shared" si="194"/>
        <v>0</v>
      </c>
      <c r="AS411">
        <f t="shared" si="195"/>
        <v>0</v>
      </c>
    </row>
    <row r="412" spans="2:45" x14ac:dyDescent="0.3">
      <c r="B412">
        <v>411</v>
      </c>
      <c r="C412" s="1">
        <v>40954</v>
      </c>
      <c r="D412">
        <v>1</v>
      </c>
      <c r="E412">
        <v>1</v>
      </c>
      <c r="F412">
        <v>2</v>
      </c>
      <c r="G412">
        <v>3</v>
      </c>
      <c r="H412">
        <v>1</v>
      </c>
      <c r="I412">
        <v>141</v>
      </c>
      <c r="J412">
        <v>4028</v>
      </c>
      <c r="K412" s="8">
        <v>4169</v>
      </c>
      <c r="L412">
        <v>14.281653</v>
      </c>
      <c r="M412">
        <v>17.58145</v>
      </c>
      <c r="N412">
        <v>53.125</v>
      </c>
      <c r="O412">
        <v>12.167199999999999</v>
      </c>
      <c r="P412">
        <v>0</v>
      </c>
      <c r="Q412">
        <v>1</v>
      </c>
      <c r="R412">
        <f t="shared" si="168"/>
        <v>0</v>
      </c>
      <c r="S412">
        <f t="shared" si="169"/>
        <v>1</v>
      </c>
      <c r="T412">
        <f t="shared" si="170"/>
        <v>0</v>
      </c>
      <c r="U412">
        <f t="shared" si="171"/>
        <v>0</v>
      </c>
      <c r="V412">
        <f t="shared" si="172"/>
        <v>0</v>
      </c>
      <c r="W412">
        <f t="shared" si="173"/>
        <v>0</v>
      </c>
      <c r="X412">
        <f t="shared" si="174"/>
        <v>0</v>
      </c>
      <c r="Y412">
        <f t="shared" si="175"/>
        <v>0</v>
      </c>
      <c r="Z412">
        <f t="shared" si="176"/>
        <v>0</v>
      </c>
      <c r="AA412">
        <f t="shared" si="177"/>
        <v>0</v>
      </c>
      <c r="AB412">
        <f t="shared" si="178"/>
        <v>0</v>
      </c>
      <c r="AC412">
        <f t="shared" si="179"/>
        <v>0</v>
      </c>
      <c r="AD412">
        <f t="shared" si="180"/>
        <v>0</v>
      </c>
      <c r="AE412">
        <f t="shared" si="181"/>
        <v>0</v>
      </c>
      <c r="AF412">
        <f t="shared" si="182"/>
        <v>0</v>
      </c>
      <c r="AG412">
        <f t="shared" si="183"/>
        <v>1</v>
      </c>
      <c r="AH412">
        <f t="shared" si="184"/>
        <v>0</v>
      </c>
      <c r="AI412">
        <f t="shared" si="185"/>
        <v>0</v>
      </c>
      <c r="AJ412">
        <f t="shared" si="186"/>
        <v>0</v>
      </c>
      <c r="AK412">
        <f t="shared" si="187"/>
        <v>1</v>
      </c>
      <c r="AL412">
        <f t="shared" si="188"/>
        <v>0</v>
      </c>
      <c r="AM412">
        <f t="shared" si="189"/>
        <v>0</v>
      </c>
      <c r="AN412">
        <f t="shared" si="190"/>
        <v>0</v>
      </c>
      <c r="AO412">
        <f t="shared" si="191"/>
        <v>1</v>
      </c>
      <c r="AP412">
        <f t="shared" si="192"/>
        <v>1</v>
      </c>
      <c r="AQ412">
        <f t="shared" si="193"/>
        <v>0</v>
      </c>
      <c r="AR412">
        <f t="shared" si="194"/>
        <v>0</v>
      </c>
      <c r="AS412">
        <f t="shared" si="195"/>
        <v>0</v>
      </c>
    </row>
    <row r="413" spans="2:45" x14ac:dyDescent="0.3">
      <c r="B413">
        <v>412</v>
      </c>
      <c r="C413" s="1">
        <v>40955</v>
      </c>
      <c r="D413">
        <v>1</v>
      </c>
      <c r="E413">
        <v>1</v>
      </c>
      <c r="F413">
        <v>2</v>
      </c>
      <c r="G413">
        <v>4</v>
      </c>
      <c r="H413">
        <v>2</v>
      </c>
      <c r="I413">
        <v>74</v>
      </c>
      <c r="J413">
        <v>2931</v>
      </c>
      <c r="K413" s="8">
        <v>3005</v>
      </c>
      <c r="L413">
        <v>12.983347</v>
      </c>
      <c r="M413">
        <v>16.508099999999999</v>
      </c>
      <c r="N413">
        <v>75.291700000000006</v>
      </c>
      <c r="O413">
        <v>6.1254749999999998</v>
      </c>
      <c r="P413">
        <v>0</v>
      </c>
      <c r="Q413">
        <v>1</v>
      </c>
      <c r="R413">
        <f t="shared" si="168"/>
        <v>0</v>
      </c>
      <c r="S413">
        <f t="shared" si="169"/>
        <v>1</v>
      </c>
      <c r="T413">
        <f t="shared" si="170"/>
        <v>0</v>
      </c>
      <c r="U413">
        <f t="shared" si="171"/>
        <v>0</v>
      </c>
      <c r="V413">
        <f t="shared" si="172"/>
        <v>0</v>
      </c>
      <c r="W413">
        <f t="shared" si="173"/>
        <v>0</v>
      </c>
      <c r="X413">
        <f t="shared" si="174"/>
        <v>0</v>
      </c>
      <c r="Y413">
        <f t="shared" si="175"/>
        <v>0</v>
      </c>
      <c r="Z413">
        <f t="shared" si="176"/>
        <v>0</v>
      </c>
      <c r="AA413">
        <f t="shared" si="177"/>
        <v>0</v>
      </c>
      <c r="AB413">
        <f t="shared" si="178"/>
        <v>0</v>
      </c>
      <c r="AC413">
        <f t="shared" si="179"/>
        <v>0</v>
      </c>
      <c r="AD413">
        <f t="shared" si="180"/>
        <v>0</v>
      </c>
      <c r="AE413">
        <f t="shared" si="181"/>
        <v>0</v>
      </c>
      <c r="AF413">
        <f t="shared" si="182"/>
        <v>0</v>
      </c>
      <c r="AG413">
        <f t="shared" si="183"/>
        <v>0</v>
      </c>
      <c r="AH413">
        <f t="shared" si="184"/>
        <v>1</v>
      </c>
      <c r="AI413">
        <f t="shared" si="185"/>
        <v>0</v>
      </c>
      <c r="AJ413">
        <f t="shared" si="186"/>
        <v>0</v>
      </c>
      <c r="AK413">
        <f t="shared" si="187"/>
        <v>0</v>
      </c>
      <c r="AL413">
        <f t="shared" si="188"/>
        <v>1</v>
      </c>
      <c r="AM413">
        <f t="shared" si="189"/>
        <v>0</v>
      </c>
      <c r="AN413">
        <f t="shared" si="190"/>
        <v>0</v>
      </c>
      <c r="AO413">
        <f t="shared" si="191"/>
        <v>1</v>
      </c>
      <c r="AP413">
        <f t="shared" si="192"/>
        <v>1</v>
      </c>
      <c r="AQ413">
        <f t="shared" si="193"/>
        <v>0</v>
      </c>
      <c r="AR413">
        <f t="shared" si="194"/>
        <v>0</v>
      </c>
      <c r="AS413">
        <f t="shared" si="195"/>
        <v>0</v>
      </c>
    </row>
    <row r="414" spans="2:45" x14ac:dyDescent="0.3">
      <c r="B414">
        <v>413</v>
      </c>
      <c r="C414" s="1">
        <v>40956</v>
      </c>
      <c r="D414">
        <v>1</v>
      </c>
      <c r="E414">
        <v>1</v>
      </c>
      <c r="F414">
        <v>2</v>
      </c>
      <c r="G414">
        <v>5</v>
      </c>
      <c r="H414">
        <v>1</v>
      </c>
      <c r="I414">
        <v>349</v>
      </c>
      <c r="J414">
        <v>3805</v>
      </c>
      <c r="K414" s="8">
        <v>4154</v>
      </c>
      <c r="L414">
        <v>14.076653</v>
      </c>
      <c r="M414">
        <v>17.58145</v>
      </c>
      <c r="N414">
        <v>63.458300000000001</v>
      </c>
      <c r="O414">
        <v>13.791682</v>
      </c>
      <c r="P414">
        <v>0</v>
      </c>
      <c r="Q414">
        <v>1</v>
      </c>
      <c r="R414">
        <f t="shared" si="168"/>
        <v>0</v>
      </c>
      <c r="S414">
        <f t="shared" si="169"/>
        <v>1</v>
      </c>
      <c r="T414">
        <f t="shared" si="170"/>
        <v>0</v>
      </c>
      <c r="U414">
        <f t="shared" si="171"/>
        <v>0</v>
      </c>
      <c r="V414">
        <f t="shared" si="172"/>
        <v>0</v>
      </c>
      <c r="W414">
        <f t="shared" si="173"/>
        <v>0</v>
      </c>
      <c r="X414">
        <f t="shared" si="174"/>
        <v>0</v>
      </c>
      <c r="Y414">
        <f t="shared" si="175"/>
        <v>0</v>
      </c>
      <c r="Z414">
        <f t="shared" si="176"/>
        <v>0</v>
      </c>
      <c r="AA414">
        <f t="shared" si="177"/>
        <v>0</v>
      </c>
      <c r="AB414">
        <f t="shared" si="178"/>
        <v>0</v>
      </c>
      <c r="AC414">
        <f t="shared" si="179"/>
        <v>0</v>
      </c>
      <c r="AD414">
        <f t="shared" si="180"/>
        <v>0</v>
      </c>
      <c r="AE414">
        <f t="shared" si="181"/>
        <v>0</v>
      </c>
      <c r="AF414">
        <f t="shared" si="182"/>
        <v>0</v>
      </c>
      <c r="AG414">
        <f t="shared" si="183"/>
        <v>0</v>
      </c>
      <c r="AH414">
        <f t="shared" si="184"/>
        <v>0</v>
      </c>
      <c r="AI414">
        <f t="shared" si="185"/>
        <v>1</v>
      </c>
      <c r="AJ414">
        <f t="shared" si="186"/>
        <v>0</v>
      </c>
      <c r="AK414">
        <f t="shared" si="187"/>
        <v>1</v>
      </c>
      <c r="AL414">
        <f t="shared" si="188"/>
        <v>0</v>
      </c>
      <c r="AM414">
        <f t="shared" si="189"/>
        <v>0</v>
      </c>
      <c r="AN414">
        <f t="shared" si="190"/>
        <v>0</v>
      </c>
      <c r="AO414">
        <f t="shared" si="191"/>
        <v>1</v>
      </c>
      <c r="AP414">
        <f t="shared" si="192"/>
        <v>1</v>
      </c>
      <c r="AQ414">
        <f t="shared" si="193"/>
        <v>0</v>
      </c>
      <c r="AR414">
        <f t="shared" si="194"/>
        <v>0</v>
      </c>
      <c r="AS414">
        <f t="shared" si="195"/>
        <v>0</v>
      </c>
    </row>
    <row r="415" spans="2:45" x14ac:dyDescent="0.3">
      <c r="B415">
        <v>414</v>
      </c>
      <c r="C415" s="1">
        <v>40957</v>
      </c>
      <c r="D415">
        <v>1</v>
      </c>
      <c r="E415">
        <v>1</v>
      </c>
      <c r="F415">
        <v>2</v>
      </c>
      <c r="G415">
        <v>6</v>
      </c>
      <c r="H415">
        <v>1</v>
      </c>
      <c r="I415">
        <v>1435</v>
      </c>
      <c r="J415">
        <v>2883</v>
      </c>
      <c r="K415" s="8">
        <v>4318</v>
      </c>
      <c r="L415">
        <v>14.213347000000001</v>
      </c>
      <c r="M415">
        <v>17.771249999999998</v>
      </c>
      <c r="N415">
        <v>53.458300000000001</v>
      </c>
      <c r="O415">
        <v>12.792242999999999</v>
      </c>
      <c r="P415">
        <v>0</v>
      </c>
      <c r="Q415">
        <v>0</v>
      </c>
      <c r="R415">
        <f t="shared" si="168"/>
        <v>0</v>
      </c>
      <c r="S415">
        <f t="shared" si="169"/>
        <v>1</v>
      </c>
      <c r="T415">
        <f t="shared" si="170"/>
        <v>0</v>
      </c>
      <c r="U415">
        <f t="shared" si="171"/>
        <v>0</v>
      </c>
      <c r="V415">
        <f t="shared" si="172"/>
        <v>0</v>
      </c>
      <c r="W415">
        <f t="shared" si="173"/>
        <v>0</v>
      </c>
      <c r="X415">
        <f t="shared" si="174"/>
        <v>0</v>
      </c>
      <c r="Y415">
        <f t="shared" si="175"/>
        <v>0</v>
      </c>
      <c r="Z415">
        <f t="shared" si="176"/>
        <v>0</v>
      </c>
      <c r="AA415">
        <f t="shared" si="177"/>
        <v>0</v>
      </c>
      <c r="AB415">
        <f t="shared" si="178"/>
        <v>0</v>
      </c>
      <c r="AC415">
        <f t="shared" si="179"/>
        <v>0</v>
      </c>
      <c r="AD415">
        <f t="shared" si="180"/>
        <v>0</v>
      </c>
      <c r="AE415">
        <f t="shared" si="181"/>
        <v>0</v>
      </c>
      <c r="AF415">
        <f t="shared" si="182"/>
        <v>0</v>
      </c>
      <c r="AG415">
        <f t="shared" si="183"/>
        <v>0</v>
      </c>
      <c r="AH415">
        <f t="shared" si="184"/>
        <v>0</v>
      </c>
      <c r="AI415">
        <f t="shared" si="185"/>
        <v>0</v>
      </c>
      <c r="AJ415">
        <f t="shared" si="186"/>
        <v>1</v>
      </c>
      <c r="AK415">
        <f t="shared" si="187"/>
        <v>1</v>
      </c>
      <c r="AL415">
        <f t="shared" si="188"/>
        <v>0</v>
      </c>
      <c r="AM415">
        <f t="shared" si="189"/>
        <v>0</v>
      </c>
      <c r="AN415">
        <f t="shared" si="190"/>
        <v>0</v>
      </c>
      <c r="AO415">
        <f t="shared" si="191"/>
        <v>1</v>
      </c>
      <c r="AP415">
        <f t="shared" si="192"/>
        <v>1</v>
      </c>
      <c r="AQ415">
        <f t="shared" si="193"/>
        <v>0</v>
      </c>
      <c r="AR415">
        <f t="shared" si="194"/>
        <v>0</v>
      </c>
      <c r="AS415">
        <f t="shared" si="195"/>
        <v>0</v>
      </c>
    </row>
    <row r="416" spans="2:45" x14ac:dyDescent="0.3">
      <c r="B416">
        <v>415</v>
      </c>
      <c r="C416" s="1">
        <v>40958</v>
      </c>
      <c r="D416">
        <v>1</v>
      </c>
      <c r="E416">
        <v>1</v>
      </c>
      <c r="F416">
        <v>2</v>
      </c>
      <c r="G416">
        <v>0</v>
      </c>
      <c r="H416">
        <v>2</v>
      </c>
      <c r="I416">
        <v>618</v>
      </c>
      <c r="J416">
        <v>2071</v>
      </c>
      <c r="K416" s="8">
        <v>2689</v>
      </c>
      <c r="L416">
        <v>11.48</v>
      </c>
      <c r="M416">
        <v>13.289400000000001</v>
      </c>
      <c r="N416">
        <v>51.583300000000001</v>
      </c>
      <c r="O416">
        <v>16.958504000000001</v>
      </c>
      <c r="P416">
        <v>0</v>
      </c>
      <c r="Q416">
        <v>0</v>
      </c>
      <c r="R416">
        <f t="shared" si="168"/>
        <v>0</v>
      </c>
      <c r="S416">
        <f t="shared" si="169"/>
        <v>1</v>
      </c>
      <c r="T416">
        <f t="shared" si="170"/>
        <v>0</v>
      </c>
      <c r="U416">
        <f t="shared" si="171"/>
        <v>0</v>
      </c>
      <c r="V416">
        <f t="shared" si="172"/>
        <v>0</v>
      </c>
      <c r="W416">
        <f t="shared" si="173"/>
        <v>0</v>
      </c>
      <c r="X416">
        <f t="shared" si="174"/>
        <v>0</v>
      </c>
      <c r="Y416">
        <f t="shared" si="175"/>
        <v>0</v>
      </c>
      <c r="Z416">
        <f t="shared" si="176"/>
        <v>0</v>
      </c>
      <c r="AA416">
        <f t="shared" si="177"/>
        <v>0</v>
      </c>
      <c r="AB416">
        <f t="shared" si="178"/>
        <v>0</v>
      </c>
      <c r="AC416">
        <f t="shared" si="179"/>
        <v>0</v>
      </c>
      <c r="AD416">
        <f t="shared" si="180"/>
        <v>1</v>
      </c>
      <c r="AE416">
        <f t="shared" si="181"/>
        <v>0</v>
      </c>
      <c r="AF416">
        <f t="shared" si="182"/>
        <v>0</v>
      </c>
      <c r="AG416">
        <f t="shared" si="183"/>
        <v>0</v>
      </c>
      <c r="AH416">
        <f t="shared" si="184"/>
        <v>0</v>
      </c>
      <c r="AI416">
        <f t="shared" si="185"/>
        <v>0</v>
      </c>
      <c r="AJ416">
        <f t="shared" si="186"/>
        <v>0</v>
      </c>
      <c r="AK416">
        <f t="shared" si="187"/>
        <v>0</v>
      </c>
      <c r="AL416">
        <f t="shared" si="188"/>
        <v>1</v>
      </c>
      <c r="AM416">
        <f t="shared" si="189"/>
        <v>0</v>
      </c>
      <c r="AN416">
        <f t="shared" si="190"/>
        <v>0</v>
      </c>
      <c r="AO416">
        <f t="shared" si="191"/>
        <v>1</v>
      </c>
      <c r="AP416">
        <f t="shared" si="192"/>
        <v>1</v>
      </c>
      <c r="AQ416">
        <f t="shared" si="193"/>
        <v>0</v>
      </c>
      <c r="AR416">
        <f t="shared" si="194"/>
        <v>0</v>
      </c>
      <c r="AS416">
        <f t="shared" si="195"/>
        <v>0</v>
      </c>
    </row>
    <row r="417" spans="2:45" x14ac:dyDescent="0.3">
      <c r="B417">
        <v>416</v>
      </c>
      <c r="C417" s="1">
        <v>40959</v>
      </c>
      <c r="D417">
        <v>1</v>
      </c>
      <c r="E417">
        <v>1</v>
      </c>
      <c r="F417">
        <v>2</v>
      </c>
      <c r="G417">
        <v>1</v>
      </c>
      <c r="H417">
        <v>1</v>
      </c>
      <c r="I417">
        <v>502</v>
      </c>
      <c r="J417">
        <v>2627</v>
      </c>
      <c r="K417" s="8">
        <v>3129</v>
      </c>
      <c r="L417">
        <v>11.48</v>
      </c>
      <c r="M417">
        <v>13.669549999999999</v>
      </c>
      <c r="N417">
        <v>50.782600000000002</v>
      </c>
      <c r="O417">
        <v>15.348561</v>
      </c>
      <c r="P417">
        <v>1</v>
      </c>
      <c r="Q417">
        <v>0</v>
      </c>
      <c r="R417">
        <f t="shared" si="168"/>
        <v>0</v>
      </c>
      <c r="S417">
        <f t="shared" si="169"/>
        <v>1</v>
      </c>
      <c r="T417">
        <f t="shared" si="170"/>
        <v>0</v>
      </c>
      <c r="U417">
        <f t="shared" si="171"/>
        <v>0</v>
      </c>
      <c r="V417">
        <f t="shared" si="172"/>
        <v>0</v>
      </c>
      <c r="W417">
        <f t="shared" si="173"/>
        <v>0</v>
      </c>
      <c r="X417">
        <f t="shared" si="174"/>
        <v>0</v>
      </c>
      <c r="Y417">
        <f t="shared" si="175"/>
        <v>0</v>
      </c>
      <c r="Z417">
        <f t="shared" si="176"/>
        <v>0</v>
      </c>
      <c r="AA417">
        <f t="shared" si="177"/>
        <v>0</v>
      </c>
      <c r="AB417">
        <f t="shared" si="178"/>
        <v>0</v>
      </c>
      <c r="AC417">
        <f t="shared" si="179"/>
        <v>0</v>
      </c>
      <c r="AD417">
        <f t="shared" si="180"/>
        <v>0</v>
      </c>
      <c r="AE417">
        <f t="shared" si="181"/>
        <v>1</v>
      </c>
      <c r="AF417">
        <f t="shared" si="182"/>
        <v>0</v>
      </c>
      <c r="AG417">
        <f t="shared" si="183"/>
        <v>0</v>
      </c>
      <c r="AH417">
        <f t="shared" si="184"/>
        <v>0</v>
      </c>
      <c r="AI417">
        <f t="shared" si="185"/>
        <v>0</v>
      </c>
      <c r="AJ417">
        <f t="shared" si="186"/>
        <v>0</v>
      </c>
      <c r="AK417">
        <f t="shared" si="187"/>
        <v>1</v>
      </c>
      <c r="AL417">
        <f t="shared" si="188"/>
        <v>0</v>
      </c>
      <c r="AM417">
        <f t="shared" si="189"/>
        <v>0</v>
      </c>
      <c r="AN417">
        <f t="shared" si="190"/>
        <v>0</v>
      </c>
      <c r="AO417">
        <f t="shared" si="191"/>
        <v>1</v>
      </c>
      <c r="AP417">
        <f t="shared" si="192"/>
        <v>1</v>
      </c>
      <c r="AQ417">
        <f t="shared" si="193"/>
        <v>0</v>
      </c>
      <c r="AR417">
        <f t="shared" si="194"/>
        <v>0</v>
      </c>
      <c r="AS417">
        <f t="shared" si="195"/>
        <v>0</v>
      </c>
    </row>
    <row r="418" spans="2:45" x14ac:dyDescent="0.3">
      <c r="B418">
        <v>417</v>
      </c>
      <c r="C418" s="1">
        <v>40960</v>
      </c>
      <c r="D418">
        <v>1</v>
      </c>
      <c r="E418">
        <v>1</v>
      </c>
      <c r="F418">
        <v>2</v>
      </c>
      <c r="G418">
        <v>2</v>
      </c>
      <c r="H418">
        <v>1</v>
      </c>
      <c r="I418">
        <v>163</v>
      </c>
      <c r="J418">
        <v>3614</v>
      </c>
      <c r="K418" s="8">
        <v>3777</v>
      </c>
      <c r="L418">
        <v>11.800865999999999</v>
      </c>
      <c r="M418">
        <v>14.755649999999999</v>
      </c>
      <c r="N418">
        <v>59.434800000000003</v>
      </c>
      <c r="O418">
        <v>13.783039</v>
      </c>
      <c r="P418">
        <v>0</v>
      </c>
      <c r="Q418">
        <v>1</v>
      </c>
      <c r="R418">
        <f t="shared" si="168"/>
        <v>0</v>
      </c>
      <c r="S418">
        <f t="shared" si="169"/>
        <v>1</v>
      </c>
      <c r="T418">
        <f t="shared" si="170"/>
        <v>0</v>
      </c>
      <c r="U418">
        <f t="shared" si="171"/>
        <v>0</v>
      </c>
      <c r="V418">
        <f t="shared" si="172"/>
        <v>0</v>
      </c>
      <c r="W418">
        <f t="shared" si="173"/>
        <v>0</v>
      </c>
      <c r="X418">
        <f t="shared" si="174"/>
        <v>0</v>
      </c>
      <c r="Y418">
        <f t="shared" si="175"/>
        <v>0</v>
      </c>
      <c r="Z418">
        <f t="shared" si="176"/>
        <v>0</v>
      </c>
      <c r="AA418">
        <f t="shared" si="177"/>
        <v>0</v>
      </c>
      <c r="AB418">
        <f t="shared" si="178"/>
        <v>0</v>
      </c>
      <c r="AC418">
        <f t="shared" si="179"/>
        <v>0</v>
      </c>
      <c r="AD418">
        <f t="shared" si="180"/>
        <v>0</v>
      </c>
      <c r="AE418">
        <f t="shared" si="181"/>
        <v>0</v>
      </c>
      <c r="AF418">
        <f t="shared" si="182"/>
        <v>1</v>
      </c>
      <c r="AG418">
        <f t="shared" si="183"/>
        <v>0</v>
      </c>
      <c r="AH418">
        <f t="shared" si="184"/>
        <v>0</v>
      </c>
      <c r="AI418">
        <f t="shared" si="185"/>
        <v>0</v>
      </c>
      <c r="AJ418">
        <f t="shared" si="186"/>
        <v>0</v>
      </c>
      <c r="AK418">
        <f t="shared" si="187"/>
        <v>1</v>
      </c>
      <c r="AL418">
        <f t="shared" si="188"/>
        <v>0</v>
      </c>
      <c r="AM418">
        <f t="shared" si="189"/>
        <v>0</v>
      </c>
      <c r="AN418">
        <f t="shared" si="190"/>
        <v>0</v>
      </c>
      <c r="AO418">
        <f t="shared" si="191"/>
        <v>1</v>
      </c>
      <c r="AP418">
        <f t="shared" si="192"/>
        <v>1</v>
      </c>
      <c r="AQ418">
        <f t="shared" si="193"/>
        <v>0</v>
      </c>
      <c r="AR418">
        <f t="shared" si="194"/>
        <v>0</v>
      </c>
      <c r="AS418">
        <f t="shared" si="195"/>
        <v>0</v>
      </c>
    </row>
    <row r="419" spans="2:45" x14ac:dyDescent="0.3">
      <c r="B419">
        <v>418</v>
      </c>
      <c r="C419" s="1">
        <v>40961</v>
      </c>
      <c r="D419">
        <v>1</v>
      </c>
      <c r="E419">
        <v>1</v>
      </c>
      <c r="F419">
        <v>2</v>
      </c>
      <c r="G419">
        <v>3</v>
      </c>
      <c r="H419">
        <v>1</v>
      </c>
      <c r="I419">
        <v>394</v>
      </c>
      <c r="J419">
        <v>4379</v>
      </c>
      <c r="K419" s="8">
        <v>4773</v>
      </c>
      <c r="L419">
        <v>16.229153</v>
      </c>
      <c r="M419">
        <v>19.63335</v>
      </c>
      <c r="N419">
        <v>56.791699999999999</v>
      </c>
      <c r="O419">
        <v>15.709557</v>
      </c>
      <c r="P419">
        <v>0</v>
      </c>
      <c r="Q419">
        <v>1</v>
      </c>
      <c r="R419">
        <f t="shared" si="168"/>
        <v>0</v>
      </c>
      <c r="S419">
        <f t="shared" si="169"/>
        <v>1</v>
      </c>
      <c r="T419">
        <f t="shared" si="170"/>
        <v>0</v>
      </c>
      <c r="U419">
        <f t="shared" si="171"/>
        <v>0</v>
      </c>
      <c r="V419">
        <f t="shared" si="172"/>
        <v>0</v>
      </c>
      <c r="W419">
        <f t="shared" si="173"/>
        <v>0</v>
      </c>
      <c r="X419">
        <f t="shared" si="174"/>
        <v>0</v>
      </c>
      <c r="Y419">
        <f t="shared" si="175"/>
        <v>0</v>
      </c>
      <c r="Z419">
        <f t="shared" si="176"/>
        <v>0</v>
      </c>
      <c r="AA419">
        <f t="shared" si="177"/>
        <v>0</v>
      </c>
      <c r="AB419">
        <f t="shared" si="178"/>
        <v>0</v>
      </c>
      <c r="AC419">
        <f t="shared" si="179"/>
        <v>0</v>
      </c>
      <c r="AD419">
        <f t="shared" si="180"/>
        <v>0</v>
      </c>
      <c r="AE419">
        <f t="shared" si="181"/>
        <v>0</v>
      </c>
      <c r="AF419">
        <f t="shared" si="182"/>
        <v>0</v>
      </c>
      <c r="AG419">
        <f t="shared" si="183"/>
        <v>1</v>
      </c>
      <c r="AH419">
        <f t="shared" si="184"/>
        <v>0</v>
      </c>
      <c r="AI419">
        <f t="shared" si="185"/>
        <v>0</v>
      </c>
      <c r="AJ419">
        <f t="shared" si="186"/>
        <v>0</v>
      </c>
      <c r="AK419">
        <f t="shared" si="187"/>
        <v>1</v>
      </c>
      <c r="AL419">
        <f t="shared" si="188"/>
        <v>0</v>
      </c>
      <c r="AM419">
        <f t="shared" si="189"/>
        <v>0</v>
      </c>
      <c r="AN419">
        <f t="shared" si="190"/>
        <v>0</v>
      </c>
      <c r="AO419">
        <f t="shared" si="191"/>
        <v>1</v>
      </c>
      <c r="AP419">
        <f t="shared" si="192"/>
        <v>1</v>
      </c>
      <c r="AQ419">
        <f t="shared" si="193"/>
        <v>0</v>
      </c>
      <c r="AR419">
        <f t="shared" si="194"/>
        <v>0</v>
      </c>
      <c r="AS419">
        <f t="shared" si="195"/>
        <v>0</v>
      </c>
    </row>
    <row r="420" spans="2:45" x14ac:dyDescent="0.3">
      <c r="B420">
        <v>419</v>
      </c>
      <c r="C420" s="1">
        <v>40962</v>
      </c>
      <c r="D420">
        <v>1</v>
      </c>
      <c r="E420">
        <v>1</v>
      </c>
      <c r="F420">
        <v>2</v>
      </c>
      <c r="G420">
        <v>4</v>
      </c>
      <c r="H420">
        <v>1</v>
      </c>
      <c r="I420">
        <v>516</v>
      </c>
      <c r="J420">
        <v>4546</v>
      </c>
      <c r="K420" s="8">
        <v>5062</v>
      </c>
      <c r="L420">
        <v>18.620847000000001</v>
      </c>
      <c r="M420">
        <v>22.222300000000001</v>
      </c>
      <c r="N420">
        <v>55.458300000000001</v>
      </c>
      <c r="O420">
        <v>12.791171</v>
      </c>
      <c r="P420">
        <v>0</v>
      </c>
      <c r="Q420">
        <v>1</v>
      </c>
      <c r="R420">
        <f t="shared" si="168"/>
        <v>0</v>
      </c>
      <c r="S420">
        <f t="shared" si="169"/>
        <v>1</v>
      </c>
      <c r="T420">
        <f t="shared" si="170"/>
        <v>0</v>
      </c>
      <c r="U420">
        <f t="shared" si="171"/>
        <v>0</v>
      </c>
      <c r="V420">
        <f t="shared" si="172"/>
        <v>0</v>
      </c>
      <c r="W420">
        <f t="shared" si="173"/>
        <v>0</v>
      </c>
      <c r="X420">
        <f t="shared" si="174"/>
        <v>0</v>
      </c>
      <c r="Y420">
        <f t="shared" si="175"/>
        <v>0</v>
      </c>
      <c r="Z420">
        <f t="shared" si="176"/>
        <v>0</v>
      </c>
      <c r="AA420">
        <f t="shared" si="177"/>
        <v>0</v>
      </c>
      <c r="AB420">
        <f t="shared" si="178"/>
        <v>0</v>
      </c>
      <c r="AC420">
        <f t="shared" si="179"/>
        <v>0</v>
      </c>
      <c r="AD420">
        <f t="shared" si="180"/>
        <v>0</v>
      </c>
      <c r="AE420">
        <f t="shared" si="181"/>
        <v>0</v>
      </c>
      <c r="AF420">
        <f t="shared" si="182"/>
        <v>0</v>
      </c>
      <c r="AG420">
        <f t="shared" si="183"/>
        <v>0</v>
      </c>
      <c r="AH420">
        <f t="shared" si="184"/>
        <v>1</v>
      </c>
      <c r="AI420">
        <f t="shared" si="185"/>
        <v>0</v>
      </c>
      <c r="AJ420">
        <f t="shared" si="186"/>
        <v>0</v>
      </c>
      <c r="AK420">
        <f t="shared" si="187"/>
        <v>1</v>
      </c>
      <c r="AL420">
        <f t="shared" si="188"/>
        <v>0</v>
      </c>
      <c r="AM420">
        <f t="shared" si="189"/>
        <v>0</v>
      </c>
      <c r="AN420">
        <f t="shared" si="190"/>
        <v>0</v>
      </c>
      <c r="AO420">
        <f t="shared" si="191"/>
        <v>1</v>
      </c>
      <c r="AP420">
        <f t="shared" si="192"/>
        <v>1</v>
      </c>
      <c r="AQ420">
        <f t="shared" si="193"/>
        <v>0</v>
      </c>
      <c r="AR420">
        <f t="shared" si="194"/>
        <v>0</v>
      </c>
      <c r="AS420">
        <f t="shared" si="195"/>
        <v>0</v>
      </c>
    </row>
    <row r="421" spans="2:45" x14ac:dyDescent="0.3">
      <c r="B421">
        <v>420</v>
      </c>
      <c r="C421" s="1">
        <v>40963</v>
      </c>
      <c r="D421">
        <v>1</v>
      </c>
      <c r="E421">
        <v>1</v>
      </c>
      <c r="F421">
        <v>2</v>
      </c>
      <c r="G421">
        <v>5</v>
      </c>
      <c r="H421">
        <v>2</v>
      </c>
      <c r="I421">
        <v>246</v>
      </c>
      <c r="J421">
        <v>3241</v>
      </c>
      <c r="K421" s="8">
        <v>3487</v>
      </c>
      <c r="L421">
        <v>16.7075</v>
      </c>
      <c r="M421">
        <v>20.548549999999999</v>
      </c>
      <c r="N421">
        <v>73.75</v>
      </c>
      <c r="O421">
        <v>15.916988999999999</v>
      </c>
      <c r="P421">
        <v>0</v>
      </c>
      <c r="Q421">
        <v>1</v>
      </c>
      <c r="R421">
        <f t="shared" si="168"/>
        <v>0</v>
      </c>
      <c r="S421">
        <f t="shared" si="169"/>
        <v>1</v>
      </c>
      <c r="T421">
        <f t="shared" si="170"/>
        <v>0</v>
      </c>
      <c r="U421">
        <f t="shared" si="171"/>
        <v>0</v>
      </c>
      <c r="V421">
        <f t="shared" si="172"/>
        <v>0</v>
      </c>
      <c r="W421">
        <f t="shared" si="173"/>
        <v>0</v>
      </c>
      <c r="X421">
        <f t="shared" si="174"/>
        <v>0</v>
      </c>
      <c r="Y421">
        <f t="shared" si="175"/>
        <v>0</v>
      </c>
      <c r="Z421">
        <f t="shared" si="176"/>
        <v>0</v>
      </c>
      <c r="AA421">
        <f t="shared" si="177"/>
        <v>0</v>
      </c>
      <c r="AB421">
        <f t="shared" si="178"/>
        <v>0</v>
      </c>
      <c r="AC421">
        <f t="shared" si="179"/>
        <v>0</v>
      </c>
      <c r="AD421">
        <f t="shared" si="180"/>
        <v>0</v>
      </c>
      <c r="AE421">
        <f t="shared" si="181"/>
        <v>0</v>
      </c>
      <c r="AF421">
        <f t="shared" si="182"/>
        <v>0</v>
      </c>
      <c r="AG421">
        <f t="shared" si="183"/>
        <v>0</v>
      </c>
      <c r="AH421">
        <f t="shared" si="184"/>
        <v>0</v>
      </c>
      <c r="AI421">
        <f t="shared" si="185"/>
        <v>1</v>
      </c>
      <c r="AJ421">
        <f t="shared" si="186"/>
        <v>0</v>
      </c>
      <c r="AK421">
        <f t="shared" si="187"/>
        <v>0</v>
      </c>
      <c r="AL421">
        <f t="shared" si="188"/>
        <v>1</v>
      </c>
      <c r="AM421">
        <f t="shared" si="189"/>
        <v>0</v>
      </c>
      <c r="AN421">
        <f t="shared" si="190"/>
        <v>0</v>
      </c>
      <c r="AO421">
        <f t="shared" si="191"/>
        <v>1</v>
      </c>
      <c r="AP421">
        <f t="shared" si="192"/>
        <v>1</v>
      </c>
      <c r="AQ421">
        <f t="shared" si="193"/>
        <v>0</v>
      </c>
      <c r="AR421">
        <f t="shared" si="194"/>
        <v>0</v>
      </c>
      <c r="AS421">
        <f t="shared" si="195"/>
        <v>0</v>
      </c>
    </row>
    <row r="422" spans="2:45" x14ac:dyDescent="0.3">
      <c r="B422">
        <v>421</v>
      </c>
      <c r="C422" s="1">
        <v>40964</v>
      </c>
      <c r="D422">
        <v>1</v>
      </c>
      <c r="E422">
        <v>1</v>
      </c>
      <c r="F422">
        <v>2</v>
      </c>
      <c r="G422">
        <v>6</v>
      </c>
      <c r="H422">
        <v>1</v>
      </c>
      <c r="I422">
        <v>317</v>
      </c>
      <c r="J422">
        <v>2415</v>
      </c>
      <c r="K422" s="8">
        <v>2732</v>
      </c>
      <c r="L422">
        <v>11.924153</v>
      </c>
      <c r="M422">
        <v>12.78375</v>
      </c>
      <c r="N422">
        <v>39.583300000000001</v>
      </c>
      <c r="O422">
        <v>28.250014</v>
      </c>
      <c r="P422">
        <v>0</v>
      </c>
      <c r="Q422">
        <v>0</v>
      </c>
      <c r="R422">
        <f t="shared" si="168"/>
        <v>0</v>
      </c>
      <c r="S422">
        <f t="shared" si="169"/>
        <v>1</v>
      </c>
      <c r="T422">
        <f t="shared" si="170"/>
        <v>0</v>
      </c>
      <c r="U422">
        <f t="shared" si="171"/>
        <v>0</v>
      </c>
      <c r="V422">
        <f t="shared" si="172"/>
        <v>0</v>
      </c>
      <c r="W422">
        <f t="shared" si="173"/>
        <v>0</v>
      </c>
      <c r="X422">
        <f t="shared" si="174"/>
        <v>0</v>
      </c>
      <c r="Y422">
        <f t="shared" si="175"/>
        <v>0</v>
      </c>
      <c r="Z422">
        <f t="shared" si="176"/>
        <v>0</v>
      </c>
      <c r="AA422">
        <f t="shared" si="177"/>
        <v>0</v>
      </c>
      <c r="AB422">
        <f t="shared" si="178"/>
        <v>0</v>
      </c>
      <c r="AC422">
        <f t="shared" si="179"/>
        <v>0</v>
      </c>
      <c r="AD422">
        <f t="shared" si="180"/>
        <v>0</v>
      </c>
      <c r="AE422">
        <f t="shared" si="181"/>
        <v>0</v>
      </c>
      <c r="AF422">
        <f t="shared" si="182"/>
        <v>0</v>
      </c>
      <c r="AG422">
        <f t="shared" si="183"/>
        <v>0</v>
      </c>
      <c r="AH422">
        <f t="shared" si="184"/>
        <v>0</v>
      </c>
      <c r="AI422">
        <f t="shared" si="185"/>
        <v>0</v>
      </c>
      <c r="AJ422">
        <f t="shared" si="186"/>
        <v>1</v>
      </c>
      <c r="AK422">
        <f t="shared" si="187"/>
        <v>1</v>
      </c>
      <c r="AL422">
        <f t="shared" si="188"/>
        <v>0</v>
      </c>
      <c r="AM422">
        <f t="shared" si="189"/>
        <v>0</v>
      </c>
      <c r="AN422">
        <f t="shared" si="190"/>
        <v>0</v>
      </c>
      <c r="AO422">
        <f t="shared" si="191"/>
        <v>1</v>
      </c>
      <c r="AP422">
        <f t="shared" si="192"/>
        <v>1</v>
      </c>
      <c r="AQ422">
        <f t="shared" si="193"/>
        <v>0</v>
      </c>
      <c r="AR422">
        <f t="shared" si="194"/>
        <v>0</v>
      </c>
      <c r="AS422">
        <f t="shared" si="195"/>
        <v>0</v>
      </c>
    </row>
    <row r="423" spans="2:45" x14ac:dyDescent="0.3">
      <c r="B423">
        <v>422</v>
      </c>
      <c r="C423" s="1">
        <v>40965</v>
      </c>
      <c r="D423">
        <v>1</v>
      </c>
      <c r="E423">
        <v>1</v>
      </c>
      <c r="F423">
        <v>2</v>
      </c>
      <c r="G423">
        <v>0</v>
      </c>
      <c r="H423">
        <v>1</v>
      </c>
      <c r="I423">
        <v>515</v>
      </c>
      <c r="J423">
        <v>2874</v>
      </c>
      <c r="K423" s="8">
        <v>3389</v>
      </c>
      <c r="L423">
        <v>11.445847000000001</v>
      </c>
      <c r="M423">
        <v>13.4154</v>
      </c>
      <c r="N423">
        <v>41</v>
      </c>
      <c r="O423">
        <v>13.750343000000001</v>
      </c>
      <c r="P423">
        <v>0</v>
      </c>
      <c r="Q423">
        <v>0</v>
      </c>
      <c r="R423">
        <f t="shared" si="168"/>
        <v>0</v>
      </c>
      <c r="S423">
        <f t="shared" si="169"/>
        <v>1</v>
      </c>
      <c r="T423">
        <f t="shared" si="170"/>
        <v>0</v>
      </c>
      <c r="U423">
        <f t="shared" si="171"/>
        <v>0</v>
      </c>
      <c r="V423">
        <f t="shared" si="172"/>
        <v>0</v>
      </c>
      <c r="W423">
        <f t="shared" si="173"/>
        <v>0</v>
      </c>
      <c r="X423">
        <f t="shared" si="174"/>
        <v>0</v>
      </c>
      <c r="Y423">
        <f t="shared" si="175"/>
        <v>0</v>
      </c>
      <c r="Z423">
        <f t="shared" si="176"/>
        <v>0</v>
      </c>
      <c r="AA423">
        <f t="shared" si="177"/>
        <v>0</v>
      </c>
      <c r="AB423">
        <f t="shared" si="178"/>
        <v>0</v>
      </c>
      <c r="AC423">
        <f t="shared" si="179"/>
        <v>0</v>
      </c>
      <c r="AD423">
        <f t="shared" si="180"/>
        <v>1</v>
      </c>
      <c r="AE423">
        <f t="shared" si="181"/>
        <v>0</v>
      </c>
      <c r="AF423">
        <f t="shared" si="182"/>
        <v>0</v>
      </c>
      <c r="AG423">
        <f t="shared" si="183"/>
        <v>0</v>
      </c>
      <c r="AH423">
        <f t="shared" si="184"/>
        <v>0</v>
      </c>
      <c r="AI423">
        <f t="shared" si="185"/>
        <v>0</v>
      </c>
      <c r="AJ423">
        <f t="shared" si="186"/>
        <v>0</v>
      </c>
      <c r="AK423">
        <f t="shared" si="187"/>
        <v>1</v>
      </c>
      <c r="AL423">
        <f t="shared" si="188"/>
        <v>0</v>
      </c>
      <c r="AM423">
        <f t="shared" si="189"/>
        <v>0</v>
      </c>
      <c r="AN423">
        <f t="shared" si="190"/>
        <v>0</v>
      </c>
      <c r="AO423">
        <f t="shared" si="191"/>
        <v>1</v>
      </c>
      <c r="AP423">
        <f t="shared" si="192"/>
        <v>1</v>
      </c>
      <c r="AQ423">
        <f t="shared" si="193"/>
        <v>0</v>
      </c>
      <c r="AR423">
        <f t="shared" si="194"/>
        <v>0</v>
      </c>
      <c r="AS423">
        <f t="shared" si="195"/>
        <v>0</v>
      </c>
    </row>
    <row r="424" spans="2:45" x14ac:dyDescent="0.3">
      <c r="B424">
        <v>423</v>
      </c>
      <c r="C424" s="1">
        <v>40966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253</v>
      </c>
      <c r="J424">
        <v>4069</v>
      </c>
      <c r="K424" s="8">
        <v>4322</v>
      </c>
      <c r="L424">
        <v>15.033346999999999</v>
      </c>
      <c r="M424">
        <v>17.8977</v>
      </c>
      <c r="N424">
        <v>49.083300000000001</v>
      </c>
      <c r="O424">
        <v>17.958210999999999</v>
      </c>
      <c r="P424">
        <v>0</v>
      </c>
      <c r="Q424">
        <v>1</v>
      </c>
      <c r="R424">
        <f t="shared" si="168"/>
        <v>0</v>
      </c>
      <c r="S424">
        <f t="shared" si="169"/>
        <v>1</v>
      </c>
      <c r="T424">
        <f t="shared" si="170"/>
        <v>0</v>
      </c>
      <c r="U424">
        <f t="shared" si="171"/>
        <v>0</v>
      </c>
      <c r="V424">
        <f t="shared" si="172"/>
        <v>0</v>
      </c>
      <c r="W424">
        <f t="shared" si="173"/>
        <v>0</v>
      </c>
      <c r="X424">
        <f t="shared" si="174"/>
        <v>0</v>
      </c>
      <c r="Y424">
        <f t="shared" si="175"/>
        <v>0</v>
      </c>
      <c r="Z424">
        <f t="shared" si="176"/>
        <v>0</v>
      </c>
      <c r="AA424">
        <f t="shared" si="177"/>
        <v>0</v>
      </c>
      <c r="AB424">
        <f t="shared" si="178"/>
        <v>0</v>
      </c>
      <c r="AC424">
        <f t="shared" si="179"/>
        <v>0</v>
      </c>
      <c r="AD424">
        <f t="shared" si="180"/>
        <v>0</v>
      </c>
      <c r="AE424">
        <f t="shared" si="181"/>
        <v>1</v>
      </c>
      <c r="AF424">
        <f t="shared" si="182"/>
        <v>0</v>
      </c>
      <c r="AG424">
        <f t="shared" si="183"/>
        <v>0</v>
      </c>
      <c r="AH424">
        <f t="shared" si="184"/>
        <v>0</v>
      </c>
      <c r="AI424">
        <f t="shared" si="185"/>
        <v>0</v>
      </c>
      <c r="AJ424">
        <f t="shared" si="186"/>
        <v>0</v>
      </c>
      <c r="AK424">
        <f t="shared" si="187"/>
        <v>1</v>
      </c>
      <c r="AL424">
        <f t="shared" si="188"/>
        <v>0</v>
      </c>
      <c r="AM424">
        <f t="shared" si="189"/>
        <v>0</v>
      </c>
      <c r="AN424">
        <f t="shared" si="190"/>
        <v>0</v>
      </c>
      <c r="AO424">
        <f t="shared" si="191"/>
        <v>1</v>
      </c>
      <c r="AP424">
        <f t="shared" si="192"/>
        <v>1</v>
      </c>
      <c r="AQ424">
        <f t="shared" si="193"/>
        <v>0</v>
      </c>
      <c r="AR424">
        <f t="shared" si="194"/>
        <v>0</v>
      </c>
      <c r="AS424">
        <f t="shared" si="195"/>
        <v>0</v>
      </c>
    </row>
    <row r="425" spans="2:45" x14ac:dyDescent="0.3">
      <c r="B425">
        <v>424</v>
      </c>
      <c r="C425" s="1">
        <v>40967</v>
      </c>
      <c r="D425">
        <v>1</v>
      </c>
      <c r="E425">
        <v>1</v>
      </c>
      <c r="F425">
        <v>2</v>
      </c>
      <c r="G425">
        <v>2</v>
      </c>
      <c r="H425">
        <v>1</v>
      </c>
      <c r="I425">
        <v>229</v>
      </c>
      <c r="J425">
        <v>4134</v>
      </c>
      <c r="K425" s="8">
        <v>4363</v>
      </c>
      <c r="L425">
        <v>14.725847</v>
      </c>
      <c r="M425">
        <v>17.67625</v>
      </c>
      <c r="N425">
        <v>39.583300000000001</v>
      </c>
      <c r="O425">
        <v>12.958939000000001</v>
      </c>
      <c r="P425">
        <v>0</v>
      </c>
      <c r="Q425">
        <v>1</v>
      </c>
      <c r="R425">
        <f t="shared" si="168"/>
        <v>0</v>
      </c>
      <c r="S425">
        <f t="shared" si="169"/>
        <v>1</v>
      </c>
      <c r="T425">
        <f t="shared" si="170"/>
        <v>0</v>
      </c>
      <c r="U425">
        <f t="shared" si="171"/>
        <v>0</v>
      </c>
      <c r="V425">
        <f t="shared" si="172"/>
        <v>0</v>
      </c>
      <c r="W425">
        <f t="shared" si="173"/>
        <v>0</v>
      </c>
      <c r="X425">
        <f t="shared" si="174"/>
        <v>0</v>
      </c>
      <c r="Y425">
        <f t="shared" si="175"/>
        <v>0</v>
      </c>
      <c r="Z425">
        <f t="shared" si="176"/>
        <v>0</v>
      </c>
      <c r="AA425">
        <f t="shared" si="177"/>
        <v>0</v>
      </c>
      <c r="AB425">
        <f t="shared" si="178"/>
        <v>0</v>
      </c>
      <c r="AC425">
        <f t="shared" si="179"/>
        <v>0</v>
      </c>
      <c r="AD425">
        <f t="shared" si="180"/>
        <v>0</v>
      </c>
      <c r="AE425">
        <f t="shared" si="181"/>
        <v>0</v>
      </c>
      <c r="AF425">
        <f t="shared" si="182"/>
        <v>1</v>
      </c>
      <c r="AG425">
        <f t="shared" si="183"/>
        <v>0</v>
      </c>
      <c r="AH425">
        <f t="shared" si="184"/>
        <v>0</v>
      </c>
      <c r="AI425">
        <f t="shared" si="185"/>
        <v>0</v>
      </c>
      <c r="AJ425">
        <f t="shared" si="186"/>
        <v>0</v>
      </c>
      <c r="AK425">
        <f t="shared" si="187"/>
        <v>1</v>
      </c>
      <c r="AL425">
        <f t="shared" si="188"/>
        <v>0</v>
      </c>
      <c r="AM425">
        <f t="shared" si="189"/>
        <v>0</v>
      </c>
      <c r="AN425">
        <f t="shared" si="190"/>
        <v>0</v>
      </c>
      <c r="AO425">
        <f t="shared" si="191"/>
        <v>1</v>
      </c>
      <c r="AP425">
        <f t="shared" si="192"/>
        <v>1</v>
      </c>
      <c r="AQ425">
        <f t="shared" si="193"/>
        <v>0</v>
      </c>
      <c r="AR425">
        <f t="shared" si="194"/>
        <v>0</v>
      </c>
      <c r="AS425">
        <f t="shared" si="195"/>
        <v>0</v>
      </c>
    </row>
    <row r="426" spans="2:45" x14ac:dyDescent="0.3">
      <c r="B426">
        <v>425</v>
      </c>
      <c r="C426" s="1">
        <v>40968</v>
      </c>
      <c r="D426">
        <v>1</v>
      </c>
      <c r="E426">
        <v>1</v>
      </c>
      <c r="F426">
        <v>2</v>
      </c>
      <c r="G426">
        <v>3</v>
      </c>
      <c r="H426">
        <v>2</v>
      </c>
      <c r="I426">
        <v>65</v>
      </c>
      <c r="J426">
        <v>1769</v>
      </c>
      <c r="K426" s="8">
        <v>1834</v>
      </c>
      <c r="L426">
        <v>14.118268</v>
      </c>
      <c r="M426">
        <v>17.423500000000001</v>
      </c>
      <c r="N426">
        <v>80.478300000000004</v>
      </c>
      <c r="O426">
        <v>12.000838999999999</v>
      </c>
      <c r="P426">
        <v>0</v>
      </c>
      <c r="Q426">
        <v>1</v>
      </c>
      <c r="R426">
        <f t="shared" si="168"/>
        <v>0</v>
      </c>
      <c r="S426">
        <f t="shared" si="169"/>
        <v>1</v>
      </c>
      <c r="T426">
        <f t="shared" si="170"/>
        <v>0</v>
      </c>
      <c r="U426">
        <f t="shared" si="171"/>
        <v>0</v>
      </c>
      <c r="V426">
        <f t="shared" si="172"/>
        <v>0</v>
      </c>
      <c r="W426">
        <f t="shared" si="173"/>
        <v>0</v>
      </c>
      <c r="X426">
        <f t="shared" si="174"/>
        <v>0</v>
      </c>
      <c r="Y426">
        <f t="shared" si="175"/>
        <v>0</v>
      </c>
      <c r="Z426">
        <f t="shared" si="176"/>
        <v>0</v>
      </c>
      <c r="AA426">
        <f t="shared" si="177"/>
        <v>0</v>
      </c>
      <c r="AB426">
        <f t="shared" si="178"/>
        <v>0</v>
      </c>
      <c r="AC426">
        <f t="shared" si="179"/>
        <v>0</v>
      </c>
      <c r="AD426">
        <f t="shared" si="180"/>
        <v>0</v>
      </c>
      <c r="AE426">
        <f t="shared" si="181"/>
        <v>0</v>
      </c>
      <c r="AF426">
        <f t="shared" si="182"/>
        <v>0</v>
      </c>
      <c r="AG426">
        <f t="shared" si="183"/>
        <v>1</v>
      </c>
      <c r="AH426">
        <f t="shared" si="184"/>
        <v>0</v>
      </c>
      <c r="AI426">
        <f t="shared" si="185"/>
        <v>0</v>
      </c>
      <c r="AJ426">
        <f t="shared" si="186"/>
        <v>0</v>
      </c>
      <c r="AK426">
        <f t="shared" si="187"/>
        <v>0</v>
      </c>
      <c r="AL426">
        <f t="shared" si="188"/>
        <v>1</v>
      </c>
      <c r="AM426">
        <f t="shared" si="189"/>
        <v>0</v>
      </c>
      <c r="AN426">
        <f t="shared" si="190"/>
        <v>0</v>
      </c>
      <c r="AO426">
        <f t="shared" si="191"/>
        <v>1</v>
      </c>
      <c r="AP426">
        <f t="shared" si="192"/>
        <v>1</v>
      </c>
      <c r="AQ426">
        <f t="shared" si="193"/>
        <v>0</v>
      </c>
      <c r="AR426">
        <f t="shared" si="194"/>
        <v>0</v>
      </c>
      <c r="AS426">
        <f t="shared" si="195"/>
        <v>0</v>
      </c>
    </row>
    <row r="427" spans="2:45" x14ac:dyDescent="0.3">
      <c r="B427">
        <v>426</v>
      </c>
      <c r="C427" s="1">
        <v>40969</v>
      </c>
      <c r="D427">
        <v>1</v>
      </c>
      <c r="E427">
        <v>1</v>
      </c>
      <c r="F427">
        <v>3</v>
      </c>
      <c r="G427">
        <v>4</v>
      </c>
      <c r="H427">
        <v>1</v>
      </c>
      <c r="I427">
        <v>325</v>
      </c>
      <c r="J427">
        <v>4665</v>
      </c>
      <c r="K427" s="8">
        <v>4990</v>
      </c>
      <c r="L427">
        <v>19.919153000000001</v>
      </c>
      <c r="M427">
        <v>23.768550000000001</v>
      </c>
      <c r="N427">
        <v>61.541699999999999</v>
      </c>
      <c r="O427">
        <v>15.208129</v>
      </c>
      <c r="P427">
        <v>0</v>
      </c>
      <c r="Q427">
        <v>1</v>
      </c>
      <c r="R427">
        <f t="shared" si="168"/>
        <v>0</v>
      </c>
      <c r="S427">
        <f t="shared" si="169"/>
        <v>0</v>
      </c>
      <c r="T427">
        <f t="shared" si="170"/>
        <v>1</v>
      </c>
      <c r="U427">
        <f t="shared" si="171"/>
        <v>0</v>
      </c>
      <c r="V427">
        <f t="shared" si="172"/>
        <v>0</v>
      </c>
      <c r="W427">
        <f t="shared" si="173"/>
        <v>0</v>
      </c>
      <c r="X427">
        <f t="shared" si="174"/>
        <v>0</v>
      </c>
      <c r="Y427">
        <f t="shared" si="175"/>
        <v>0</v>
      </c>
      <c r="Z427">
        <f t="shared" si="176"/>
        <v>0</v>
      </c>
      <c r="AA427">
        <f t="shared" si="177"/>
        <v>0</v>
      </c>
      <c r="AB427">
        <f t="shared" si="178"/>
        <v>0</v>
      </c>
      <c r="AC427">
        <f t="shared" si="179"/>
        <v>0</v>
      </c>
      <c r="AD427">
        <f t="shared" si="180"/>
        <v>0</v>
      </c>
      <c r="AE427">
        <f t="shared" si="181"/>
        <v>0</v>
      </c>
      <c r="AF427">
        <f t="shared" si="182"/>
        <v>0</v>
      </c>
      <c r="AG427">
        <f t="shared" si="183"/>
        <v>0</v>
      </c>
      <c r="AH427">
        <f t="shared" si="184"/>
        <v>1</v>
      </c>
      <c r="AI427">
        <f t="shared" si="185"/>
        <v>0</v>
      </c>
      <c r="AJ427">
        <f t="shared" si="186"/>
        <v>0</v>
      </c>
      <c r="AK427">
        <f t="shared" si="187"/>
        <v>1</v>
      </c>
      <c r="AL427">
        <f t="shared" si="188"/>
        <v>0</v>
      </c>
      <c r="AM427">
        <f t="shared" si="189"/>
        <v>0</v>
      </c>
      <c r="AN427">
        <f t="shared" si="190"/>
        <v>0</v>
      </c>
      <c r="AO427">
        <f t="shared" si="191"/>
        <v>1</v>
      </c>
      <c r="AP427">
        <f t="shared" si="192"/>
        <v>1</v>
      </c>
      <c r="AQ427">
        <f t="shared" si="193"/>
        <v>0</v>
      </c>
      <c r="AR427">
        <f t="shared" si="194"/>
        <v>0</v>
      </c>
      <c r="AS427">
        <f t="shared" si="195"/>
        <v>0</v>
      </c>
    </row>
    <row r="428" spans="2:45" x14ac:dyDescent="0.3">
      <c r="B428">
        <v>427</v>
      </c>
      <c r="C428" s="1">
        <v>40970</v>
      </c>
      <c r="D428">
        <v>1</v>
      </c>
      <c r="E428">
        <v>1</v>
      </c>
      <c r="F428">
        <v>3</v>
      </c>
      <c r="G428">
        <v>5</v>
      </c>
      <c r="H428">
        <v>2</v>
      </c>
      <c r="I428">
        <v>246</v>
      </c>
      <c r="J428">
        <v>2948</v>
      </c>
      <c r="K428" s="8">
        <v>3194</v>
      </c>
      <c r="L428">
        <v>14.486653</v>
      </c>
      <c r="M428">
        <v>17.992100000000001</v>
      </c>
      <c r="N428">
        <v>65.708299999999994</v>
      </c>
      <c r="O428">
        <v>9.7085679999999996</v>
      </c>
      <c r="P428">
        <v>0</v>
      </c>
      <c r="Q428">
        <v>1</v>
      </c>
      <c r="R428">
        <f t="shared" si="168"/>
        <v>0</v>
      </c>
      <c r="S428">
        <f t="shared" si="169"/>
        <v>0</v>
      </c>
      <c r="T428">
        <f t="shared" si="170"/>
        <v>1</v>
      </c>
      <c r="U428">
        <f t="shared" si="171"/>
        <v>0</v>
      </c>
      <c r="V428">
        <f t="shared" si="172"/>
        <v>0</v>
      </c>
      <c r="W428">
        <f t="shared" si="173"/>
        <v>0</v>
      </c>
      <c r="X428">
        <f t="shared" si="174"/>
        <v>0</v>
      </c>
      <c r="Y428">
        <f t="shared" si="175"/>
        <v>0</v>
      </c>
      <c r="Z428">
        <f t="shared" si="176"/>
        <v>0</v>
      </c>
      <c r="AA428">
        <f t="shared" si="177"/>
        <v>0</v>
      </c>
      <c r="AB428">
        <f t="shared" si="178"/>
        <v>0</v>
      </c>
      <c r="AC428">
        <f t="shared" si="179"/>
        <v>0</v>
      </c>
      <c r="AD428">
        <f t="shared" si="180"/>
        <v>0</v>
      </c>
      <c r="AE428">
        <f t="shared" si="181"/>
        <v>0</v>
      </c>
      <c r="AF428">
        <f t="shared" si="182"/>
        <v>0</v>
      </c>
      <c r="AG428">
        <f t="shared" si="183"/>
        <v>0</v>
      </c>
      <c r="AH428">
        <f t="shared" si="184"/>
        <v>0</v>
      </c>
      <c r="AI428">
        <f t="shared" si="185"/>
        <v>1</v>
      </c>
      <c r="AJ428">
        <f t="shared" si="186"/>
        <v>0</v>
      </c>
      <c r="AK428">
        <f t="shared" si="187"/>
        <v>0</v>
      </c>
      <c r="AL428">
        <f t="shared" si="188"/>
        <v>1</v>
      </c>
      <c r="AM428">
        <f t="shared" si="189"/>
        <v>0</v>
      </c>
      <c r="AN428">
        <f t="shared" si="190"/>
        <v>0</v>
      </c>
      <c r="AO428">
        <f t="shared" si="191"/>
        <v>1</v>
      </c>
      <c r="AP428">
        <f t="shared" si="192"/>
        <v>1</v>
      </c>
      <c r="AQ428">
        <f t="shared" si="193"/>
        <v>0</v>
      </c>
      <c r="AR428">
        <f t="shared" si="194"/>
        <v>0</v>
      </c>
      <c r="AS428">
        <f t="shared" si="195"/>
        <v>0</v>
      </c>
    </row>
    <row r="429" spans="2:45" x14ac:dyDescent="0.3">
      <c r="B429">
        <v>428</v>
      </c>
      <c r="C429" s="1">
        <v>40971</v>
      </c>
      <c r="D429">
        <v>1</v>
      </c>
      <c r="E429">
        <v>1</v>
      </c>
      <c r="F429">
        <v>3</v>
      </c>
      <c r="G429">
        <v>6</v>
      </c>
      <c r="H429">
        <v>2</v>
      </c>
      <c r="I429">
        <v>956</v>
      </c>
      <c r="J429">
        <v>3110</v>
      </c>
      <c r="K429" s="8">
        <v>4066</v>
      </c>
      <c r="L429">
        <v>16.980847000000001</v>
      </c>
      <c r="M429">
        <v>20.674600000000002</v>
      </c>
      <c r="N429">
        <v>62.125</v>
      </c>
      <c r="O429">
        <v>10.792293000000001</v>
      </c>
      <c r="P429">
        <v>0</v>
      </c>
      <c r="Q429">
        <v>0</v>
      </c>
      <c r="R429">
        <f t="shared" si="168"/>
        <v>0</v>
      </c>
      <c r="S429">
        <f t="shared" si="169"/>
        <v>0</v>
      </c>
      <c r="T429">
        <f t="shared" si="170"/>
        <v>1</v>
      </c>
      <c r="U429">
        <f t="shared" si="171"/>
        <v>0</v>
      </c>
      <c r="V429">
        <f t="shared" si="172"/>
        <v>0</v>
      </c>
      <c r="W429">
        <f t="shared" si="173"/>
        <v>0</v>
      </c>
      <c r="X429">
        <f t="shared" si="174"/>
        <v>0</v>
      </c>
      <c r="Y429">
        <f t="shared" si="175"/>
        <v>0</v>
      </c>
      <c r="Z429">
        <f t="shared" si="176"/>
        <v>0</v>
      </c>
      <c r="AA429">
        <f t="shared" si="177"/>
        <v>0</v>
      </c>
      <c r="AB429">
        <f t="shared" si="178"/>
        <v>0</v>
      </c>
      <c r="AC429">
        <f t="shared" si="179"/>
        <v>0</v>
      </c>
      <c r="AD429">
        <f t="shared" si="180"/>
        <v>0</v>
      </c>
      <c r="AE429">
        <f t="shared" si="181"/>
        <v>0</v>
      </c>
      <c r="AF429">
        <f t="shared" si="182"/>
        <v>0</v>
      </c>
      <c r="AG429">
        <f t="shared" si="183"/>
        <v>0</v>
      </c>
      <c r="AH429">
        <f t="shared" si="184"/>
        <v>0</v>
      </c>
      <c r="AI429">
        <f t="shared" si="185"/>
        <v>0</v>
      </c>
      <c r="AJ429">
        <f t="shared" si="186"/>
        <v>1</v>
      </c>
      <c r="AK429">
        <f t="shared" si="187"/>
        <v>0</v>
      </c>
      <c r="AL429">
        <f t="shared" si="188"/>
        <v>1</v>
      </c>
      <c r="AM429">
        <f t="shared" si="189"/>
        <v>0</v>
      </c>
      <c r="AN429">
        <f t="shared" si="190"/>
        <v>0</v>
      </c>
      <c r="AO429">
        <f t="shared" si="191"/>
        <v>1</v>
      </c>
      <c r="AP429">
        <f t="shared" si="192"/>
        <v>1</v>
      </c>
      <c r="AQ429">
        <f t="shared" si="193"/>
        <v>0</v>
      </c>
      <c r="AR429">
        <f t="shared" si="194"/>
        <v>0</v>
      </c>
      <c r="AS429">
        <f t="shared" si="195"/>
        <v>0</v>
      </c>
    </row>
    <row r="430" spans="2:45" x14ac:dyDescent="0.3">
      <c r="B430">
        <v>429</v>
      </c>
      <c r="C430" s="1">
        <v>40972</v>
      </c>
      <c r="D430">
        <v>1</v>
      </c>
      <c r="E430">
        <v>1</v>
      </c>
      <c r="F430">
        <v>3</v>
      </c>
      <c r="G430">
        <v>0</v>
      </c>
      <c r="H430">
        <v>1</v>
      </c>
      <c r="I430">
        <v>710</v>
      </c>
      <c r="J430">
        <v>2713</v>
      </c>
      <c r="K430" s="8">
        <v>3423</v>
      </c>
      <c r="L430">
        <v>13.359152999999999</v>
      </c>
      <c r="M430">
        <v>15.15105</v>
      </c>
      <c r="N430">
        <v>40.333300000000001</v>
      </c>
      <c r="O430">
        <v>22.416257000000002</v>
      </c>
      <c r="P430">
        <v>0</v>
      </c>
      <c r="Q430">
        <v>0</v>
      </c>
      <c r="R430">
        <f t="shared" si="168"/>
        <v>0</v>
      </c>
      <c r="S430">
        <f t="shared" si="169"/>
        <v>0</v>
      </c>
      <c r="T430">
        <f t="shared" si="170"/>
        <v>1</v>
      </c>
      <c r="U430">
        <f t="shared" si="171"/>
        <v>0</v>
      </c>
      <c r="V430">
        <f t="shared" si="172"/>
        <v>0</v>
      </c>
      <c r="W430">
        <f t="shared" si="173"/>
        <v>0</v>
      </c>
      <c r="X430">
        <f t="shared" si="174"/>
        <v>0</v>
      </c>
      <c r="Y430">
        <f t="shared" si="175"/>
        <v>0</v>
      </c>
      <c r="Z430">
        <f t="shared" si="176"/>
        <v>0</v>
      </c>
      <c r="AA430">
        <f t="shared" si="177"/>
        <v>0</v>
      </c>
      <c r="AB430">
        <f t="shared" si="178"/>
        <v>0</v>
      </c>
      <c r="AC430">
        <f t="shared" si="179"/>
        <v>0</v>
      </c>
      <c r="AD430">
        <f t="shared" si="180"/>
        <v>1</v>
      </c>
      <c r="AE430">
        <f t="shared" si="181"/>
        <v>0</v>
      </c>
      <c r="AF430">
        <f t="shared" si="182"/>
        <v>0</v>
      </c>
      <c r="AG430">
        <f t="shared" si="183"/>
        <v>0</v>
      </c>
      <c r="AH430">
        <f t="shared" si="184"/>
        <v>0</v>
      </c>
      <c r="AI430">
        <f t="shared" si="185"/>
        <v>0</v>
      </c>
      <c r="AJ430">
        <f t="shared" si="186"/>
        <v>0</v>
      </c>
      <c r="AK430">
        <f t="shared" si="187"/>
        <v>1</v>
      </c>
      <c r="AL430">
        <f t="shared" si="188"/>
        <v>0</v>
      </c>
      <c r="AM430">
        <f t="shared" si="189"/>
        <v>0</v>
      </c>
      <c r="AN430">
        <f t="shared" si="190"/>
        <v>0</v>
      </c>
      <c r="AO430">
        <f t="shared" si="191"/>
        <v>1</v>
      </c>
      <c r="AP430">
        <f t="shared" si="192"/>
        <v>1</v>
      </c>
      <c r="AQ430">
        <f t="shared" si="193"/>
        <v>0</v>
      </c>
      <c r="AR430">
        <f t="shared" si="194"/>
        <v>0</v>
      </c>
      <c r="AS430">
        <f t="shared" si="195"/>
        <v>0</v>
      </c>
    </row>
    <row r="431" spans="2:45" x14ac:dyDescent="0.3">
      <c r="B431">
        <v>430</v>
      </c>
      <c r="C431" s="1">
        <v>40973</v>
      </c>
      <c r="D431">
        <v>1</v>
      </c>
      <c r="E431">
        <v>1</v>
      </c>
      <c r="F431">
        <v>3</v>
      </c>
      <c r="G431">
        <v>1</v>
      </c>
      <c r="H431">
        <v>1</v>
      </c>
      <c r="I431">
        <v>203</v>
      </c>
      <c r="J431">
        <v>3130</v>
      </c>
      <c r="K431" s="8">
        <v>3333</v>
      </c>
      <c r="L431">
        <v>9.9766530000000007</v>
      </c>
      <c r="M431">
        <v>12.05855</v>
      </c>
      <c r="N431">
        <v>50.625</v>
      </c>
      <c r="O431">
        <v>15.333486000000001</v>
      </c>
      <c r="P431">
        <v>0</v>
      </c>
      <c r="Q431">
        <v>1</v>
      </c>
      <c r="R431">
        <f t="shared" si="168"/>
        <v>0</v>
      </c>
      <c r="S431">
        <f t="shared" si="169"/>
        <v>0</v>
      </c>
      <c r="T431">
        <f t="shared" si="170"/>
        <v>1</v>
      </c>
      <c r="U431">
        <f t="shared" si="171"/>
        <v>0</v>
      </c>
      <c r="V431">
        <f t="shared" si="172"/>
        <v>0</v>
      </c>
      <c r="W431">
        <f t="shared" si="173"/>
        <v>0</v>
      </c>
      <c r="X431">
        <f t="shared" si="174"/>
        <v>0</v>
      </c>
      <c r="Y431">
        <f t="shared" si="175"/>
        <v>0</v>
      </c>
      <c r="Z431">
        <f t="shared" si="176"/>
        <v>0</v>
      </c>
      <c r="AA431">
        <f t="shared" si="177"/>
        <v>0</v>
      </c>
      <c r="AB431">
        <f t="shared" si="178"/>
        <v>0</v>
      </c>
      <c r="AC431">
        <f t="shared" si="179"/>
        <v>0</v>
      </c>
      <c r="AD431">
        <f t="shared" si="180"/>
        <v>0</v>
      </c>
      <c r="AE431">
        <f t="shared" si="181"/>
        <v>1</v>
      </c>
      <c r="AF431">
        <f t="shared" si="182"/>
        <v>0</v>
      </c>
      <c r="AG431">
        <f t="shared" si="183"/>
        <v>0</v>
      </c>
      <c r="AH431">
        <f t="shared" si="184"/>
        <v>0</v>
      </c>
      <c r="AI431">
        <f t="shared" si="185"/>
        <v>0</v>
      </c>
      <c r="AJ431">
        <f t="shared" si="186"/>
        <v>0</v>
      </c>
      <c r="AK431">
        <f t="shared" si="187"/>
        <v>1</v>
      </c>
      <c r="AL431">
        <f t="shared" si="188"/>
        <v>0</v>
      </c>
      <c r="AM431">
        <f t="shared" si="189"/>
        <v>0</v>
      </c>
      <c r="AN431">
        <f t="shared" si="190"/>
        <v>0</v>
      </c>
      <c r="AO431">
        <f t="shared" si="191"/>
        <v>1</v>
      </c>
      <c r="AP431">
        <f t="shared" si="192"/>
        <v>1</v>
      </c>
      <c r="AQ431">
        <f t="shared" si="193"/>
        <v>0</v>
      </c>
      <c r="AR431">
        <f t="shared" si="194"/>
        <v>0</v>
      </c>
      <c r="AS431">
        <f t="shared" si="195"/>
        <v>0</v>
      </c>
    </row>
    <row r="432" spans="2:45" x14ac:dyDescent="0.3">
      <c r="B432">
        <v>431</v>
      </c>
      <c r="C432" s="1">
        <v>40974</v>
      </c>
      <c r="D432">
        <v>1</v>
      </c>
      <c r="E432">
        <v>1</v>
      </c>
      <c r="F432">
        <v>3</v>
      </c>
      <c r="G432">
        <v>2</v>
      </c>
      <c r="H432">
        <v>1</v>
      </c>
      <c r="I432">
        <v>221</v>
      </c>
      <c r="J432">
        <v>3735</v>
      </c>
      <c r="K432" s="8">
        <v>3956</v>
      </c>
      <c r="L432">
        <v>10.591653000000001</v>
      </c>
      <c r="M432">
        <v>12.7521</v>
      </c>
      <c r="N432">
        <v>45.666699999999999</v>
      </c>
      <c r="O432">
        <v>13.458625</v>
      </c>
      <c r="P432">
        <v>0</v>
      </c>
      <c r="Q432">
        <v>1</v>
      </c>
      <c r="R432">
        <f t="shared" si="168"/>
        <v>0</v>
      </c>
      <c r="S432">
        <f t="shared" si="169"/>
        <v>0</v>
      </c>
      <c r="T432">
        <f t="shared" si="170"/>
        <v>1</v>
      </c>
      <c r="U432">
        <f t="shared" si="171"/>
        <v>0</v>
      </c>
      <c r="V432">
        <f t="shared" si="172"/>
        <v>0</v>
      </c>
      <c r="W432">
        <f t="shared" si="173"/>
        <v>0</v>
      </c>
      <c r="X432">
        <f t="shared" si="174"/>
        <v>0</v>
      </c>
      <c r="Y432">
        <f t="shared" si="175"/>
        <v>0</v>
      </c>
      <c r="Z432">
        <f t="shared" si="176"/>
        <v>0</v>
      </c>
      <c r="AA432">
        <f t="shared" si="177"/>
        <v>0</v>
      </c>
      <c r="AB432">
        <f t="shared" si="178"/>
        <v>0</v>
      </c>
      <c r="AC432">
        <f t="shared" si="179"/>
        <v>0</v>
      </c>
      <c r="AD432">
        <f t="shared" si="180"/>
        <v>0</v>
      </c>
      <c r="AE432">
        <f t="shared" si="181"/>
        <v>0</v>
      </c>
      <c r="AF432">
        <f t="shared" si="182"/>
        <v>1</v>
      </c>
      <c r="AG432">
        <f t="shared" si="183"/>
        <v>0</v>
      </c>
      <c r="AH432">
        <f t="shared" si="184"/>
        <v>0</v>
      </c>
      <c r="AI432">
        <f t="shared" si="185"/>
        <v>0</v>
      </c>
      <c r="AJ432">
        <f t="shared" si="186"/>
        <v>0</v>
      </c>
      <c r="AK432">
        <f t="shared" si="187"/>
        <v>1</v>
      </c>
      <c r="AL432">
        <f t="shared" si="188"/>
        <v>0</v>
      </c>
      <c r="AM432">
        <f t="shared" si="189"/>
        <v>0</v>
      </c>
      <c r="AN432">
        <f t="shared" si="190"/>
        <v>0</v>
      </c>
      <c r="AO432">
        <f t="shared" si="191"/>
        <v>1</v>
      </c>
      <c r="AP432">
        <f t="shared" si="192"/>
        <v>1</v>
      </c>
      <c r="AQ432">
        <f t="shared" si="193"/>
        <v>0</v>
      </c>
      <c r="AR432">
        <f t="shared" si="194"/>
        <v>0</v>
      </c>
      <c r="AS432">
        <f t="shared" si="195"/>
        <v>0</v>
      </c>
    </row>
    <row r="433" spans="2:45" x14ac:dyDescent="0.3">
      <c r="B433">
        <v>432</v>
      </c>
      <c r="C433" s="1">
        <v>40975</v>
      </c>
      <c r="D433">
        <v>1</v>
      </c>
      <c r="E433">
        <v>1</v>
      </c>
      <c r="F433">
        <v>3</v>
      </c>
      <c r="G433">
        <v>3</v>
      </c>
      <c r="H433">
        <v>1</v>
      </c>
      <c r="I433">
        <v>432</v>
      </c>
      <c r="J433">
        <v>4484</v>
      </c>
      <c r="K433" s="8">
        <v>4916</v>
      </c>
      <c r="L433">
        <v>16.570847000000001</v>
      </c>
      <c r="M433">
        <v>19.254999999999999</v>
      </c>
      <c r="N433">
        <v>51.333300000000001</v>
      </c>
      <c r="O433">
        <v>23.167193000000001</v>
      </c>
      <c r="P433">
        <v>0</v>
      </c>
      <c r="Q433">
        <v>1</v>
      </c>
      <c r="R433">
        <f t="shared" si="168"/>
        <v>0</v>
      </c>
      <c r="S433">
        <f t="shared" si="169"/>
        <v>0</v>
      </c>
      <c r="T433">
        <f t="shared" si="170"/>
        <v>1</v>
      </c>
      <c r="U433">
        <f t="shared" si="171"/>
        <v>0</v>
      </c>
      <c r="V433">
        <f t="shared" si="172"/>
        <v>0</v>
      </c>
      <c r="W433">
        <f t="shared" si="173"/>
        <v>0</v>
      </c>
      <c r="X433">
        <f t="shared" si="174"/>
        <v>0</v>
      </c>
      <c r="Y433">
        <f t="shared" si="175"/>
        <v>0</v>
      </c>
      <c r="Z433">
        <f t="shared" si="176"/>
        <v>0</v>
      </c>
      <c r="AA433">
        <f t="shared" si="177"/>
        <v>0</v>
      </c>
      <c r="AB433">
        <f t="shared" si="178"/>
        <v>0</v>
      </c>
      <c r="AC433">
        <f t="shared" si="179"/>
        <v>0</v>
      </c>
      <c r="AD433">
        <f t="shared" si="180"/>
        <v>0</v>
      </c>
      <c r="AE433">
        <f t="shared" si="181"/>
        <v>0</v>
      </c>
      <c r="AF433">
        <f t="shared" si="182"/>
        <v>0</v>
      </c>
      <c r="AG433">
        <f t="shared" si="183"/>
        <v>1</v>
      </c>
      <c r="AH433">
        <f t="shared" si="184"/>
        <v>0</v>
      </c>
      <c r="AI433">
        <f t="shared" si="185"/>
        <v>0</v>
      </c>
      <c r="AJ433">
        <f t="shared" si="186"/>
        <v>0</v>
      </c>
      <c r="AK433">
        <f t="shared" si="187"/>
        <v>1</v>
      </c>
      <c r="AL433">
        <f t="shared" si="188"/>
        <v>0</v>
      </c>
      <c r="AM433">
        <f t="shared" si="189"/>
        <v>0</v>
      </c>
      <c r="AN433">
        <f t="shared" si="190"/>
        <v>0</v>
      </c>
      <c r="AO433">
        <f t="shared" si="191"/>
        <v>1</v>
      </c>
      <c r="AP433">
        <f t="shared" si="192"/>
        <v>1</v>
      </c>
      <c r="AQ433">
        <f t="shared" si="193"/>
        <v>0</v>
      </c>
      <c r="AR433">
        <f t="shared" si="194"/>
        <v>0</v>
      </c>
      <c r="AS433">
        <f t="shared" si="195"/>
        <v>0</v>
      </c>
    </row>
    <row r="434" spans="2:45" x14ac:dyDescent="0.3">
      <c r="B434">
        <v>433</v>
      </c>
      <c r="C434" s="1">
        <v>40976</v>
      </c>
      <c r="D434">
        <v>1</v>
      </c>
      <c r="E434">
        <v>1</v>
      </c>
      <c r="F434">
        <v>3</v>
      </c>
      <c r="G434">
        <v>4</v>
      </c>
      <c r="H434">
        <v>1</v>
      </c>
      <c r="I434">
        <v>486</v>
      </c>
      <c r="J434">
        <v>4896</v>
      </c>
      <c r="K434" s="8">
        <v>5382</v>
      </c>
      <c r="L434">
        <v>21.627500000000001</v>
      </c>
      <c r="M434">
        <v>26.2302</v>
      </c>
      <c r="N434">
        <v>56.75</v>
      </c>
      <c r="O434">
        <v>29.584720999999998</v>
      </c>
      <c r="P434">
        <v>0</v>
      </c>
      <c r="Q434">
        <v>1</v>
      </c>
      <c r="R434">
        <f t="shared" si="168"/>
        <v>0</v>
      </c>
      <c r="S434">
        <f t="shared" si="169"/>
        <v>0</v>
      </c>
      <c r="T434">
        <f t="shared" si="170"/>
        <v>1</v>
      </c>
      <c r="U434">
        <f t="shared" si="171"/>
        <v>0</v>
      </c>
      <c r="V434">
        <f t="shared" si="172"/>
        <v>0</v>
      </c>
      <c r="W434">
        <f t="shared" si="173"/>
        <v>0</v>
      </c>
      <c r="X434">
        <f t="shared" si="174"/>
        <v>0</v>
      </c>
      <c r="Y434">
        <f t="shared" si="175"/>
        <v>0</v>
      </c>
      <c r="Z434">
        <f t="shared" si="176"/>
        <v>0</v>
      </c>
      <c r="AA434">
        <f t="shared" si="177"/>
        <v>0</v>
      </c>
      <c r="AB434">
        <f t="shared" si="178"/>
        <v>0</v>
      </c>
      <c r="AC434">
        <f t="shared" si="179"/>
        <v>0</v>
      </c>
      <c r="AD434">
        <f t="shared" si="180"/>
        <v>0</v>
      </c>
      <c r="AE434">
        <f t="shared" si="181"/>
        <v>0</v>
      </c>
      <c r="AF434">
        <f t="shared" si="182"/>
        <v>0</v>
      </c>
      <c r="AG434">
        <f t="shared" si="183"/>
        <v>0</v>
      </c>
      <c r="AH434">
        <f t="shared" si="184"/>
        <v>1</v>
      </c>
      <c r="AI434">
        <f t="shared" si="185"/>
        <v>0</v>
      </c>
      <c r="AJ434">
        <f t="shared" si="186"/>
        <v>0</v>
      </c>
      <c r="AK434">
        <f t="shared" si="187"/>
        <v>1</v>
      </c>
      <c r="AL434">
        <f t="shared" si="188"/>
        <v>0</v>
      </c>
      <c r="AM434">
        <f t="shared" si="189"/>
        <v>0</v>
      </c>
      <c r="AN434">
        <f t="shared" si="190"/>
        <v>0</v>
      </c>
      <c r="AO434">
        <f t="shared" si="191"/>
        <v>1</v>
      </c>
      <c r="AP434">
        <f t="shared" si="192"/>
        <v>1</v>
      </c>
      <c r="AQ434">
        <f t="shared" si="193"/>
        <v>0</v>
      </c>
      <c r="AR434">
        <f t="shared" si="194"/>
        <v>0</v>
      </c>
      <c r="AS434">
        <f t="shared" si="195"/>
        <v>0</v>
      </c>
    </row>
    <row r="435" spans="2:45" x14ac:dyDescent="0.3">
      <c r="B435">
        <v>434</v>
      </c>
      <c r="C435" s="1">
        <v>40977</v>
      </c>
      <c r="D435">
        <v>1</v>
      </c>
      <c r="E435">
        <v>1</v>
      </c>
      <c r="F435">
        <v>3</v>
      </c>
      <c r="G435">
        <v>5</v>
      </c>
      <c r="H435">
        <v>2</v>
      </c>
      <c r="I435">
        <v>447</v>
      </c>
      <c r="J435">
        <v>4122</v>
      </c>
      <c r="K435" s="8">
        <v>4569</v>
      </c>
      <c r="L435">
        <v>16.844152999999999</v>
      </c>
      <c r="M435">
        <v>19.854150000000001</v>
      </c>
      <c r="N435">
        <v>40.708300000000001</v>
      </c>
      <c r="O435">
        <v>27.791599999999999</v>
      </c>
      <c r="P435">
        <v>0</v>
      </c>
      <c r="Q435">
        <v>1</v>
      </c>
      <c r="R435">
        <f t="shared" si="168"/>
        <v>0</v>
      </c>
      <c r="S435">
        <f t="shared" si="169"/>
        <v>0</v>
      </c>
      <c r="T435">
        <f t="shared" si="170"/>
        <v>1</v>
      </c>
      <c r="U435">
        <f t="shared" si="171"/>
        <v>0</v>
      </c>
      <c r="V435">
        <f t="shared" si="172"/>
        <v>0</v>
      </c>
      <c r="W435">
        <f t="shared" si="173"/>
        <v>0</v>
      </c>
      <c r="X435">
        <f t="shared" si="174"/>
        <v>0</v>
      </c>
      <c r="Y435">
        <f t="shared" si="175"/>
        <v>0</v>
      </c>
      <c r="Z435">
        <f t="shared" si="176"/>
        <v>0</v>
      </c>
      <c r="AA435">
        <f t="shared" si="177"/>
        <v>0</v>
      </c>
      <c r="AB435">
        <f t="shared" si="178"/>
        <v>0</v>
      </c>
      <c r="AC435">
        <f t="shared" si="179"/>
        <v>0</v>
      </c>
      <c r="AD435">
        <f t="shared" si="180"/>
        <v>0</v>
      </c>
      <c r="AE435">
        <f t="shared" si="181"/>
        <v>0</v>
      </c>
      <c r="AF435">
        <f t="shared" si="182"/>
        <v>0</v>
      </c>
      <c r="AG435">
        <f t="shared" si="183"/>
        <v>0</v>
      </c>
      <c r="AH435">
        <f t="shared" si="184"/>
        <v>0</v>
      </c>
      <c r="AI435">
        <f t="shared" si="185"/>
        <v>1</v>
      </c>
      <c r="AJ435">
        <f t="shared" si="186"/>
        <v>0</v>
      </c>
      <c r="AK435">
        <f t="shared" si="187"/>
        <v>0</v>
      </c>
      <c r="AL435">
        <f t="shared" si="188"/>
        <v>1</v>
      </c>
      <c r="AM435">
        <f t="shared" si="189"/>
        <v>0</v>
      </c>
      <c r="AN435">
        <f t="shared" si="190"/>
        <v>0</v>
      </c>
      <c r="AO435">
        <f t="shared" si="191"/>
        <v>1</v>
      </c>
      <c r="AP435">
        <f t="shared" si="192"/>
        <v>1</v>
      </c>
      <c r="AQ435">
        <f t="shared" si="193"/>
        <v>0</v>
      </c>
      <c r="AR435">
        <f t="shared" si="194"/>
        <v>0</v>
      </c>
      <c r="AS435">
        <f t="shared" si="195"/>
        <v>0</v>
      </c>
    </row>
    <row r="436" spans="2:45" x14ac:dyDescent="0.3">
      <c r="B436">
        <v>435</v>
      </c>
      <c r="C436" s="1">
        <v>40978</v>
      </c>
      <c r="D436">
        <v>1</v>
      </c>
      <c r="E436">
        <v>1</v>
      </c>
      <c r="F436">
        <v>3</v>
      </c>
      <c r="G436">
        <v>6</v>
      </c>
      <c r="H436">
        <v>1</v>
      </c>
      <c r="I436">
        <v>968</v>
      </c>
      <c r="J436">
        <v>3150</v>
      </c>
      <c r="K436" s="8">
        <v>4118</v>
      </c>
      <c r="L436">
        <v>11.7875</v>
      </c>
      <c r="M436">
        <v>13.888350000000001</v>
      </c>
      <c r="N436">
        <v>35.041699999999999</v>
      </c>
      <c r="O436">
        <v>15.125249999999999</v>
      </c>
      <c r="P436">
        <v>0</v>
      </c>
      <c r="Q436">
        <v>0</v>
      </c>
      <c r="R436">
        <f t="shared" si="168"/>
        <v>0</v>
      </c>
      <c r="S436">
        <f t="shared" si="169"/>
        <v>0</v>
      </c>
      <c r="T436">
        <f t="shared" si="170"/>
        <v>1</v>
      </c>
      <c r="U436">
        <f t="shared" si="171"/>
        <v>0</v>
      </c>
      <c r="V436">
        <f t="shared" si="172"/>
        <v>0</v>
      </c>
      <c r="W436">
        <f t="shared" si="173"/>
        <v>0</v>
      </c>
      <c r="X436">
        <f t="shared" si="174"/>
        <v>0</v>
      </c>
      <c r="Y436">
        <f t="shared" si="175"/>
        <v>0</v>
      </c>
      <c r="Z436">
        <f t="shared" si="176"/>
        <v>0</v>
      </c>
      <c r="AA436">
        <f t="shared" si="177"/>
        <v>0</v>
      </c>
      <c r="AB436">
        <f t="shared" si="178"/>
        <v>0</v>
      </c>
      <c r="AC436">
        <f t="shared" si="179"/>
        <v>0</v>
      </c>
      <c r="AD436">
        <f t="shared" si="180"/>
        <v>0</v>
      </c>
      <c r="AE436">
        <f t="shared" si="181"/>
        <v>0</v>
      </c>
      <c r="AF436">
        <f t="shared" si="182"/>
        <v>0</v>
      </c>
      <c r="AG436">
        <f t="shared" si="183"/>
        <v>0</v>
      </c>
      <c r="AH436">
        <f t="shared" si="184"/>
        <v>0</v>
      </c>
      <c r="AI436">
        <f t="shared" si="185"/>
        <v>0</v>
      </c>
      <c r="AJ436">
        <f t="shared" si="186"/>
        <v>1</v>
      </c>
      <c r="AK436">
        <f t="shared" si="187"/>
        <v>1</v>
      </c>
      <c r="AL436">
        <f t="shared" si="188"/>
        <v>0</v>
      </c>
      <c r="AM436">
        <f t="shared" si="189"/>
        <v>0</v>
      </c>
      <c r="AN436">
        <f t="shared" si="190"/>
        <v>0</v>
      </c>
      <c r="AO436">
        <f t="shared" si="191"/>
        <v>1</v>
      </c>
      <c r="AP436">
        <f t="shared" si="192"/>
        <v>1</v>
      </c>
      <c r="AQ436">
        <f t="shared" si="193"/>
        <v>0</v>
      </c>
      <c r="AR436">
        <f t="shared" si="194"/>
        <v>0</v>
      </c>
      <c r="AS436">
        <f t="shared" si="195"/>
        <v>0</v>
      </c>
    </row>
    <row r="437" spans="2:45" x14ac:dyDescent="0.3">
      <c r="B437">
        <v>436</v>
      </c>
      <c r="C437" s="1">
        <v>40979</v>
      </c>
      <c r="D437">
        <v>1</v>
      </c>
      <c r="E437">
        <v>1</v>
      </c>
      <c r="F437">
        <v>3</v>
      </c>
      <c r="G437">
        <v>0</v>
      </c>
      <c r="H437">
        <v>1</v>
      </c>
      <c r="I437">
        <v>1658</v>
      </c>
      <c r="J437">
        <v>3253</v>
      </c>
      <c r="K437" s="8">
        <v>4911</v>
      </c>
      <c r="L437">
        <v>14.831299</v>
      </c>
      <c r="M437">
        <v>17.983499999999999</v>
      </c>
      <c r="N437">
        <v>47.695700000000002</v>
      </c>
      <c r="O437">
        <v>14.913328999999999</v>
      </c>
      <c r="P437">
        <v>0</v>
      </c>
      <c r="Q437">
        <v>0</v>
      </c>
      <c r="R437">
        <f t="shared" si="168"/>
        <v>0</v>
      </c>
      <c r="S437">
        <f t="shared" si="169"/>
        <v>0</v>
      </c>
      <c r="T437">
        <f t="shared" si="170"/>
        <v>1</v>
      </c>
      <c r="U437">
        <f t="shared" si="171"/>
        <v>0</v>
      </c>
      <c r="V437">
        <f t="shared" si="172"/>
        <v>0</v>
      </c>
      <c r="W437">
        <f t="shared" si="173"/>
        <v>0</v>
      </c>
      <c r="X437">
        <f t="shared" si="174"/>
        <v>0</v>
      </c>
      <c r="Y437">
        <f t="shared" si="175"/>
        <v>0</v>
      </c>
      <c r="Z437">
        <f t="shared" si="176"/>
        <v>0</v>
      </c>
      <c r="AA437">
        <f t="shared" si="177"/>
        <v>0</v>
      </c>
      <c r="AB437">
        <f t="shared" si="178"/>
        <v>0</v>
      </c>
      <c r="AC437">
        <f t="shared" si="179"/>
        <v>0</v>
      </c>
      <c r="AD437">
        <f t="shared" si="180"/>
        <v>1</v>
      </c>
      <c r="AE437">
        <f t="shared" si="181"/>
        <v>0</v>
      </c>
      <c r="AF437">
        <f t="shared" si="182"/>
        <v>0</v>
      </c>
      <c r="AG437">
        <f t="shared" si="183"/>
        <v>0</v>
      </c>
      <c r="AH437">
        <f t="shared" si="184"/>
        <v>0</v>
      </c>
      <c r="AI437">
        <f t="shared" si="185"/>
        <v>0</v>
      </c>
      <c r="AJ437">
        <f t="shared" si="186"/>
        <v>0</v>
      </c>
      <c r="AK437">
        <f t="shared" si="187"/>
        <v>1</v>
      </c>
      <c r="AL437">
        <f t="shared" si="188"/>
        <v>0</v>
      </c>
      <c r="AM437">
        <f t="shared" si="189"/>
        <v>0</v>
      </c>
      <c r="AN437">
        <f t="shared" si="190"/>
        <v>0</v>
      </c>
      <c r="AO437">
        <f t="shared" si="191"/>
        <v>1</v>
      </c>
      <c r="AP437">
        <f t="shared" si="192"/>
        <v>1</v>
      </c>
      <c r="AQ437">
        <f t="shared" si="193"/>
        <v>0</v>
      </c>
      <c r="AR437">
        <f t="shared" si="194"/>
        <v>0</v>
      </c>
      <c r="AS437">
        <f t="shared" si="195"/>
        <v>0</v>
      </c>
    </row>
    <row r="438" spans="2:45" x14ac:dyDescent="0.3">
      <c r="B438">
        <v>437</v>
      </c>
      <c r="C438" s="1">
        <v>40980</v>
      </c>
      <c r="D438">
        <v>1</v>
      </c>
      <c r="E438">
        <v>1</v>
      </c>
      <c r="F438">
        <v>3</v>
      </c>
      <c r="G438">
        <v>1</v>
      </c>
      <c r="H438">
        <v>1</v>
      </c>
      <c r="I438">
        <v>838</v>
      </c>
      <c r="J438">
        <v>4460</v>
      </c>
      <c r="K438" s="8">
        <v>5298</v>
      </c>
      <c r="L438">
        <v>19.133347000000001</v>
      </c>
      <c r="M438">
        <v>22.979600000000001</v>
      </c>
      <c r="N438">
        <v>48.916699999999999</v>
      </c>
      <c r="O438">
        <v>13.916771000000001</v>
      </c>
      <c r="P438">
        <v>0</v>
      </c>
      <c r="Q438">
        <v>1</v>
      </c>
      <c r="R438">
        <f t="shared" si="168"/>
        <v>0</v>
      </c>
      <c r="S438">
        <f t="shared" si="169"/>
        <v>0</v>
      </c>
      <c r="T438">
        <f t="shared" si="170"/>
        <v>1</v>
      </c>
      <c r="U438">
        <f t="shared" si="171"/>
        <v>0</v>
      </c>
      <c r="V438">
        <f t="shared" si="172"/>
        <v>0</v>
      </c>
      <c r="W438">
        <f t="shared" si="173"/>
        <v>0</v>
      </c>
      <c r="X438">
        <f t="shared" si="174"/>
        <v>0</v>
      </c>
      <c r="Y438">
        <f t="shared" si="175"/>
        <v>0</v>
      </c>
      <c r="Z438">
        <f t="shared" si="176"/>
        <v>0</v>
      </c>
      <c r="AA438">
        <f t="shared" si="177"/>
        <v>0</v>
      </c>
      <c r="AB438">
        <f t="shared" si="178"/>
        <v>0</v>
      </c>
      <c r="AC438">
        <f t="shared" si="179"/>
        <v>0</v>
      </c>
      <c r="AD438">
        <f t="shared" si="180"/>
        <v>0</v>
      </c>
      <c r="AE438">
        <f t="shared" si="181"/>
        <v>1</v>
      </c>
      <c r="AF438">
        <f t="shared" si="182"/>
        <v>0</v>
      </c>
      <c r="AG438">
        <f t="shared" si="183"/>
        <v>0</v>
      </c>
      <c r="AH438">
        <f t="shared" si="184"/>
        <v>0</v>
      </c>
      <c r="AI438">
        <f t="shared" si="185"/>
        <v>0</v>
      </c>
      <c r="AJ438">
        <f t="shared" si="186"/>
        <v>0</v>
      </c>
      <c r="AK438">
        <f t="shared" si="187"/>
        <v>1</v>
      </c>
      <c r="AL438">
        <f t="shared" si="188"/>
        <v>0</v>
      </c>
      <c r="AM438">
        <f t="shared" si="189"/>
        <v>0</v>
      </c>
      <c r="AN438">
        <f t="shared" si="190"/>
        <v>0</v>
      </c>
      <c r="AO438">
        <f t="shared" si="191"/>
        <v>1</v>
      </c>
      <c r="AP438">
        <f t="shared" si="192"/>
        <v>1</v>
      </c>
      <c r="AQ438">
        <f t="shared" si="193"/>
        <v>0</v>
      </c>
      <c r="AR438">
        <f t="shared" si="194"/>
        <v>0</v>
      </c>
      <c r="AS438">
        <f t="shared" si="195"/>
        <v>0</v>
      </c>
    </row>
    <row r="439" spans="2:45" x14ac:dyDescent="0.3">
      <c r="B439">
        <v>438</v>
      </c>
      <c r="C439" s="1">
        <v>40981</v>
      </c>
      <c r="D439">
        <v>1</v>
      </c>
      <c r="E439">
        <v>1</v>
      </c>
      <c r="F439">
        <v>3</v>
      </c>
      <c r="G439">
        <v>2</v>
      </c>
      <c r="H439">
        <v>1</v>
      </c>
      <c r="I439">
        <v>762</v>
      </c>
      <c r="J439">
        <v>5085</v>
      </c>
      <c r="K439" s="8">
        <v>5847</v>
      </c>
      <c r="L439">
        <v>23.164999999999999</v>
      </c>
      <c r="M439">
        <v>27.146450000000002</v>
      </c>
      <c r="N439">
        <v>61.75</v>
      </c>
      <c r="O439">
        <v>15.87565</v>
      </c>
      <c r="P439">
        <v>0</v>
      </c>
      <c r="Q439">
        <v>1</v>
      </c>
      <c r="R439">
        <f t="shared" si="168"/>
        <v>0</v>
      </c>
      <c r="S439">
        <f t="shared" si="169"/>
        <v>0</v>
      </c>
      <c r="T439">
        <f t="shared" si="170"/>
        <v>1</v>
      </c>
      <c r="U439">
        <f t="shared" si="171"/>
        <v>0</v>
      </c>
      <c r="V439">
        <f t="shared" si="172"/>
        <v>0</v>
      </c>
      <c r="W439">
        <f t="shared" si="173"/>
        <v>0</v>
      </c>
      <c r="X439">
        <f t="shared" si="174"/>
        <v>0</v>
      </c>
      <c r="Y439">
        <f t="shared" si="175"/>
        <v>0</v>
      </c>
      <c r="Z439">
        <f t="shared" si="176"/>
        <v>0</v>
      </c>
      <c r="AA439">
        <f t="shared" si="177"/>
        <v>0</v>
      </c>
      <c r="AB439">
        <f t="shared" si="178"/>
        <v>0</v>
      </c>
      <c r="AC439">
        <f t="shared" si="179"/>
        <v>0</v>
      </c>
      <c r="AD439">
        <f t="shared" si="180"/>
        <v>0</v>
      </c>
      <c r="AE439">
        <f t="shared" si="181"/>
        <v>0</v>
      </c>
      <c r="AF439">
        <f t="shared" si="182"/>
        <v>1</v>
      </c>
      <c r="AG439">
        <f t="shared" si="183"/>
        <v>0</v>
      </c>
      <c r="AH439">
        <f t="shared" si="184"/>
        <v>0</v>
      </c>
      <c r="AI439">
        <f t="shared" si="185"/>
        <v>0</v>
      </c>
      <c r="AJ439">
        <f t="shared" si="186"/>
        <v>0</v>
      </c>
      <c r="AK439">
        <f t="shared" si="187"/>
        <v>1</v>
      </c>
      <c r="AL439">
        <f t="shared" si="188"/>
        <v>0</v>
      </c>
      <c r="AM439">
        <f t="shared" si="189"/>
        <v>0</v>
      </c>
      <c r="AN439">
        <f t="shared" si="190"/>
        <v>0</v>
      </c>
      <c r="AO439">
        <f t="shared" si="191"/>
        <v>1</v>
      </c>
      <c r="AP439">
        <f t="shared" si="192"/>
        <v>1</v>
      </c>
      <c r="AQ439">
        <f t="shared" si="193"/>
        <v>0</v>
      </c>
      <c r="AR439">
        <f t="shared" si="194"/>
        <v>0</v>
      </c>
      <c r="AS439">
        <f t="shared" si="195"/>
        <v>0</v>
      </c>
    </row>
    <row r="440" spans="2:45" x14ac:dyDescent="0.3">
      <c r="B440">
        <v>439</v>
      </c>
      <c r="C440" s="1">
        <v>40982</v>
      </c>
      <c r="D440">
        <v>1</v>
      </c>
      <c r="E440">
        <v>1</v>
      </c>
      <c r="F440">
        <v>3</v>
      </c>
      <c r="G440">
        <v>3</v>
      </c>
      <c r="H440">
        <v>1</v>
      </c>
      <c r="I440">
        <v>997</v>
      </c>
      <c r="J440">
        <v>5315</v>
      </c>
      <c r="K440" s="8">
        <v>6312</v>
      </c>
      <c r="L440">
        <v>23.4725</v>
      </c>
      <c r="M440">
        <v>27.43085</v>
      </c>
      <c r="N440">
        <v>50.708300000000001</v>
      </c>
      <c r="O440">
        <v>7.7091539999999998</v>
      </c>
      <c r="P440">
        <v>0</v>
      </c>
      <c r="Q440">
        <v>1</v>
      </c>
      <c r="R440">
        <f t="shared" si="168"/>
        <v>0</v>
      </c>
      <c r="S440">
        <f t="shared" si="169"/>
        <v>0</v>
      </c>
      <c r="T440">
        <f t="shared" si="170"/>
        <v>1</v>
      </c>
      <c r="U440">
        <f t="shared" si="171"/>
        <v>0</v>
      </c>
      <c r="V440">
        <f t="shared" si="172"/>
        <v>0</v>
      </c>
      <c r="W440">
        <f t="shared" si="173"/>
        <v>0</v>
      </c>
      <c r="X440">
        <f t="shared" si="174"/>
        <v>0</v>
      </c>
      <c r="Y440">
        <f t="shared" si="175"/>
        <v>0</v>
      </c>
      <c r="Z440">
        <f t="shared" si="176"/>
        <v>0</v>
      </c>
      <c r="AA440">
        <f t="shared" si="177"/>
        <v>0</v>
      </c>
      <c r="AB440">
        <f t="shared" si="178"/>
        <v>0</v>
      </c>
      <c r="AC440">
        <f t="shared" si="179"/>
        <v>0</v>
      </c>
      <c r="AD440">
        <f t="shared" si="180"/>
        <v>0</v>
      </c>
      <c r="AE440">
        <f t="shared" si="181"/>
        <v>0</v>
      </c>
      <c r="AF440">
        <f t="shared" si="182"/>
        <v>0</v>
      </c>
      <c r="AG440">
        <f t="shared" si="183"/>
        <v>1</v>
      </c>
      <c r="AH440">
        <f t="shared" si="184"/>
        <v>0</v>
      </c>
      <c r="AI440">
        <f t="shared" si="185"/>
        <v>0</v>
      </c>
      <c r="AJ440">
        <f t="shared" si="186"/>
        <v>0</v>
      </c>
      <c r="AK440">
        <f t="shared" si="187"/>
        <v>1</v>
      </c>
      <c r="AL440">
        <f t="shared" si="188"/>
        <v>0</v>
      </c>
      <c r="AM440">
        <f t="shared" si="189"/>
        <v>0</v>
      </c>
      <c r="AN440">
        <f t="shared" si="190"/>
        <v>0</v>
      </c>
      <c r="AO440">
        <f t="shared" si="191"/>
        <v>1</v>
      </c>
      <c r="AP440">
        <f t="shared" si="192"/>
        <v>1</v>
      </c>
      <c r="AQ440">
        <f t="shared" si="193"/>
        <v>0</v>
      </c>
      <c r="AR440">
        <f t="shared" si="194"/>
        <v>0</v>
      </c>
      <c r="AS440">
        <f t="shared" si="195"/>
        <v>0</v>
      </c>
    </row>
    <row r="441" spans="2:45" x14ac:dyDescent="0.3">
      <c r="B441">
        <v>440</v>
      </c>
      <c r="C441" s="1">
        <v>40983</v>
      </c>
      <c r="D441">
        <v>1</v>
      </c>
      <c r="E441">
        <v>1</v>
      </c>
      <c r="F441">
        <v>3</v>
      </c>
      <c r="G441">
        <v>4</v>
      </c>
      <c r="H441">
        <v>1</v>
      </c>
      <c r="I441">
        <v>1005</v>
      </c>
      <c r="J441">
        <v>5187</v>
      </c>
      <c r="K441" s="8">
        <v>6192</v>
      </c>
      <c r="L441">
        <v>22.857500000000002</v>
      </c>
      <c r="M441">
        <v>26.641249999999999</v>
      </c>
      <c r="N441">
        <v>57.958300000000001</v>
      </c>
      <c r="O441">
        <v>10.042161</v>
      </c>
      <c r="P441">
        <v>0</v>
      </c>
      <c r="Q441">
        <v>1</v>
      </c>
      <c r="R441">
        <f t="shared" si="168"/>
        <v>0</v>
      </c>
      <c r="S441">
        <f t="shared" si="169"/>
        <v>0</v>
      </c>
      <c r="T441">
        <f t="shared" si="170"/>
        <v>1</v>
      </c>
      <c r="U441">
        <f t="shared" si="171"/>
        <v>0</v>
      </c>
      <c r="V441">
        <f t="shared" si="172"/>
        <v>0</v>
      </c>
      <c r="W441">
        <f t="shared" si="173"/>
        <v>0</v>
      </c>
      <c r="X441">
        <f t="shared" si="174"/>
        <v>0</v>
      </c>
      <c r="Y441">
        <f t="shared" si="175"/>
        <v>0</v>
      </c>
      <c r="Z441">
        <f t="shared" si="176"/>
        <v>0</v>
      </c>
      <c r="AA441">
        <f t="shared" si="177"/>
        <v>0</v>
      </c>
      <c r="AB441">
        <f t="shared" si="178"/>
        <v>0</v>
      </c>
      <c r="AC441">
        <f t="shared" si="179"/>
        <v>0</v>
      </c>
      <c r="AD441">
        <f t="shared" si="180"/>
        <v>0</v>
      </c>
      <c r="AE441">
        <f t="shared" si="181"/>
        <v>0</v>
      </c>
      <c r="AF441">
        <f t="shared" si="182"/>
        <v>0</v>
      </c>
      <c r="AG441">
        <f t="shared" si="183"/>
        <v>0</v>
      </c>
      <c r="AH441">
        <f t="shared" si="184"/>
        <v>1</v>
      </c>
      <c r="AI441">
        <f t="shared" si="185"/>
        <v>0</v>
      </c>
      <c r="AJ441">
        <f t="shared" si="186"/>
        <v>0</v>
      </c>
      <c r="AK441">
        <f t="shared" si="187"/>
        <v>1</v>
      </c>
      <c r="AL441">
        <f t="shared" si="188"/>
        <v>0</v>
      </c>
      <c r="AM441">
        <f t="shared" si="189"/>
        <v>0</v>
      </c>
      <c r="AN441">
        <f t="shared" si="190"/>
        <v>0</v>
      </c>
      <c r="AO441">
        <f t="shared" si="191"/>
        <v>1</v>
      </c>
      <c r="AP441">
        <f t="shared" si="192"/>
        <v>1</v>
      </c>
      <c r="AQ441">
        <f t="shared" si="193"/>
        <v>0</v>
      </c>
      <c r="AR441">
        <f t="shared" si="194"/>
        <v>0</v>
      </c>
      <c r="AS441">
        <f t="shared" si="195"/>
        <v>0</v>
      </c>
    </row>
    <row r="442" spans="2:45" x14ac:dyDescent="0.3">
      <c r="B442">
        <v>441</v>
      </c>
      <c r="C442" s="1">
        <v>40984</v>
      </c>
      <c r="D442">
        <v>1</v>
      </c>
      <c r="E442">
        <v>1</v>
      </c>
      <c r="F442">
        <v>3</v>
      </c>
      <c r="G442">
        <v>5</v>
      </c>
      <c r="H442">
        <v>2</v>
      </c>
      <c r="I442">
        <v>548</v>
      </c>
      <c r="J442">
        <v>3830</v>
      </c>
      <c r="K442" s="8">
        <v>4378</v>
      </c>
      <c r="L442">
        <v>17.869153000000001</v>
      </c>
      <c r="M442">
        <v>21.811450000000001</v>
      </c>
      <c r="N442">
        <v>84.208299999999994</v>
      </c>
      <c r="O442">
        <v>7.5838640000000002</v>
      </c>
      <c r="P442">
        <v>0</v>
      </c>
      <c r="Q442">
        <v>1</v>
      </c>
      <c r="R442">
        <f t="shared" si="168"/>
        <v>0</v>
      </c>
      <c r="S442">
        <f t="shared" si="169"/>
        <v>0</v>
      </c>
      <c r="T442">
        <f t="shared" si="170"/>
        <v>1</v>
      </c>
      <c r="U442">
        <f t="shared" si="171"/>
        <v>0</v>
      </c>
      <c r="V442">
        <f t="shared" si="172"/>
        <v>0</v>
      </c>
      <c r="W442">
        <f t="shared" si="173"/>
        <v>0</v>
      </c>
      <c r="X442">
        <f t="shared" si="174"/>
        <v>0</v>
      </c>
      <c r="Y442">
        <f t="shared" si="175"/>
        <v>0</v>
      </c>
      <c r="Z442">
        <f t="shared" si="176"/>
        <v>0</v>
      </c>
      <c r="AA442">
        <f t="shared" si="177"/>
        <v>0</v>
      </c>
      <c r="AB442">
        <f t="shared" si="178"/>
        <v>0</v>
      </c>
      <c r="AC442">
        <f t="shared" si="179"/>
        <v>0</v>
      </c>
      <c r="AD442">
        <f t="shared" si="180"/>
        <v>0</v>
      </c>
      <c r="AE442">
        <f t="shared" si="181"/>
        <v>0</v>
      </c>
      <c r="AF442">
        <f t="shared" si="182"/>
        <v>0</v>
      </c>
      <c r="AG442">
        <f t="shared" si="183"/>
        <v>0</v>
      </c>
      <c r="AH442">
        <f t="shared" si="184"/>
        <v>0</v>
      </c>
      <c r="AI442">
        <f t="shared" si="185"/>
        <v>1</v>
      </c>
      <c r="AJ442">
        <f t="shared" si="186"/>
        <v>0</v>
      </c>
      <c r="AK442">
        <f t="shared" si="187"/>
        <v>0</v>
      </c>
      <c r="AL442">
        <f t="shared" si="188"/>
        <v>1</v>
      </c>
      <c r="AM442">
        <f t="shared" si="189"/>
        <v>0</v>
      </c>
      <c r="AN442">
        <f t="shared" si="190"/>
        <v>0</v>
      </c>
      <c r="AO442">
        <f t="shared" si="191"/>
        <v>1</v>
      </c>
      <c r="AP442">
        <f t="shared" si="192"/>
        <v>1</v>
      </c>
      <c r="AQ442">
        <f t="shared" si="193"/>
        <v>0</v>
      </c>
      <c r="AR442">
        <f t="shared" si="194"/>
        <v>0</v>
      </c>
      <c r="AS442">
        <f t="shared" si="195"/>
        <v>0</v>
      </c>
    </row>
    <row r="443" spans="2:45" x14ac:dyDescent="0.3">
      <c r="B443">
        <v>442</v>
      </c>
      <c r="C443" s="1">
        <v>40985</v>
      </c>
      <c r="D443">
        <v>1</v>
      </c>
      <c r="E443">
        <v>1</v>
      </c>
      <c r="F443">
        <v>3</v>
      </c>
      <c r="G443">
        <v>6</v>
      </c>
      <c r="H443">
        <v>2</v>
      </c>
      <c r="I443">
        <v>3155</v>
      </c>
      <c r="J443">
        <v>4681</v>
      </c>
      <c r="K443" s="8">
        <v>7836</v>
      </c>
      <c r="L443">
        <v>21.080846999999999</v>
      </c>
      <c r="M443">
        <v>25.252300000000002</v>
      </c>
      <c r="N443">
        <v>75.583299999999994</v>
      </c>
      <c r="O443">
        <v>7.4171680000000002</v>
      </c>
      <c r="P443">
        <v>0</v>
      </c>
      <c r="Q443">
        <v>0</v>
      </c>
      <c r="R443">
        <f t="shared" si="168"/>
        <v>0</v>
      </c>
      <c r="S443">
        <f t="shared" si="169"/>
        <v>0</v>
      </c>
      <c r="T443">
        <f t="shared" si="170"/>
        <v>1</v>
      </c>
      <c r="U443">
        <f t="shared" si="171"/>
        <v>0</v>
      </c>
      <c r="V443">
        <f t="shared" si="172"/>
        <v>0</v>
      </c>
      <c r="W443">
        <f t="shared" si="173"/>
        <v>0</v>
      </c>
      <c r="X443">
        <f t="shared" si="174"/>
        <v>0</v>
      </c>
      <c r="Y443">
        <f t="shared" si="175"/>
        <v>0</v>
      </c>
      <c r="Z443">
        <f t="shared" si="176"/>
        <v>0</v>
      </c>
      <c r="AA443">
        <f t="shared" si="177"/>
        <v>0</v>
      </c>
      <c r="AB443">
        <f t="shared" si="178"/>
        <v>0</v>
      </c>
      <c r="AC443">
        <f t="shared" si="179"/>
        <v>0</v>
      </c>
      <c r="AD443">
        <f t="shared" si="180"/>
        <v>0</v>
      </c>
      <c r="AE443">
        <f t="shared" si="181"/>
        <v>0</v>
      </c>
      <c r="AF443">
        <f t="shared" si="182"/>
        <v>0</v>
      </c>
      <c r="AG443">
        <f t="shared" si="183"/>
        <v>0</v>
      </c>
      <c r="AH443">
        <f t="shared" si="184"/>
        <v>0</v>
      </c>
      <c r="AI443">
        <f t="shared" si="185"/>
        <v>0</v>
      </c>
      <c r="AJ443">
        <f t="shared" si="186"/>
        <v>1</v>
      </c>
      <c r="AK443">
        <f t="shared" si="187"/>
        <v>0</v>
      </c>
      <c r="AL443">
        <f t="shared" si="188"/>
        <v>1</v>
      </c>
      <c r="AM443">
        <f t="shared" si="189"/>
        <v>0</v>
      </c>
      <c r="AN443">
        <f t="shared" si="190"/>
        <v>0</v>
      </c>
      <c r="AO443">
        <f t="shared" si="191"/>
        <v>1</v>
      </c>
      <c r="AP443">
        <f t="shared" si="192"/>
        <v>1</v>
      </c>
      <c r="AQ443">
        <f t="shared" si="193"/>
        <v>0</v>
      </c>
      <c r="AR443">
        <f t="shared" si="194"/>
        <v>0</v>
      </c>
      <c r="AS443">
        <f t="shared" si="195"/>
        <v>0</v>
      </c>
    </row>
    <row r="444" spans="2:45" x14ac:dyDescent="0.3">
      <c r="B444">
        <v>443</v>
      </c>
      <c r="C444" s="1">
        <v>40986</v>
      </c>
      <c r="D444">
        <v>1</v>
      </c>
      <c r="E444">
        <v>1</v>
      </c>
      <c r="F444">
        <v>3</v>
      </c>
      <c r="G444">
        <v>0</v>
      </c>
      <c r="H444">
        <v>2</v>
      </c>
      <c r="I444">
        <v>2207</v>
      </c>
      <c r="J444">
        <v>3685</v>
      </c>
      <c r="K444" s="8">
        <v>5892</v>
      </c>
      <c r="L444">
        <v>19.372499999999999</v>
      </c>
      <c r="M444">
        <v>23.2</v>
      </c>
      <c r="N444">
        <v>81</v>
      </c>
      <c r="O444">
        <v>8.5011609999999997</v>
      </c>
      <c r="P444">
        <v>0</v>
      </c>
      <c r="Q444">
        <v>0</v>
      </c>
      <c r="R444">
        <f t="shared" si="168"/>
        <v>0</v>
      </c>
      <c r="S444">
        <f t="shared" si="169"/>
        <v>0</v>
      </c>
      <c r="T444">
        <f t="shared" si="170"/>
        <v>1</v>
      </c>
      <c r="U444">
        <f t="shared" si="171"/>
        <v>0</v>
      </c>
      <c r="V444">
        <f t="shared" si="172"/>
        <v>0</v>
      </c>
      <c r="W444">
        <f t="shared" si="173"/>
        <v>0</v>
      </c>
      <c r="X444">
        <f t="shared" si="174"/>
        <v>0</v>
      </c>
      <c r="Y444">
        <f t="shared" si="175"/>
        <v>0</v>
      </c>
      <c r="Z444">
        <f t="shared" si="176"/>
        <v>0</v>
      </c>
      <c r="AA444">
        <f t="shared" si="177"/>
        <v>0</v>
      </c>
      <c r="AB444">
        <f t="shared" si="178"/>
        <v>0</v>
      </c>
      <c r="AC444">
        <f t="shared" si="179"/>
        <v>0</v>
      </c>
      <c r="AD444">
        <f t="shared" si="180"/>
        <v>1</v>
      </c>
      <c r="AE444">
        <f t="shared" si="181"/>
        <v>0</v>
      </c>
      <c r="AF444">
        <f t="shared" si="182"/>
        <v>0</v>
      </c>
      <c r="AG444">
        <f t="shared" si="183"/>
        <v>0</v>
      </c>
      <c r="AH444">
        <f t="shared" si="184"/>
        <v>0</v>
      </c>
      <c r="AI444">
        <f t="shared" si="185"/>
        <v>0</v>
      </c>
      <c r="AJ444">
        <f t="shared" si="186"/>
        <v>0</v>
      </c>
      <c r="AK444">
        <f t="shared" si="187"/>
        <v>0</v>
      </c>
      <c r="AL444">
        <f t="shared" si="188"/>
        <v>1</v>
      </c>
      <c r="AM444">
        <f t="shared" si="189"/>
        <v>0</v>
      </c>
      <c r="AN444">
        <f t="shared" si="190"/>
        <v>0</v>
      </c>
      <c r="AO444">
        <f t="shared" si="191"/>
        <v>1</v>
      </c>
      <c r="AP444">
        <f t="shared" si="192"/>
        <v>1</v>
      </c>
      <c r="AQ444">
        <f t="shared" si="193"/>
        <v>0</v>
      </c>
      <c r="AR444">
        <f t="shared" si="194"/>
        <v>0</v>
      </c>
      <c r="AS444">
        <f t="shared" si="195"/>
        <v>0</v>
      </c>
    </row>
    <row r="445" spans="2:45" x14ac:dyDescent="0.3">
      <c r="B445">
        <v>444</v>
      </c>
      <c r="C445" s="1">
        <v>40987</v>
      </c>
      <c r="D445">
        <v>1</v>
      </c>
      <c r="E445">
        <v>1</v>
      </c>
      <c r="F445">
        <v>3</v>
      </c>
      <c r="G445">
        <v>1</v>
      </c>
      <c r="H445">
        <v>1</v>
      </c>
      <c r="I445">
        <v>982</v>
      </c>
      <c r="J445">
        <v>5171</v>
      </c>
      <c r="K445" s="8">
        <v>6153</v>
      </c>
      <c r="L445">
        <v>22.344999999999999</v>
      </c>
      <c r="M445">
        <v>26.64105</v>
      </c>
      <c r="N445">
        <v>72.875</v>
      </c>
      <c r="O445">
        <v>10.875239000000001</v>
      </c>
      <c r="P445">
        <v>0</v>
      </c>
      <c r="Q445">
        <v>1</v>
      </c>
      <c r="R445">
        <f t="shared" si="168"/>
        <v>0</v>
      </c>
      <c r="S445">
        <f t="shared" si="169"/>
        <v>0</v>
      </c>
      <c r="T445">
        <f t="shared" si="170"/>
        <v>1</v>
      </c>
      <c r="U445">
        <f t="shared" si="171"/>
        <v>0</v>
      </c>
      <c r="V445">
        <f t="shared" si="172"/>
        <v>0</v>
      </c>
      <c r="W445">
        <f t="shared" si="173"/>
        <v>0</v>
      </c>
      <c r="X445">
        <f t="shared" si="174"/>
        <v>0</v>
      </c>
      <c r="Y445">
        <f t="shared" si="175"/>
        <v>0</v>
      </c>
      <c r="Z445">
        <f t="shared" si="176"/>
        <v>0</v>
      </c>
      <c r="AA445">
        <f t="shared" si="177"/>
        <v>0</v>
      </c>
      <c r="AB445">
        <f t="shared" si="178"/>
        <v>0</v>
      </c>
      <c r="AC445">
        <f t="shared" si="179"/>
        <v>0</v>
      </c>
      <c r="AD445">
        <f t="shared" si="180"/>
        <v>0</v>
      </c>
      <c r="AE445">
        <f t="shared" si="181"/>
        <v>1</v>
      </c>
      <c r="AF445">
        <f t="shared" si="182"/>
        <v>0</v>
      </c>
      <c r="AG445">
        <f t="shared" si="183"/>
        <v>0</v>
      </c>
      <c r="AH445">
        <f t="shared" si="184"/>
        <v>0</v>
      </c>
      <c r="AI445">
        <f t="shared" si="185"/>
        <v>0</v>
      </c>
      <c r="AJ445">
        <f t="shared" si="186"/>
        <v>0</v>
      </c>
      <c r="AK445">
        <f t="shared" si="187"/>
        <v>1</v>
      </c>
      <c r="AL445">
        <f t="shared" si="188"/>
        <v>0</v>
      </c>
      <c r="AM445">
        <f t="shared" si="189"/>
        <v>0</v>
      </c>
      <c r="AN445">
        <f t="shared" si="190"/>
        <v>0</v>
      </c>
      <c r="AO445">
        <f t="shared" si="191"/>
        <v>1</v>
      </c>
      <c r="AP445">
        <f t="shared" si="192"/>
        <v>1</v>
      </c>
      <c r="AQ445">
        <f t="shared" si="193"/>
        <v>0</v>
      </c>
      <c r="AR445">
        <f t="shared" si="194"/>
        <v>0</v>
      </c>
      <c r="AS445">
        <f t="shared" si="195"/>
        <v>0</v>
      </c>
    </row>
    <row r="446" spans="2:45" x14ac:dyDescent="0.3">
      <c r="B446">
        <v>445</v>
      </c>
      <c r="C446" s="1">
        <v>40988</v>
      </c>
      <c r="D446">
        <v>1</v>
      </c>
      <c r="E446">
        <v>1</v>
      </c>
      <c r="F446">
        <v>3</v>
      </c>
      <c r="G446">
        <v>2</v>
      </c>
      <c r="H446">
        <v>1</v>
      </c>
      <c r="I446">
        <v>1051</v>
      </c>
      <c r="J446">
        <v>5042</v>
      </c>
      <c r="K446" s="8">
        <v>6093</v>
      </c>
      <c r="L446">
        <v>22.994153000000001</v>
      </c>
      <c r="M446">
        <v>26.926649999999999</v>
      </c>
      <c r="N446">
        <v>80.791700000000006</v>
      </c>
      <c r="O446">
        <v>8.1251569999999997</v>
      </c>
      <c r="P446">
        <v>0</v>
      </c>
      <c r="Q446">
        <v>1</v>
      </c>
      <c r="R446">
        <f t="shared" si="168"/>
        <v>0</v>
      </c>
      <c r="S446">
        <f t="shared" si="169"/>
        <v>0</v>
      </c>
      <c r="T446">
        <f t="shared" si="170"/>
        <v>1</v>
      </c>
      <c r="U446">
        <f t="shared" si="171"/>
        <v>0</v>
      </c>
      <c r="V446">
        <f t="shared" si="172"/>
        <v>0</v>
      </c>
      <c r="W446">
        <f t="shared" si="173"/>
        <v>0</v>
      </c>
      <c r="X446">
        <f t="shared" si="174"/>
        <v>0</v>
      </c>
      <c r="Y446">
        <f t="shared" si="175"/>
        <v>0</v>
      </c>
      <c r="Z446">
        <f t="shared" si="176"/>
        <v>0</v>
      </c>
      <c r="AA446">
        <f t="shared" si="177"/>
        <v>0</v>
      </c>
      <c r="AB446">
        <f t="shared" si="178"/>
        <v>0</v>
      </c>
      <c r="AC446">
        <f t="shared" si="179"/>
        <v>0</v>
      </c>
      <c r="AD446">
        <f t="shared" si="180"/>
        <v>0</v>
      </c>
      <c r="AE446">
        <f t="shared" si="181"/>
        <v>0</v>
      </c>
      <c r="AF446">
        <f t="shared" si="182"/>
        <v>1</v>
      </c>
      <c r="AG446">
        <f t="shared" si="183"/>
        <v>0</v>
      </c>
      <c r="AH446">
        <f t="shared" si="184"/>
        <v>0</v>
      </c>
      <c r="AI446">
        <f t="shared" si="185"/>
        <v>0</v>
      </c>
      <c r="AJ446">
        <f t="shared" si="186"/>
        <v>0</v>
      </c>
      <c r="AK446">
        <f t="shared" si="187"/>
        <v>1</v>
      </c>
      <c r="AL446">
        <f t="shared" si="188"/>
        <v>0</v>
      </c>
      <c r="AM446">
        <f t="shared" si="189"/>
        <v>0</v>
      </c>
      <c r="AN446">
        <f t="shared" si="190"/>
        <v>0</v>
      </c>
      <c r="AO446">
        <f t="shared" si="191"/>
        <v>1</v>
      </c>
      <c r="AP446">
        <f t="shared" si="192"/>
        <v>1</v>
      </c>
      <c r="AQ446">
        <f t="shared" si="193"/>
        <v>0</v>
      </c>
      <c r="AR446">
        <f t="shared" si="194"/>
        <v>0</v>
      </c>
      <c r="AS446">
        <f t="shared" si="195"/>
        <v>0</v>
      </c>
    </row>
    <row r="447" spans="2:45" x14ac:dyDescent="0.3">
      <c r="B447">
        <v>446</v>
      </c>
      <c r="C447" s="1">
        <v>40989</v>
      </c>
      <c r="D447">
        <v>2</v>
      </c>
      <c r="E447">
        <v>1</v>
      </c>
      <c r="F447">
        <v>3</v>
      </c>
      <c r="G447">
        <v>3</v>
      </c>
      <c r="H447">
        <v>2</v>
      </c>
      <c r="I447">
        <v>1122</v>
      </c>
      <c r="J447">
        <v>5108</v>
      </c>
      <c r="K447" s="8">
        <v>6230</v>
      </c>
      <c r="L447">
        <v>21.798347</v>
      </c>
      <c r="M447">
        <v>25.6629</v>
      </c>
      <c r="N447">
        <v>82.125</v>
      </c>
      <c r="O447">
        <v>6.0004061000000002</v>
      </c>
      <c r="P447">
        <v>0</v>
      </c>
      <c r="Q447">
        <v>1</v>
      </c>
      <c r="R447">
        <f t="shared" si="168"/>
        <v>0</v>
      </c>
      <c r="S447">
        <f t="shared" si="169"/>
        <v>0</v>
      </c>
      <c r="T447">
        <f t="shared" si="170"/>
        <v>1</v>
      </c>
      <c r="U447">
        <f t="shared" si="171"/>
        <v>0</v>
      </c>
      <c r="V447">
        <f t="shared" si="172"/>
        <v>0</v>
      </c>
      <c r="W447">
        <f t="shared" si="173"/>
        <v>0</v>
      </c>
      <c r="X447">
        <f t="shared" si="174"/>
        <v>0</v>
      </c>
      <c r="Y447">
        <f t="shared" si="175"/>
        <v>0</v>
      </c>
      <c r="Z447">
        <f t="shared" si="176"/>
        <v>0</v>
      </c>
      <c r="AA447">
        <f t="shared" si="177"/>
        <v>0</v>
      </c>
      <c r="AB447">
        <f t="shared" si="178"/>
        <v>0</v>
      </c>
      <c r="AC447">
        <f t="shared" si="179"/>
        <v>0</v>
      </c>
      <c r="AD447">
        <f t="shared" si="180"/>
        <v>0</v>
      </c>
      <c r="AE447">
        <f t="shared" si="181"/>
        <v>0</v>
      </c>
      <c r="AF447">
        <f t="shared" si="182"/>
        <v>0</v>
      </c>
      <c r="AG447">
        <f t="shared" si="183"/>
        <v>1</v>
      </c>
      <c r="AH447">
        <f t="shared" si="184"/>
        <v>0</v>
      </c>
      <c r="AI447">
        <f t="shared" si="185"/>
        <v>0</v>
      </c>
      <c r="AJ447">
        <f t="shared" si="186"/>
        <v>0</v>
      </c>
      <c r="AK447">
        <f t="shared" si="187"/>
        <v>0</v>
      </c>
      <c r="AL447">
        <f t="shared" si="188"/>
        <v>1</v>
      </c>
      <c r="AM447">
        <f t="shared" si="189"/>
        <v>0</v>
      </c>
      <c r="AN447">
        <f t="shared" si="190"/>
        <v>0</v>
      </c>
      <c r="AO447">
        <f t="shared" si="191"/>
        <v>1</v>
      </c>
      <c r="AP447">
        <f t="shared" si="192"/>
        <v>0</v>
      </c>
      <c r="AQ447">
        <f t="shared" si="193"/>
        <v>1</v>
      </c>
      <c r="AR447">
        <f t="shared" si="194"/>
        <v>0</v>
      </c>
      <c r="AS447">
        <f t="shared" si="195"/>
        <v>0</v>
      </c>
    </row>
    <row r="448" spans="2:45" x14ac:dyDescent="0.3">
      <c r="B448">
        <v>447</v>
      </c>
      <c r="C448" s="1">
        <v>40990</v>
      </c>
      <c r="D448">
        <v>2</v>
      </c>
      <c r="E448">
        <v>1</v>
      </c>
      <c r="F448">
        <v>3</v>
      </c>
      <c r="G448">
        <v>4</v>
      </c>
      <c r="H448">
        <v>1</v>
      </c>
      <c r="I448">
        <v>1334</v>
      </c>
      <c r="J448">
        <v>5537</v>
      </c>
      <c r="K448" s="8">
        <v>6871</v>
      </c>
      <c r="L448">
        <v>22.720846999999999</v>
      </c>
      <c r="M448">
        <v>26.57835</v>
      </c>
      <c r="N448">
        <v>83.125</v>
      </c>
      <c r="O448">
        <v>7.8766540000000003</v>
      </c>
      <c r="P448">
        <v>0</v>
      </c>
      <c r="Q448">
        <v>1</v>
      </c>
      <c r="R448">
        <f t="shared" si="168"/>
        <v>0</v>
      </c>
      <c r="S448">
        <f t="shared" si="169"/>
        <v>0</v>
      </c>
      <c r="T448">
        <f t="shared" si="170"/>
        <v>1</v>
      </c>
      <c r="U448">
        <f t="shared" si="171"/>
        <v>0</v>
      </c>
      <c r="V448">
        <f t="shared" si="172"/>
        <v>0</v>
      </c>
      <c r="W448">
        <f t="shared" si="173"/>
        <v>0</v>
      </c>
      <c r="X448">
        <f t="shared" si="174"/>
        <v>0</v>
      </c>
      <c r="Y448">
        <f t="shared" si="175"/>
        <v>0</v>
      </c>
      <c r="Z448">
        <f t="shared" si="176"/>
        <v>0</v>
      </c>
      <c r="AA448">
        <f t="shared" si="177"/>
        <v>0</v>
      </c>
      <c r="AB448">
        <f t="shared" si="178"/>
        <v>0</v>
      </c>
      <c r="AC448">
        <f t="shared" si="179"/>
        <v>0</v>
      </c>
      <c r="AD448">
        <f t="shared" si="180"/>
        <v>0</v>
      </c>
      <c r="AE448">
        <f t="shared" si="181"/>
        <v>0</v>
      </c>
      <c r="AF448">
        <f t="shared" si="182"/>
        <v>0</v>
      </c>
      <c r="AG448">
        <f t="shared" si="183"/>
        <v>0</v>
      </c>
      <c r="AH448">
        <f t="shared" si="184"/>
        <v>1</v>
      </c>
      <c r="AI448">
        <f t="shared" si="185"/>
        <v>0</v>
      </c>
      <c r="AJ448">
        <f t="shared" si="186"/>
        <v>0</v>
      </c>
      <c r="AK448">
        <f t="shared" si="187"/>
        <v>1</v>
      </c>
      <c r="AL448">
        <f t="shared" si="188"/>
        <v>0</v>
      </c>
      <c r="AM448">
        <f t="shared" si="189"/>
        <v>0</v>
      </c>
      <c r="AN448">
        <f t="shared" si="190"/>
        <v>0</v>
      </c>
      <c r="AO448">
        <f t="shared" si="191"/>
        <v>1</v>
      </c>
      <c r="AP448">
        <f t="shared" si="192"/>
        <v>0</v>
      </c>
      <c r="AQ448">
        <f t="shared" si="193"/>
        <v>1</v>
      </c>
      <c r="AR448">
        <f t="shared" si="194"/>
        <v>0</v>
      </c>
      <c r="AS448">
        <f t="shared" si="195"/>
        <v>0</v>
      </c>
    </row>
    <row r="449" spans="2:45" x14ac:dyDescent="0.3">
      <c r="B449">
        <v>448</v>
      </c>
      <c r="C449" s="1">
        <v>40991</v>
      </c>
      <c r="D449">
        <v>2</v>
      </c>
      <c r="E449">
        <v>1</v>
      </c>
      <c r="F449">
        <v>3</v>
      </c>
      <c r="G449">
        <v>5</v>
      </c>
      <c r="H449">
        <v>2</v>
      </c>
      <c r="I449">
        <v>2469</v>
      </c>
      <c r="J449">
        <v>5893</v>
      </c>
      <c r="K449" s="8">
        <v>8362</v>
      </c>
      <c r="L449">
        <v>24.668347000000001</v>
      </c>
      <c r="M449">
        <v>28.503350000000001</v>
      </c>
      <c r="N449">
        <v>69.416700000000006</v>
      </c>
      <c r="O449">
        <v>7.7920999999999996</v>
      </c>
      <c r="P449">
        <v>0</v>
      </c>
      <c r="Q449">
        <v>1</v>
      </c>
      <c r="R449">
        <f t="shared" si="168"/>
        <v>0</v>
      </c>
      <c r="S449">
        <f t="shared" si="169"/>
        <v>0</v>
      </c>
      <c r="T449">
        <f t="shared" si="170"/>
        <v>1</v>
      </c>
      <c r="U449">
        <f t="shared" si="171"/>
        <v>0</v>
      </c>
      <c r="V449">
        <f t="shared" si="172"/>
        <v>0</v>
      </c>
      <c r="W449">
        <f t="shared" si="173"/>
        <v>0</v>
      </c>
      <c r="X449">
        <f t="shared" si="174"/>
        <v>0</v>
      </c>
      <c r="Y449">
        <f t="shared" si="175"/>
        <v>0</v>
      </c>
      <c r="Z449">
        <f t="shared" si="176"/>
        <v>0</v>
      </c>
      <c r="AA449">
        <f t="shared" si="177"/>
        <v>0</v>
      </c>
      <c r="AB449">
        <f t="shared" si="178"/>
        <v>0</v>
      </c>
      <c r="AC449">
        <f t="shared" si="179"/>
        <v>0</v>
      </c>
      <c r="AD449">
        <f t="shared" si="180"/>
        <v>0</v>
      </c>
      <c r="AE449">
        <f t="shared" si="181"/>
        <v>0</v>
      </c>
      <c r="AF449">
        <f t="shared" si="182"/>
        <v>0</v>
      </c>
      <c r="AG449">
        <f t="shared" si="183"/>
        <v>0</v>
      </c>
      <c r="AH449">
        <f t="shared" si="184"/>
        <v>0</v>
      </c>
      <c r="AI449">
        <f t="shared" si="185"/>
        <v>1</v>
      </c>
      <c r="AJ449">
        <f t="shared" si="186"/>
        <v>0</v>
      </c>
      <c r="AK449">
        <f t="shared" si="187"/>
        <v>0</v>
      </c>
      <c r="AL449">
        <f t="shared" si="188"/>
        <v>1</v>
      </c>
      <c r="AM449">
        <f t="shared" si="189"/>
        <v>0</v>
      </c>
      <c r="AN449">
        <f t="shared" si="190"/>
        <v>0</v>
      </c>
      <c r="AO449">
        <f t="shared" si="191"/>
        <v>1</v>
      </c>
      <c r="AP449">
        <f t="shared" si="192"/>
        <v>0</v>
      </c>
      <c r="AQ449">
        <f t="shared" si="193"/>
        <v>1</v>
      </c>
      <c r="AR449">
        <f t="shared" si="194"/>
        <v>0</v>
      </c>
      <c r="AS449">
        <f t="shared" si="195"/>
        <v>0</v>
      </c>
    </row>
    <row r="450" spans="2:45" x14ac:dyDescent="0.3">
      <c r="B450">
        <v>449</v>
      </c>
      <c r="C450" s="1">
        <v>40992</v>
      </c>
      <c r="D450">
        <v>2</v>
      </c>
      <c r="E450">
        <v>1</v>
      </c>
      <c r="F450">
        <v>3</v>
      </c>
      <c r="G450">
        <v>6</v>
      </c>
      <c r="H450">
        <v>2</v>
      </c>
      <c r="I450">
        <v>1033</v>
      </c>
      <c r="J450">
        <v>2339</v>
      </c>
      <c r="K450" s="8">
        <v>3372</v>
      </c>
      <c r="L450">
        <v>20.602499999999999</v>
      </c>
      <c r="M450">
        <v>24.336649999999999</v>
      </c>
      <c r="N450">
        <v>88.541700000000006</v>
      </c>
      <c r="O450">
        <v>12.916461</v>
      </c>
      <c r="P450">
        <v>0</v>
      </c>
      <c r="Q450">
        <v>0</v>
      </c>
      <c r="R450">
        <f t="shared" si="168"/>
        <v>0</v>
      </c>
      <c r="S450">
        <f t="shared" si="169"/>
        <v>0</v>
      </c>
      <c r="T450">
        <f t="shared" si="170"/>
        <v>1</v>
      </c>
      <c r="U450">
        <f t="shared" si="171"/>
        <v>0</v>
      </c>
      <c r="V450">
        <f t="shared" si="172"/>
        <v>0</v>
      </c>
      <c r="W450">
        <f t="shared" si="173"/>
        <v>0</v>
      </c>
      <c r="X450">
        <f t="shared" si="174"/>
        <v>0</v>
      </c>
      <c r="Y450">
        <f t="shared" si="175"/>
        <v>0</v>
      </c>
      <c r="Z450">
        <f t="shared" si="176"/>
        <v>0</v>
      </c>
      <c r="AA450">
        <f t="shared" si="177"/>
        <v>0</v>
      </c>
      <c r="AB450">
        <f t="shared" si="178"/>
        <v>0</v>
      </c>
      <c r="AC450">
        <f t="shared" si="179"/>
        <v>0</v>
      </c>
      <c r="AD450">
        <f t="shared" si="180"/>
        <v>0</v>
      </c>
      <c r="AE450">
        <f t="shared" si="181"/>
        <v>0</v>
      </c>
      <c r="AF450">
        <f t="shared" si="182"/>
        <v>0</v>
      </c>
      <c r="AG450">
        <f t="shared" si="183"/>
        <v>0</v>
      </c>
      <c r="AH450">
        <f t="shared" si="184"/>
        <v>0</v>
      </c>
      <c r="AI450">
        <f t="shared" si="185"/>
        <v>0</v>
      </c>
      <c r="AJ450">
        <f t="shared" si="186"/>
        <v>1</v>
      </c>
      <c r="AK450">
        <f t="shared" si="187"/>
        <v>0</v>
      </c>
      <c r="AL450">
        <f t="shared" si="188"/>
        <v>1</v>
      </c>
      <c r="AM450">
        <f t="shared" si="189"/>
        <v>0</v>
      </c>
      <c r="AN450">
        <f t="shared" si="190"/>
        <v>0</v>
      </c>
      <c r="AO450">
        <f t="shared" si="191"/>
        <v>1</v>
      </c>
      <c r="AP450">
        <f t="shared" si="192"/>
        <v>0</v>
      </c>
      <c r="AQ450">
        <f t="shared" si="193"/>
        <v>1</v>
      </c>
      <c r="AR450">
        <f t="shared" si="194"/>
        <v>0</v>
      </c>
      <c r="AS450">
        <f t="shared" si="195"/>
        <v>0</v>
      </c>
    </row>
    <row r="451" spans="2:45" x14ac:dyDescent="0.3">
      <c r="B451">
        <v>450</v>
      </c>
      <c r="C451" s="1">
        <v>40993</v>
      </c>
      <c r="D451">
        <v>2</v>
      </c>
      <c r="E451">
        <v>1</v>
      </c>
      <c r="F451">
        <v>3</v>
      </c>
      <c r="G451">
        <v>0</v>
      </c>
      <c r="H451">
        <v>2</v>
      </c>
      <c r="I451">
        <v>1532</v>
      </c>
      <c r="J451">
        <v>3464</v>
      </c>
      <c r="K451" s="8">
        <v>4996</v>
      </c>
      <c r="L451">
        <v>17.9375</v>
      </c>
      <c r="M451">
        <v>21.874400000000001</v>
      </c>
      <c r="N451">
        <v>88.083299999999994</v>
      </c>
      <c r="O451">
        <v>14.791925000000001</v>
      </c>
      <c r="P451">
        <v>0</v>
      </c>
      <c r="Q451">
        <v>0</v>
      </c>
      <c r="R451">
        <f t="shared" ref="R451:R514" si="196">IF($F451=1,1,0)</f>
        <v>0</v>
      </c>
      <c r="S451">
        <f t="shared" ref="S451:S514" si="197">IF($F451=2,1,0)</f>
        <v>0</v>
      </c>
      <c r="T451">
        <f t="shared" ref="T451:T514" si="198">IF($F451=3,1,0)</f>
        <v>1</v>
      </c>
      <c r="U451">
        <f t="shared" ref="U451:U514" si="199">IF($F451=4,1,0)</f>
        <v>0</v>
      </c>
      <c r="V451">
        <f t="shared" ref="V451:V514" si="200">IF($F451=5,1,0)</f>
        <v>0</v>
      </c>
      <c r="W451">
        <f t="shared" ref="W451:W514" si="201">IF($F451=6,1,0)</f>
        <v>0</v>
      </c>
      <c r="X451">
        <f t="shared" ref="X451:X514" si="202">IF($F451=7,1,0)</f>
        <v>0</v>
      </c>
      <c r="Y451">
        <f t="shared" ref="Y451:Y514" si="203">IF($F451=8,1,0)</f>
        <v>0</v>
      </c>
      <c r="Z451">
        <f t="shared" ref="Z451:Z514" si="204">IF($F451=9,1,0)</f>
        <v>0</v>
      </c>
      <c r="AA451">
        <f t="shared" ref="AA451:AA514" si="205">IF($F451=10,1,0)</f>
        <v>0</v>
      </c>
      <c r="AB451">
        <f t="shared" ref="AB451:AB514" si="206">IF($F451=11,1,0)</f>
        <v>0</v>
      </c>
      <c r="AC451">
        <f t="shared" ref="AC451:AC514" si="207">IF($F451=12,1,0)</f>
        <v>0</v>
      </c>
      <c r="AD451">
        <f t="shared" ref="AD451:AD514" si="208">IF($G451=0,1,0)</f>
        <v>1</v>
      </c>
      <c r="AE451">
        <f t="shared" ref="AE451:AE514" si="209">IF($G451=1,1,0)</f>
        <v>0</v>
      </c>
      <c r="AF451">
        <f t="shared" ref="AF451:AF514" si="210">IF($G451=2,1,0)</f>
        <v>0</v>
      </c>
      <c r="AG451">
        <f t="shared" ref="AG451:AG514" si="211">IF($G451=3,1,0)</f>
        <v>0</v>
      </c>
      <c r="AH451">
        <f t="shared" ref="AH451:AH514" si="212">IF($G451=4,1,0)</f>
        <v>0</v>
      </c>
      <c r="AI451">
        <f t="shared" ref="AI451:AI514" si="213">IF($G451=5,1,0)</f>
        <v>0</v>
      </c>
      <c r="AJ451">
        <f t="shared" ref="AJ451:AJ514" si="214">IF($G451=6,1,0)</f>
        <v>0</v>
      </c>
      <c r="AK451">
        <f t="shared" ref="AK451:AK514" si="215">IF($H451=1,1,0)</f>
        <v>0</v>
      </c>
      <c r="AL451">
        <f t="shared" ref="AL451:AL514" si="216">IF($H451=2,1,0)</f>
        <v>1</v>
      </c>
      <c r="AM451">
        <f t="shared" ref="AM451:AM514" si="217">IF($H451=3,1,0)</f>
        <v>0</v>
      </c>
      <c r="AN451">
        <f t="shared" ref="AN451:AN514" si="218">IF($E451=0,1,0)</f>
        <v>0</v>
      </c>
      <c r="AO451">
        <f t="shared" ref="AO451:AO514" si="219">IF($E451=1,1,0)</f>
        <v>1</v>
      </c>
      <c r="AP451">
        <f t="shared" ref="AP451:AP514" si="220">IF($D451=1,1,0)</f>
        <v>0</v>
      </c>
      <c r="AQ451">
        <f t="shared" ref="AQ451:AQ514" si="221">IF($D451=2,1,0)</f>
        <v>1</v>
      </c>
      <c r="AR451">
        <f t="shared" ref="AR451:AR514" si="222">IF($D451=3,1,0)</f>
        <v>0</v>
      </c>
      <c r="AS451">
        <f t="shared" ref="AS451:AS514" si="223">IF($D451=4,1,0)</f>
        <v>0</v>
      </c>
    </row>
    <row r="452" spans="2:45" x14ac:dyDescent="0.3">
      <c r="B452">
        <v>451</v>
      </c>
      <c r="C452" s="1">
        <v>40994</v>
      </c>
      <c r="D452">
        <v>2</v>
      </c>
      <c r="E452">
        <v>1</v>
      </c>
      <c r="F452">
        <v>3</v>
      </c>
      <c r="G452">
        <v>1</v>
      </c>
      <c r="H452">
        <v>1</v>
      </c>
      <c r="I452">
        <v>795</v>
      </c>
      <c r="J452">
        <v>4763</v>
      </c>
      <c r="K452" s="8">
        <v>5558</v>
      </c>
      <c r="L452">
        <v>18.279153000000001</v>
      </c>
      <c r="M452">
        <v>21.9375</v>
      </c>
      <c r="N452">
        <v>47.791699999999999</v>
      </c>
      <c r="O452">
        <v>25.917007000000002</v>
      </c>
      <c r="P452">
        <v>0</v>
      </c>
      <c r="Q452">
        <v>1</v>
      </c>
      <c r="R452">
        <f t="shared" si="196"/>
        <v>0</v>
      </c>
      <c r="S452">
        <f t="shared" si="197"/>
        <v>0</v>
      </c>
      <c r="T452">
        <f t="shared" si="198"/>
        <v>1</v>
      </c>
      <c r="U452">
        <f t="shared" si="199"/>
        <v>0</v>
      </c>
      <c r="V452">
        <f t="shared" si="200"/>
        <v>0</v>
      </c>
      <c r="W452">
        <f t="shared" si="201"/>
        <v>0</v>
      </c>
      <c r="X452">
        <f t="shared" si="202"/>
        <v>0</v>
      </c>
      <c r="Y452">
        <f t="shared" si="203"/>
        <v>0</v>
      </c>
      <c r="Z452">
        <f t="shared" si="204"/>
        <v>0</v>
      </c>
      <c r="AA452">
        <f t="shared" si="205"/>
        <v>0</v>
      </c>
      <c r="AB452">
        <f t="shared" si="206"/>
        <v>0</v>
      </c>
      <c r="AC452">
        <f t="shared" si="207"/>
        <v>0</v>
      </c>
      <c r="AD452">
        <f t="shared" si="208"/>
        <v>0</v>
      </c>
      <c r="AE452">
        <f t="shared" si="209"/>
        <v>1</v>
      </c>
      <c r="AF452">
        <f t="shared" si="210"/>
        <v>0</v>
      </c>
      <c r="AG452">
        <f t="shared" si="211"/>
        <v>0</v>
      </c>
      <c r="AH452">
        <f t="shared" si="212"/>
        <v>0</v>
      </c>
      <c r="AI452">
        <f t="shared" si="213"/>
        <v>0</v>
      </c>
      <c r="AJ452">
        <f t="shared" si="214"/>
        <v>0</v>
      </c>
      <c r="AK452">
        <f t="shared" si="215"/>
        <v>1</v>
      </c>
      <c r="AL452">
        <f t="shared" si="216"/>
        <v>0</v>
      </c>
      <c r="AM452">
        <f t="shared" si="217"/>
        <v>0</v>
      </c>
      <c r="AN452">
        <f t="shared" si="218"/>
        <v>0</v>
      </c>
      <c r="AO452">
        <f t="shared" si="219"/>
        <v>1</v>
      </c>
      <c r="AP452">
        <f t="shared" si="220"/>
        <v>0</v>
      </c>
      <c r="AQ452">
        <f t="shared" si="221"/>
        <v>1</v>
      </c>
      <c r="AR452">
        <f t="shared" si="222"/>
        <v>0</v>
      </c>
      <c r="AS452">
        <f t="shared" si="223"/>
        <v>0</v>
      </c>
    </row>
    <row r="453" spans="2:45" x14ac:dyDescent="0.3">
      <c r="B453">
        <v>452</v>
      </c>
      <c r="C453" s="1">
        <v>40995</v>
      </c>
      <c r="D453">
        <v>2</v>
      </c>
      <c r="E453">
        <v>1</v>
      </c>
      <c r="F453">
        <v>3</v>
      </c>
      <c r="G453">
        <v>2</v>
      </c>
      <c r="H453">
        <v>1</v>
      </c>
      <c r="I453">
        <v>531</v>
      </c>
      <c r="J453">
        <v>4571</v>
      </c>
      <c r="K453" s="8">
        <v>5102</v>
      </c>
      <c r="L453">
        <v>13.256653</v>
      </c>
      <c r="M453">
        <v>15.7827</v>
      </c>
      <c r="N453">
        <v>29</v>
      </c>
      <c r="O453">
        <v>12.541864</v>
      </c>
      <c r="P453">
        <v>0</v>
      </c>
      <c r="Q453">
        <v>1</v>
      </c>
      <c r="R453">
        <f t="shared" si="196"/>
        <v>0</v>
      </c>
      <c r="S453">
        <f t="shared" si="197"/>
        <v>0</v>
      </c>
      <c r="T453">
        <f t="shared" si="198"/>
        <v>1</v>
      </c>
      <c r="U453">
        <f t="shared" si="199"/>
        <v>0</v>
      </c>
      <c r="V453">
        <f t="shared" si="200"/>
        <v>0</v>
      </c>
      <c r="W453">
        <f t="shared" si="201"/>
        <v>0</v>
      </c>
      <c r="X453">
        <f t="shared" si="202"/>
        <v>0</v>
      </c>
      <c r="Y453">
        <f t="shared" si="203"/>
        <v>0</v>
      </c>
      <c r="Z453">
        <f t="shared" si="204"/>
        <v>0</v>
      </c>
      <c r="AA453">
        <f t="shared" si="205"/>
        <v>0</v>
      </c>
      <c r="AB453">
        <f t="shared" si="206"/>
        <v>0</v>
      </c>
      <c r="AC453">
        <f t="shared" si="207"/>
        <v>0</v>
      </c>
      <c r="AD453">
        <f t="shared" si="208"/>
        <v>0</v>
      </c>
      <c r="AE453">
        <f t="shared" si="209"/>
        <v>0</v>
      </c>
      <c r="AF453">
        <f t="shared" si="210"/>
        <v>1</v>
      </c>
      <c r="AG453">
        <f t="shared" si="211"/>
        <v>0</v>
      </c>
      <c r="AH453">
        <f t="shared" si="212"/>
        <v>0</v>
      </c>
      <c r="AI453">
        <f t="shared" si="213"/>
        <v>0</v>
      </c>
      <c r="AJ453">
        <f t="shared" si="214"/>
        <v>0</v>
      </c>
      <c r="AK453">
        <f t="shared" si="215"/>
        <v>1</v>
      </c>
      <c r="AL453">
        <f t="shared" si="216"/>
        <v>0</v>
      </c>
      <c r="AM453">
        <f t="shared" si="217"/>
        <v>0</v>
      </c>
      <c r="AN453">
        <f t="shared" si="218"/>
        <v>0</v>
      </c>
      <c r="AO453">
        <f t="shared" si="219"/>
        <v>1</v>
      </c>
      <c r="AP453">
        <f t="shared" si="220"/>
        <v>0</v>
      </c>
      <c r="AQ453">
        <f t="shared" si="221"/>
        <v>1</v>
      </c>
      <c r="AR453">
        <f t="shared" si="222"/>
        <v>0</v>
      </c>
      <c r="AS453">
        <f t="shared" si="223"/>
        <v>0</v>
      </c>
    </row>
    <row r="454" spans="2:45" x14ac:dyDescent="0.3">
      <c r="B454">
        <v>453</v>
      </c>
      <c r="C454" s="1">
        <v>40996</v>
      </c>
      <c r="D454">
        <v>2</v>
      </c>
      <c r="E454">
        <v>1</v>
      </c>
      <c r="F454">
        <v>3</v>
      </c>
      <c r="G454">
        <v>3</v>
      </c>
      <c r="H454">
        <v>1</v>
      </c>
      <c r="I454">
        <v>674</v>
      </c>
      <c r="J454">
        <v>5024</v>
      </c>
      <c r="K454" s="8">
        <v>5698</v>
      </c>
      <c r="L454">
        <v>19.850847000000002</v>
      </c>
      <c r="M454">
        <v>23.547499999999999</v>
      </c>
      <c r="N454">
        <v>48.125</v>
      </c>
      <c r="O454">
        <v>19.541957</v>
      </c>
      <c r="P454">
        <v>0</v>
      </c>
      <c r="Q454">
        <v>1</v>
      </c>
      <c r="R454">
        <f t="shared" si="196"/>
        <v>0</v>
      </c>
      <c r="S454">
        <f t="shared" si="197"/>
        <v>0</v>
      </c>
      <c r="T454">
        <f t="shared" si="198"/>
        <v>1</v>
      </c>
      <c r="U454">
        <f t="shared" si="199"/>
        <v>0</v>
      </c>
      <c r="V454">
        <f t="shared" si="200"/>
        <v>0</v>
      </c>
      <c r="W454">
        <f t="shared" si="201"/>
        <v>0</v>
      </c>
      <c r="X454">
        <f t="shared" si="202"/>
        <v>0</v>
      </c>
      <c r="Y454">
        <f t="shared" si="203"/>
        <v>0</v>
      </c>
      <c r="Z454">
        <f t="shared" si="204"/>
        <v>0</v>
      </c>
      <c r="AA454">
        <f t="shared" si="205"/>
        <v>0</v>
      </c>
      <c r="AB454">
        <f t="shared" si="206"/>
        <v>0</v>
      </c>
      <c r="AC454">
        <f t="shared" si="207"/>
        <v>0</v>
      </c>
      <c r="AD454">
        <f t="shared" si="208"/>
        <v>0</v>
      </c>
      <c r="AE454">
        <f t="shared" si="209"/>
        <v>0</v>
      </c>
      <c r="AF454">
        <f t="shared" si="210"/>
        <v>0</v>
      </c>
      <c r="AG454">
        <f t="shared" si="211"/>
        <v>1</v>
      </c>
      <c r="AH454">
        <f t="shared" si="212"/>
        <v>0</v>
      </c>
      <c r="AI454">
        <f t="shared" si="213"/>
        <v>0</v>
      </c>
      <c r="AJ454">
        <f t="shared" si="214"/>
        <v>0</v>
      </c>
      <c r="AK454">
        <f t="shared" si="215"/>
        <v>1</v>
      </c>
      <c r="AL454">
        <f t="shared" si="216"/>
        <v>0</v>
      </c>
      <c r="AM454">
        <f t="shared" si="217"/>
        <v>0</v>
      </c>
      <c r="AN454">
        <f t="shared" si="218"/>
        <v>0</v>
      </c>
      <c r="AO454">
        <f t="shared" si="219"/>
        <v>1</v>
      </c>
      <c r="AP454">
        <f t="shared" si="220"/>
        <v>0</v>
      </c>
      <c r="AQ454">
        <f t="shared" si="221"/>
        <v>1</v>
      </c>
      <c r="AR454">
        <f t="shared" si="222"/>
        <v>0</v>
      </c>
      <c r="AS454">
        <f t="shared" si="223"/>
        <v>0</v>
      </c>
    </row>
    <row r="455" spans="2:45" x14ac:dyDescent="0.3">
      <c r="B455">
        <v>454</v>
      </c>
      <c r="C455" s="1">
        <v>40997</v>
      </c>
      <c r="D455">
        <v>2</v>
      </c>
      <c r="E455">
        <v>1</v>
      </c>
      <c r="F455">
        <v>3</v>
      </c>
      <c r="G455">
        <v>4</v>
      </c>
      <c r="H455">
        <v>1</v>
      </c>
      <c r="I455">
        <v>834</v>
      </c>
      <c r="J455">
        <v>5299</v>
      </c>
      <c r="K455" s="8">
        <v>6133</v>
      </c>
      <c r="L455">
        <v>20.260846999999998</v>
      </c>
      <c r="M455">
        <v>24.115200000000002</v>
      </c>
      <c r="N455">
        <v>43.916699999999999</v>
      </c>
      <c r="O455">
        <v>21.416550000000001</v>
      </c>
      <c r="P455">
        <v>0</v>
      </c>
      <c r="Q455">
        <v>1</v>
      </c>
      <c r="R455">
        <f t="shared" si="196"/>
        <v>0</v>
      </c>
      <c r="S455">
        <f t="shared" si="197"/>
        <v>0</v>
      </c>
      <c r="T455">
        <f t="shared" si="198"/>
        <v>1</v>
      </c>
      <c r="U455">
        <f t="shared" si="199"/>
        <v>0</v>
      </c>
      <c r="V455">
        <f t="shared" si="200"/>
        <v>0</v>
      </c>
      <c r="W455">
        <f t="shared" si="201"/>
        <v>0</v>
      </c>
      <c r="X455">
        <f t="shared" si="202"/>
        <v>0</v>
      </c>
      <c r="Y455">
        <f t="shared" si="203"/>
        <v>0</v>
      </c>
      <c r="Z455">
        <f t="shared" si="204"/>
        <v>0</v>
      </c>
      <c r="AA455">
        <f t="shared" si="205"/>
        <v>0</v>
      </c>
      <c r="AB455">
        <f t="shared" si="206"/>
        <v>0</v>
      </c>
      <c r="AC455">
        <f t="shared" si="207"/>
        <v>0</v>
      </c>
      <c r="AD455">
        <f t="shared" si="208"/>
        <v>0</v>
      </c>
      <c r="AE455">
        <f t="shared" si="209"/>
        <v>0</v>
      </c>
      <c r="AF455">
        <f t="shared" si="210"/>
        <v>0</v>
      </c>
      <c r="AG455">
        <f t="shared" si="211"/>
        <v>0</v>
      </c>
      <c r="AH455">
        <f t="shared" si="212"/>
        <v>1</v>
      </c>
      <c r="AI455">
        <f t="shared" si="213"/>
        <v>0</v>
      </c>
      <c r="AJ455">
        <f t="shared" si="214"/>
        <v>0</v>
      </c>
      <c r="AK455">
        <f t="shared" si="215"/>
        <v>1</v>
      </c>
      <c r="AL455">
        <f t="shared" si="216"/>
        <v>0</v>
      </c>
      <c r="AM455">
        <f t="shared" si="217"/>
        <v>0</v>
      </c>
      <c r="AN455">
        <f t="shared" si="218"/>
        <v>0</v>
      </c>
      <c r="AO455">
        <f t="shared" si="219"/>
        <v>1</v>
      </c>
      <c r="AP455">
        <f t="shared" si="220"/>
        <v>0</v>
      </c>
      <c r="AQ455">
        <f t="shared" si="221"/>
        <v>1</v>
      </c>
      <c r="AR455">
        <f t="shared" si="222"/>
        <v>0</v>
      </c>
      <c r="AS455">
        <f t="shared" si="223"/>
        <v>0</v>
      </c>
    </row>
    <row r="456" spans="2:45" x14ac:dyDescent="0.3">
      <c r="B456">
        <v>455</v>
      </c>
      <c r="C456" s="1">
        <v>40998</v>
      </c>
      <c r="D456">
        <v>2</v>
      </c>
      <c r="E456">
        <v>1</v>
      </c>
      <c r="F456">
        <v>3</v>
      </c>
      <c r="G456">
        <v>5</v>
      </c>
      <c r="H456">
        <v>2</v>
      </c>
      <c r="I456">
        <v>796</v>
      </c>
      <c r="J456">
        <v>4663</v>
      </c>
      <c r="K456" s="8">
        <v>5459</v>
      </c>
      <c r="L456">
        <v>15.17</v>
      </c>
      <c r="M456">
        <v>18.78105</v>
      </c>
      <c r="N456">
        <v>58.083300000000001</v>
      </c>
      <c r="O456">
        <v>9.250489</v>
      </c>
      <c r="P456">
        <v>0</v>
      </c>
      <c r="Q456">
        <v>1</v>
      </c>
      <c r="R456">
        <f t="shared" si="196"/>
        <v>0</v>
      </c>
      <c r="S456">
        <f t="shared" si="197"/>
        <v>0</v>
      </c>
      <c r="T456">
        <f t="shared" si="198"/>
        <v>1</v>
      </c>
      <c r="U456">
        <f t="shared" si="199"/>
        <v>0</v>
      </c>
      <c r="V456">
        <f t="shared" si="200"/>
        <v>0</v>
      </c>
      <c r="W456">
        <f t="shared" si="201"/>
        <v>0</v>
      </c>
      <c r="X456">
        <f t="shared" si="202"/>
        <v>0</v>
      </c>
      <c r="Y456">
        <f t="shared" si="203"/>
        <v>0</v>
      </c>
      <c r="Z456">
        <f t="shared" si="204"/>
        <v>0</v>
      </c>
      <c r="AA456">
        <f t="shared" si="205"/>
        <v>0</v>
      </c>
      <c r="AB456">
        <f t="shared" si="206"/>
        <v>0</v>
      </c>
      <c r="AC456">
        <f t="shared" si="207"/>
        <v>0</v>
      </c>
      <c r="AD456">
        <f t="shared" si="208"/>
        <v>0</v>
      </c>
      <c r="AE456">
        <f t="shared" si="209"/>
        <v>0</v>
      </c>
      <c r="AF456">
        <f t="shared" si="210"/>
        <v>0</v>
      </c>
      <c r="AG456">
        <f t="shared" si="211"/>
        <v>0</v>
      </c>
      <c r="AH456">
        <f t="shared" si="212"/>
        <v>0</v>
      </c>
      <c r="AI456">
        <f t="shared" si="213"/>
        <v>1</v>
      </c>
      <c r="AJ456">
        <f t="shared" si="214"/>
        <v>0</v>
      </c>
      <c r="AK456">
        <f t="shared" si="215"/>
        <v>0</v>
      </c>
      <c r="AL456">
        <f t="shared" si="216"/>
        <v>1</v>
      </c>
      <c r="AM456">
        <f t="shared" si="217"/>
        <v>0</v>
      </c>
      <c r="AN456">
        <f t="shared" si="218"/>
        <v>0</v>
      </c>
      <c r="AO456">
        <f t="shared" si="219"/>
        <v>1</v>
      </c>
      <c r="AP456">
        <f t="shared" si="220"/>
        <v>0</v>
      </c>
      <c r="AQ456">
        <f t="shared" si="221"/>
        <v>1</v>
      </c>
      <c r="AR456">
        <f t="shared" si="222"/>
        <v>0</v>
      </c>
      <c r="AS456">
        <f t="shared" si="223"/>
        <v>0</v>
      </c>
    </row>
    <row r="457" spans="2:45" x14ac:dyDescent="0.3">
      <c r="B457">
        <v>456</v>
      </c>
      <c r="C457" s="1">
        <v>40999</v>
      </c>
      <c r="D457">
        <v>2</v>
      </c>
      <c r="E457">
        <v>1</v>
      </c>
      <c r="F457">
        <v>3</v>
      </c>
      <c r="G457">
        <v>6</v>
      </c>
      <c r="H457">
        <v>2</v>
      </c>
      <c r="I457">
        <v>2301</v>
      </c>
      <c r="J457">
        <v>3934</v>
      </c>
      <c r="K457" s="8">
        <v>6235</v>
      </c>
      <c r="L457">
        <v>17.390847000000001</v>
      </c>
      <c r="M457">
        <v>21.0854</v>
      </c>
      <c r="N457">
        <v>73.833299999999994</v>
      </c>
      <c r="O457">
        <v>16.791339000000001</v>
      </c>
      <c r="P457">
        <v>0</v>
      </c>
      <c r="Q457">
        <v>0</v>
      </c>
      <c r="R457">
        <f t="shared" si="196"/>
        <v>0</v>
      </c>
      <c r="S457">
        <f t="shared" si="197"/>
        <v>0</v>
      </c>
      <c r="T457">
        <f t="shared" si="198"/>
        <v>1</v>
      </c>
      <c r="U457">
        <f t="shared" si="199"/>
        <v>0</v>
      </c>
      <c r="V457">
        <f t="shared" si="200"/>
        <v>0</v>
      </c>
      <c r="W457">
        <f t="shared" si="201"/>
        <v>0</v>
      </c>
      <c r="X457">
        <f t="shared" si="202"/>
        <v>0</v>
      </c>
      <c r="Y457">
        <f t="shared" si="203"/>
        <v>0</v>
      </c>
      <c r="Z457">
        <f t="shared" si="204"/>
        <v>0</v>
      </c>
      <c r="AA457">
        <f t="shared" si="205"/>
        <v>0</v>
      </c>
      <c r="AB457">
        <f t="shared" si="206"/>
        <v>0</v>
      </c>
      <c r="AC457">
        <f t="shared" si="207"/>
        <v>0</v>
      </c>
      <c r="AD457">
        <f t="shared" si="208"/>
        <v>0</v>
      </c>
      <c r="AE457">
        <f t="shared" si="209"/>
        <v>0</v>
      </c>
      <c r="AF457">
        <f t="shared" si="210"/>
        <v>0</v>
      </c>
      <c r="AG457">
        <f t="shared" si="211"/>
        <v>0</v>
      </c>
      <c r="AH457">
        <f t="shared" si="212"/>
        <v>0</v>
      </c>
      <c r="AI457">
        <f t="shared" si="213"/>
        <v>0</v>
      </c>
      <c r="AJ457">
        <f t="shared" si="214"/>
        <v>1</v>
      </c>
      <c r="AK457">
        <f t="shared" si="215"/>
        <v>0</v>
      </c>
      <c r="AL457">
        <f t="shared" si="216"/>
        <v>1</v>
      </c>
      <c r="AM457">
        <f t="shared" si="217"/>
        <v>0</v>
      </c>
      <c r="AN457">
        <f t="shared" si="218"/>
        <v>0</v>
      </c>
      <c r="AO457">
        <f t="shared" si="219"/>
        <v>1</v>
      </c>
      <c r="AP457">
        <f t="shared" si="220"/>
        <v>0</v>
      </c>
      <c r="AQ457">
        <f t="shared" si="221"/>
        <v>1</v>
      </c>
      <c r="AR457">
        <f t="shared" si="222"/>
        <v>0</v>
      </c>
      <c r="AS457">
        <f t="shared" si="223"/>
        <v>0</v>
      </c>
    </row>
    <row r="458" spans="2:45" x14ac:dyDescent="0.3">
      <c r="B458">
        <v>457</v>
      </c>
      <c r="C458" s="1">
        <v>41000</v>
      </c>
      <c r="D458">
        <v>2</v>
      </c>
      <c r="E458">
        <v>1</v>
      </c>
      <c r="F458">
        <v>4</v>
      </c>
      <c r="G458">
        <v>0</v>
      </c>
      <c r="H458">
        <v>2</v>
      </c>
      <c r="I458">
        <v>2347</v>
      </c>
      <c r="J458">
        <v>3694</v>
      </c>
      <c r="K458" s="8">
        <v>6041</v>
      </c>
      <c r="L458">
        <v>17.459153000000001</v>
      </c>
      <c r="M458">
        <v>20.864350000000002</v>
      </c>
      <c r="N458">
        <v>67.625</v>
      </c>
      <c r="O458">
        <v>11.541888999999999</v>
      </c>
      <c r="P458">
        <v>0</v>
      </c>
      <c r="Q458">
        <v>0</v>
      </c>
      <c r="R458">
        <f t="shared" si="196"/>
        <v>0</v>
      </c>
      <c r="S458">
        <f t="shared" si="197"/>
        <v>0</v>
      </c>
      <c r="T458">
        <f t="shared" si="198"/>
        <v>0</v>
      </c>
      <c r="U458">
        <f t="shared" si="199"/>
        <v>1</v>
      </c>
      <c r="V458">
        <f t="shared" si="200"/>
        <v>0</v>
      </c>
      <c r="W458">
        <f t="shared" si="201"/>
        <v>0</v>
      </c>
      <c r="X458">
        <f t="shared" si="202"/>
        <v>0</v>
      </c>
      <c r="Y458">
        <f t="shared" si="203"/>
        <v>0</v>
      </c>
      <c r="Z458">
        <f t="shared" si="204"/>
        <v>0</v>
      </c>
      <c r="AA458">
        <f t="shared" si="205"/>
        <v>0</v>
      </c>
      <c r="AB458">
        <f t="shared" si="206"/>
        <v>0</v>
      </c>
      <c r="AC458">
        <f t="shared" si="207"/>
        <v>0</v>
      </c>
      <c r="AD458">
        <f t="shared" si="208"/>
        <v>1</v>
      </c>
      <c r="AE458">
        <f t="shared" si="209"/>
        <v>0</v>
      </c>
      <c r="AF458">
        <f t="shared" si="210"/>
        <v>0</v>
      </c>
      <c r="AG458">
        <f t="shared" si="211"/>
        <v>0</v>
      </c>
      <c r="AH458">
        <f t="shared" si="212"/>
        <v>0</v>
      </c>
      <c r="AI458">
        <f t="shared" si="213"/>
        <v>0</v>
      </c>
      <c r="AJ458">
        <f t="shared" si="214"/>
        <v>0</v>
      </c>
      <c r="AK458">
        <f t="shared" si="215"/>
        <v>0</v>
      </c>
      <c r="AL458">
        <f t="shared" si="216"/>
        <v>1</v>
      </c>
      <c r="AM458">
        <f t="shared" si="217"/>
        <v>0</v>
      </c>
      <c r="AN458">
        <f t="shared" si="218"/>
        <v>0</v>
      </c>
      <c r="AO458">
        <f t="shared" si="219"/>
        <v>1</v>
      </c>
      <c r="AP458">
        <f t="shared" si="220"/>
        <v>0</v>
      </c>
      <c r="AQ458">
        <f t="shared" si="221"/>
        <v>1</v>
      </c>
      <c r="AR458">
        <f t="shared" si="222"/>
        <v>0</v>
      </c>
      <c r="AS458">
        <f t="shared" si="223"/>
        <v>0</v>
      </c>
    </row>
    <row r="459" spans="2:45" x14ac:dyDescent="0.3">
      <c r="B459">
        <v>458</v>
      </c>
      <c r="C459" s="1">
        <v>41001</v>
      </c>
      <c r="D459">
        <v>2</v>
      </c>
      <c r="E459">
        <v>1</v>
      </c>
      <c r="F459">
        <v>4</v>
      </c>
      <c r="G459">
        <v>1</v>
      </c>
      <c r="H459">
        <v>1</v>
      </c>
      <c r="I459">
        <v>1208</v>
      </c>
      <c r="J459">
        <v>4728</v>
      </c>
      <c r="K459" s="8">
        <v>5936</v>
      </c>
      <c r="L459">
        <v>17.790433</v>
      </c>
      <c r="M459">
        <v>21.37565</v>
      </c>
      <c r="N459">
        <v>50.434800000000003</v>
      </c>
      <c r="O459">
        <v>20.913312999999999</v>
      </c>
      <c r="P459">
        <v>0</v>
      </c>
      <c r="Q459">
        <v>1</v>
      </c>
      <c r="R459">
        <f t="shared" si="196"/>
        <v>0</v>
      </c>
      <c r="S459">
        <f t="shared" si="197"/>
        <v>0</v>
      </c>
      <c r="T459">
        <f t="shared" si="198"/>
        <v>0</v>
      </c>
      <c r="U459">
        <f t="shared" si="199"/>
        <v>1</v>
      </c>
      <c r="V459">
        <f t="shared" si="200"/>
        <v>0</v>
      </c>
      <c r="W459">
        <f t="shared" si="201"/>
        <v>0</v>
      </c>
      <c r="X459">
        <f t="shared" si="202"/>
        <v>0</v>
      </c>
      <c r="Y459">
        <f t="shared" si="203"/>
        <v>0</v>
      </c>
      <c r="Z459">
        <f t="shared" si="204"/>
        <v>0</v>
      </c>
      <c r="AA459">
        <f t="shared" si="205"/>
        <v>0</v>
      </c>
      <c r="AB459">
        <f t="shared" si="206"/>
        <v>0</v>
      </c>
      <c r="AC459">
        <f t="shared" si="207"/>
        <v>0</v>
      </c>
      <c r="AD459">
        <f t="shared" si="208"/>
        <v>0</v>
      </c>
      <c r="AE459">
        <f t="shared" si="209"/>
        <v>1</v>
      </c>
      <c r="AF459">
        <f t="shared" si="210"/>
        <v>0</v>
      </c>
      <c r="AG459">
        <f t="shared" si="211"/>
        <v>0</v>
      </c>
      <c r="AH459">
        <f t="shared" si="212"/>
        <v>0</v>
      </c>
      <c r="AI459">
        <f t="shared" si="213"/>
        <v>0</v>
      </c>
      <c r="AJ459">
        <f t="shared" si="214"/>
        <v>0</v>
      </c>
      <c r="AK459">
        <f t="shared" si="215"/>
        <v>1</v>
      </c>
      <c r="AL459">
        <f t="shared" si="216"/>
        <v>0</v>
      </c>
      <c r="AM459">
        <f t="shared" si="217"/>
        <v>0</v>
      </c>
      <c r="AN459">
        <f t="shared" si="218"/>
        <v>0</v>
      </c>
      <c r="AO459">
        <f t="shared" si="219"/>
        <v>1</v>
      </c>
      <c r="AP459">
        <f t="shared" si="220"/>
        <v>0</v>
      </c>
      <c r="AQ459">
        <f t="shared" si="221"/>
        <v>1</v>
      </c>
      <c r="AR459">
        <f t="shared" si="222"/>
        <v>0</v>
      </c>
      <c r="AS459">
        <f t="shared" si="223"/>
        <v>0</v>
      </c>
    </row>
    <row r="460" spans="2:45" x14ac:dyDescent="0.3">
      <c r="B460">
        <v>459</v>
      </c>
      <c r="C460" s="1">
        <v>41002</v>
      </c>
      <c r="D460">
        <v>2</v>
      </c>
      <c r="E460">
        <v>1</v>
      </c>
      <c r="F460">
        <v>4</v>
      </c>
      <c r="G460">
        <v>2</v>
      </c>
      <c r="H460">
        <v>1</v>
      </c>
      <c r="I460">
        <v>1348</v>
      </c>
      <c r="J460">
        <v>5424</v>
      </c>
      <c r="K460" s="8">
        <v>6772</v>
      </c>
      <c r="L460">
        <v>19.133347000000001</v>
      </c>
      <c r="M460">
        <v>23.074149999999999</v>
      </c>
      <c r="N460">
        <v>39.666699999999999</v>
      </c>
      <c r="O460">
        <v>6.7089109999999996</v>
      </c>
      <c r="P460">
        <v>0</v>
      </c>
      <c r="Q460">
        <v>1</v>
      </c>
      <c r="R460">
        <f t="shared" si="196"/>
        <v>0</v>
      </c>
      <c r="S460">
        <f t="shared" si="197"/>
        <v>0</v>
      </c>
      <c r="T460">
        <f t="shared" si="198"/>
        <v>0</v>
      </c>
      <c r="U460">
        <f t="shared" si="199"/>
        <v>1</v>
      </c>
      <c r="V460">
        <f t="shared" si="200"/>
        <v>0</v>
      </c>
      <c r="W460">
        <f t="shared" si="201"/>
        <v>0</v>
      </c>
      <c r="X460">
        <f t="shared" si="202"/>
        <v>0</v>
      </c>
      <c r="Y460">
        <f t="shared" si="203"/>
        <v>0</v>
      </c>
      <c r="Z460">
        <f t="shared" si="204"/>
        <v>0</v>
      </c>
      <c r="AA460">
        <f t="shared" si="205"/>
        <v>0</v>
      </c>
      <c r="AB460">
        <f t="shared" si="206"/>
        <v>0</v>
      </c>
      <c r="AC460">
        <f t="shared" si="207"/>
        <v>0</v>
      </c>
      <c r="AD460">
        <f t="shared" si="208"/>
        <v>0</v>
      </c>
      <c r="AE460">
        <f t="shared" si="209"/>
        <v>0</v>
      </c>
      <c r="AF460">
        <f t="shared" si="210"/>
        <v>1</v>
      </c>
      <c r="AG460">
        <f t="shared" si="211"/>
        <v>0</v>
      </c>
      <c r="AH460">
        <f t="shared" si="212"/>
        <v>0</v>
      </c>
      <c r="AI460">
        <f t="shared" si="213"/>
        <v>0</v>
      </c>
      <c r="AJ460">
        <f t="shared" si="214"/>
        <v>0</v>
      </c>
      <c r="AK460">
        <f t="shared" si="215"/>
        <v>1</v>
      </c>
      <c r="AL460">
        <f t="shared" si="216"/>
        <v>0</v>
      </c>
      <c r="AM460">
        <f t="shared" si="217"/>
        <v>0</v>
      </c>
      <c r="AN460">
        <f t="shared" si="218"/>
        <v>0</v>
      </c>
      <c r="AO460">
        <f t="shared" si="219"/>
        <v>1</v>
      </c>
      <c r="AP460">
        <f t="shared" si="220"/>
        <v>0</v>
      </c>
      <c r="AQ460">
        <f t="shared" si="221"/>
        <v>1</v>
      </c>
      <c r="AR460">
        <f t="shared" si="222"/>
        <v>0</v>
      </c>
      <c r="AS460">
        <f t="shared" si="223"/>
        <v>0</v>
      </c>
    </row>
    <row r="461" spans="2:45" x14ac:dyDescent="0.3">
      <c r="B461">
        <v>460</v>
      </c>
      <c r="C461" s="1">
        <v>41003</v>
      </c>
      <c r="D461">
        <v>2</v>
      </c>
      <c r="E461">
        <v>1</v>
      </c>
      <c r="F461">
        <v>4</v>
      </c>
      <c r="G461">
        <v>3</v>
      </c>
      <c r="H461">
        <v>1</v>
      </c>
      <c r="I461">
        <v>1058</v>
      </c>
      <c r="J461">
        <v>5378</v>
      </c>
      <c r="K461" s="8">
        <v>6436</v>
      </c>
      <c r="L461">
        <v>22.208347</v>
      </c>
      <c r="M461">
        <v>26.672499999999999</v>
      </c>
      <c r="N461">
        <v>46.958300000000001</v>
      </c>
      <c r="O461">
        <v>12.125325</v>
      </c>
      <c r="P461">
        <v>0</v>
      </c>
      <c r="Q461">
        <v>1</v>
      </c>
      <c r="R461">
        <f t="shared" si="196"/>
        <v>0</v>
      </c>
      <c r="S461">
        <f t="shared" si="197"/>
        <v>0</v>
      </c>
      <c r="T461">
        <f t="shared" si="198"/>
        <v>0</v>
      </c>
      <c r="U461">
        <f t="shared" si="199"/>
        <v>1</v>
      </c>
      <c r="V461">
        <f t="shared" si="200"/>
        <v>0</v>
      </c>
      <c r="W461">
        <f t="shared" si="201"/>
        <v>0</v>
      </c>
      <c r="X461">
        <f t="shared" si="202"/>
        <v>0</v>
      </c>
      <c r="Y461">
        <f t="shared" si="203"/>
        <v>0</v>
      </c>
      <c r="Z461">
        <f t="shared" si="204"/>
        <v>0</v>
      </c>
      <c r="AA461">
        <f t="shared" si="205"/>
        <v>0</v>
      </c>
      <c r="AB461">
        <f t="shared" si="206"/>
        <v>0</v>
      </c>
      <c r="AC461">
        <f t="shared" si="207"/>
        <v>0</v>
      </c>
      <c r="AD461">
        <f t="shared" si="208"/>
        <v>0</v>
      </c>
      <c r="AE461">
        <f t="shared" si="209"/>
        <v>0</v>
      </c>
      <c r="AF461">
        <f t="shared" si="210"/>
        <v>0</v>
      </c>
      <c r="AG461">
        <f t="shared" si="211"/>
        <v>1</v>
      </c>
      <c r="AH461">
        <f t="shared" si="212"/>
        <v>0</v>
      </c>
      <c r="AI461">
        <f t="shared" si="213"/>
        <v>0</v>
      </c>
      <c r="AJ461">
        <f t="shared" si="214"/>
        <v>0</v>
      </c>
      <c r="AK461">
        <f t="shared" si="215"/>
        <v>1</v>
      </c>
      <c r="AL461">
        <f t="shared" si="216"/>
        <v>0</v>
      </c>
      <c r="AM461">
        <f t="shared" si="217"/>
        <v>0</v>
      </c>
      <c r="AN461">
        <f t="shared" si="218"/>
        <v>0</v>
      </c>
      <c r="AO461">
        <f t="shared" si="219"/>
        <v>1</v>
      </c>
      <c r="AP461">
        <f t="shared" si="220"/>
        <v>0</v>
      </c>
      <c r="AQ461">
        <f t="shared" si="221"/>
        <v>1</v>
      </c>
      <c r="AR461">
        <f t="shared" si="222"/>
        <v>0</v>
      </c>
      <c r="AS461">
        <f t="shared" si="223"/>
        <v>0</v>
      </c>
    </row>
    <row r="462" spans="2:45" x14ac:dyDescent="0.3">
      <c r="B462">
        <v>461</v>
      </c>
      <c r="C462" s="1">
        <v>41004</v>
      </c>
      <c r="D462">
        <v>2</v>
      </c>
      <c r="E462">
        <v>1</v>
      </c>
      <c r="F462">
        <v>4</v>
      </c>
      <c r="G462">
        <v>4</v>
      </c>
      <c r="H462">
        <v>1</v>
      </c>
      <c r="I462">
        <v>1192</v>
      </c>
      <c r="J462">
        <v>5265</v>
      </c>
      <c r="K462" s="8">
        <v>6457</v>
      </c>
      <c r="L462">
        <v>17.835000000000001</v>
      </c>
      <c r="M462">
        <v>21.558150000000001</v>
      </c>
      <c r="N462">
        <v>37.416699999999999</v>
      </c>
      <c r="O462">
        <v>14.708443000000001</v>
      </c>
      <c r="P462">
        <v>0</v>
      </c>
      <c r="Q462">
        <v>1</v>
      </c>
      <c r="R462">
        <f t="shared" si="196"/>
        <v>0</v>
      </c>
      <c r="S462">
        <f t="shared" si="197"/>
        <v>0</v>
      </c>
      <c r="T462">
        <f t="shared" si="198"/>
        <v>0</v>
      </c>
      <c r="U462">
        <f t="shared" si="199"/>
        <v>1</v>
      </c>
      <c r="V462">
        <f t="shared" si="200"/>
        <v>0</v>
      </c>
      <c r="W462">
        <f t="shared" si="201"/>
        <v>0</v>
      </c>
      <c r="X462">
        <f t="shared" si="202"/>
        <v>0</v>
      </c>
      <c r="Y462">
        <f t="shared" si="203"/>
        <v>0</v>
      </c>
      <c r="Z462">
        <f t="shared" si="204"/>
        <v>0</v>
      </c>
      <c r="AA462">
        <f t="shared" si="205"/>
        <v>0</v>
      </c>
      <c r="AB462">
        <f t="shared" si="206"/>
        <v>0</v>
      </c>
      <c r="AC462">
        <f t="shared" si="207"/>
        <v>0</v>
      </c>
      <c r="AD462">
        <f t="shared" si="208"/>
        <v>0</v>
      </c>
      <c r="AE462">
        <f t="shared" si="209"/>
        <v>0</v>
      </c>
      <c r="AF462">
        <f t="shared" si="210"/>
        <v>0</v>
      </c>
      <c r="AG462">
        <f t="shared" si="211"/>
        <v>0</v>
      </c>
      <c r="AH462">
        <f t="shared" si="212"/>
        <v>1</v>
      </c>
      <c r="AI462">
        <f t="shared" si="213"/>
        <v>0</v>
      </c>
      <c r="AJ462">
        <f t="shared" si="214"/>
        <v>0</v>
      </c>
      <c r="AK462">
        <f t="shared" si="215"/>
        <v>1</v>
      </c>
      <c r="AL462">
        <f t="shared" si="216"/>
        <v>0</v>
      </c>
      <c r="AM462">
        <f t="shared" si="217"/>
        <v>0</v>
      </c>
      <c r="AN462">
        <f t="shared" si="218"/>
        <v>0</v>
      </c>
      <c r="AO462">
        <f t="shared" si="219"/>
        <v>1</v>
      </c>
      <c r="AP462">
        <f t="shared" si="220"/>
        <v>0</v>
      </c>
      <c r="AQ462">
        <f t="shared" si="221"/>
        <v>1</v>
      </c>
      <c r="AR462">
        <f t="shared" si="222"/>
        <v>0</v>
      </c>
      <c r="AS462">
        <f t="shared" si="223"/>
        <v>0</v>
      </c>
    </row>
    <row r="463" spans="2:45" x14ac:dyDescent="0.3">
      <c r="B463">
        <v>462</v>
      </c>
      <c r="C463" s="1">
        <v>41005</v>
      </c>
      <c r="D463">
        <v>2</v>
      </c>
      <c r="E463">
        <v>1</v>
      </c>
      <c r="F463">
        <v>4</v>
      </c>
      <c r="G463">
        <v>5</v>
      </c>
      <c r="H463">
        <v>1</v>
      </c>
      <c r="I463">
        <v>1807</v>
      </c>
      <c r="J463">
        <v>4653</v>
      </c>
      <c r="K463" s="8">
        <v>6460</v>
      </c>
      <c r="L463">
        <v>16.536653000000001</v>
      </c>
      <c r="M463">
        <v>19.538350000000001</v>
      </c>
      <c r="N463">
        <v>37.708300000000001</v>
      </c>
      <c r="O463">
        <v>20.125996000000001</v>
      </c>
      <c r="P463">
        <v>0</v>
      </c>
      <c r="Q463">
        <v>1</v>
      </c>
      <c r="R463">
        <f t="shared" si="196"/>
        <v>0</v>
      </c>
      <c r="S463">
        <f t="shared" si="197"/>
        <v>0</v>
      </c>
      <c r="T463">
        <f t="shared" si="198"/>
        <v>0</v>
      </c>
      <c r="U463">
        <f t="shared" si="199"/>
        <v>1</v>
      </c>
      <c r="V463">
        <f t="shared" si="200"/>
        <v>0</v>
      </c>
      <c r="W463">
        <f t="shared" si="201"/>
        <v>0</v>
      </c>
      <c r="X463">
        <f t="shared" si="202"/>
        <v>0</v>
      </c>
      <c r="Y463">
        <f t="shared" si="203"/>
        <v>0</v>
      </c>
      <c r="Z463">
        <f t="shared" si="204"/>
        <v>0</v>
      </c>
      <c r="AA463">
        <f t="shared" si="205"/>
        <v>0</v>
      </c>
      <c r="AB463">
        <f t="shared" si="206"/>
        <v>0</v>
      </c>
      <c r="AC463">
        <f t="shared" si="207"/>
        <v>0</v>
      </c>
      <c r="AD463">
        <f t="shared" si="208"/>
        <v>0</v>
      </c>
      <c r="AE463">
        <f t="shared" si="209"/>
        <v>0</v>
      </c>
      <c r="AF463">
        <f t="shared" si="210"/>
        <v>0</v>
      </c>
      <c r="AG463">
        <f t="shared" si="211"/>
        <v>0</v>
      </c>
      <c r="AH463">
        <f t="shared" si="212"/>
        <v>0</v>
      </c>
      <c r="AI463">
        <f t="shared" si="213"/>
        <v>1</v>
      </c>
      <c r="AJ463">
        <f t="shared" si="214"/>
        <v>0</v>
      </c>
      <c r="AK463">
        <f t="shared" si="215"/>
        <v>1</v>
      </c>
      <c r="AL463">
        <f t="shared" si="216"/>
        <v>0</v>
      </c>
      <c r="AM463">
        <f t="shared" si="217"/>
        <v>0</v>
      </c>
      <c r="AN463">
        <f t="shared" si="218"/>
        <v>0</v>
      </c>
      <c r="AO463">
        <f t="shared" si="219"/>
        <v>1</v>
      </c>
      <c r="AP463">
        <f t="shared" si="220"/>
        <v>0</v>
      </c>
      <c r="AQ463">
        <f t="shared" si="221"/>
        <v>1</v>
      </c>
      <c r="AR463">
        <f t="shared" si="222"/>
        <v>0</v>
      </c>
      <c r="AS463">
        <f t="shared" si="223"/>
        <v>0</v>
      </c>
    </row>
    <row r="464" spans="2:45" x14ac:dyDescent="0.3">
      <c r="B464">
        <v>463</v>
      </c>
      <c r="C464" s="1">
        <v>41006</v>
      </c>
      <c r="D464">
        <v>2</v>
      </c>
      <c r="E464">
        <v>1</v>
      </c>
      <c r="F464">
        <v>4</v>
      </c>
      <c r="G464">
        <v>6</v>
      </c>
      <c r="H464">
        <v>1</v>
      </c>
      <c r="I464">
        <v>3252</v>
      </c>
      <c r="J464">
        <v>3605</v>
      </c>
      <c r="K464" s="8">
        <v>6857</v>
      </c>
      <c r="L464">
        <v>17.9375</v>
      </c>
      <c r="M464">
        <v>21.306450000000002</v>
      </c>
      <c r="N464">
        <v>25.416699999999999</v>
      </c>
      <c r="O464">
        <v>18.416357000000001</v>
      </c>
      <c r="P464">
        <v>0</v>
      </c>
      <c r="Q464">
        <v>0</v>
      </c>
      <c r="R464">
        <f t="shared" si="196"/>
        <v>0</v>
      </c>
      <c r="S464">
        <f t="shared" si="197"/>
        <v>0</v>
      </c>
      <c r="T464">
        <f t="shared" si="198"/>
        <v>0</v>
      </c>
      <c r="U464">
        <f t="shared" si="199"/>
        <v>1</v>
      </c>
      <c r="V464">
        <f t="shared" si="200"/>
        <v>0</v>
      </c>
      <c r="W464">
        <f t="shared" si="201"/>
        <v>0</v>
      </c>
      <c r="X464">
        <f t="shared" si="202"/>
        <v>0</v>
      </c>
      <c r="Y464">
        <f t="shared" si="203"/>
        <v>0</v>
      </c>
      <c r="Z464">
        <f t="shared" si="204"/>
        <v>0</v>
      </c>
      <c r="AA464">
        <f t="shared" si="205"/>
        <v>0</v>
      </c>
      <c r="AB464">
        <f t="shared" si="206"/>
        <v>0</v>
      </c>
      <c r="AC464">
        <f t="shared" si="207"/>
        <v>0</v>
      </c>
      <c r="AD464">
        <f t="shared" si="208"/>
        <v>0</v>
      </c>
      <c r="AE464">
        <f t="shared" si="209"/>
        <v>0</v>
      </c>
      <c r="AF464">
        <f t="shared" si="210"/>
        <v>0</v>
      </c>
      <c r="AG464">
        <f t="shared" si="211"/>
        <v>0</v>
      </c>
      <c r="AH464">
        <f t="shared" si="212"/>
        <v>0</v>
      </c>
      <c r="AI464">
        <f t="shared" si="213"/>
        <v>0</v>
      </c>
      <c r="AJ464">
        <f t="shared" si="214"/>
        <v>1</v>
      </c>
      <c r="AK464">
        <f t="shared" si="215"/>
        <v>1</v>
      </c>
      <c r="AL464">
        <f t="shared" si="216"/>
        <v>0</v>
      </c>
      <c r="AM464">
        <f t="shared" si="217"/>
        <v>0</v>
      </c>
      <c r="AN464">
        <f t="shared" si="218"/>
        <v>0</v>
      </c>
      <c r="AO464">
        <f t="shared" si="219"/>
        <v>1</v>
      </c>
      <c r="AP464">
        <f t="shared" si="220"/>
        <v>0</v>
      </c>
      <c r="AQ464">
        <f t="shared" si="221"/>
        <v>1</v>
      </c>
      <c r="AR464">
        <f t="shared" si="222"/>
        <v>0</v>
      </c>
      <c r="AS464">
        <f t="shared" si="223"/>
        <v>0</v>
      </c>
    </row>
    <row r="465" spans="2:45" x14ac:dyDescent="0.3">
      <c r="B465">
        <v>464</v>
      </c>
      <c r="C465" s="1">
        <v>41007</v>
      </c>
      <c r="D465">
        <v>2</v>
      </c>
      <c r="E465">
        <v>1</v>
      </c>
      <c r="F465">
        <v>4</v>
      </c>
      <c r="G465">
        <v>0</v>
      </c>
      <c r="H465">
        <v>1</v>
      </c>
      <c r="I465">
        <v>2230</v>
      </c>
      <c r="J465">
        <v>2939</v>
      </c>
      <c r="K465" s="8">
        <v>5169</v>
      </c>
      <c r="L465">
        <v>20.5</v>
      </c>
      <c r="M465">
        <v>24.62125</v>
      </c>
      <c r="N465">
        <v>27.583300000000001</v>
      </c>
      <c r="O465">
        <v>15.583932000000001</v>
      </c>
      <c r="P465">
        <v>0</v>
      </c>
      <c r="Q465">
        <v>0</v>
      </c>
      <c r="R465">
        <f t="shared" si="196"/>
        <v>0</v>
      </c>
      <c r="S465">
        <f t="shared" si="197"/>
        <v>0</v>
      </c>
      <c r="T465">
        <f t="shared" si="198"/>
        <v>0</v>
      </c>
      <c r="U465">
        <f t="shared" si="199"/>
        <v>1</v>
      </c>
      <c r="V465">
        <f t="shared" si="200"/>
        <v>0</v>
      </c>
      <c r="W465">
        <f t="shared" si="201"/>
        <v>0</v>
      </c>
      <c r="X465">
        <f t="shared" si="202"/>
        <v>0</v>
      </c>
      <c r="Y465">
        <f t="shared" si="203"/>
        <v>0</v>
      </c>
      <c r="Z465">
        <f t="shared" si="204"/>
        <v>0</v>
      </c>
      <c r="AA465">
        <f t="shared" si="205"/>
        <v>0</v>
      </c>
      <c r="AB465">
        <f t="shared" si="206"/>
        <v>0</v>
      </c>
      <c r="AC465">
        <f t="shared" si="207"/>
        <v>0</v>
      </c>
      <c r="AD465">
        <f t="shared" si="208"/>
        <v>1</v>
      </c>
      <c r="AE465">
        <f t="shared" si="209"/>
        <v>0</v>
      </c>
      <c r="AF465">
        <f t="shared" si="210"/>
        <v>0</v>
      </c>
      <c r="AG465">
        <f t="shared" si="211"/>
        <v>0</v>
      </c>
      <c r="AH465">
        <f t="shared" si="212"/>
        <v>0</v>
      </c>
      <c r="AI465">
        <f t="shared" si="213"/>
        <v>0</v>
      </c>
      <c r="AJ465">
        <f t="shared" si="214"/>
        <v>0</v>
      </c>
      <c r="AK465">
        <f t="shared" si="215"/>
        <v>1</v>
      </c>
      <c r="AL465">
        <f t="shared" si="216"/>
        <v>0</v>
      </c>
      <c r="AM465">
        <f t="shared" si="217"/>
        <v>0</v>
      </c>
      <c r="AN465">
        <f t="shared" si="218"/>
        <v>0</v>
      </c>
      <c r="AO465">
        <f t="shared" si="219"/>
        <v>1</v>
      </c>
      <c r="AP465">
        <f t="shared" si="220"/>
        <v>0</v>
      </c>
      <c r="AQ465">
        <f t="shared" si="221"/>
        <v>1</v>
      </c>
      <c r="AR465">
        <f t="shared" si="222"/>
        <v>0</v>
      </c>
      <c r="AS465">
        <f t="shared" si="223"/>
        <v>0</v>
      </c>
    </row>
    <row r="466" spans="2:45" x14ac:dyDescent="0.3">
      <c r="B466">
        <v>465</v>
      </c>
      <c r="C466" s="1">
        <v>41008</v>
      </c>
      <c r="D466">
        <v>2</v>
      </c>
      <c r="E466">
        <v>1</v>
      </c>
      <c r="F466">
        <v>4</v>
      </c>
      <c r="G466">
        <v>1</v>
      </c>
      <c r="H466">
        <v>1</v>
      </c>
      <c r="I466">
        <v>905</v>
      </c>
      <c r="J466">
        <v>4680</v>
      </c>
      <c r="K466" s="8">
        <v>5585</v>
      </c>
      <c r="L466">
        <v>20.055847</v>
      </c>
      <c r="M466">
        <v>23.831900000000001</v>
      </c>
      <c r="N466">
        <v>31.75</v>
      </c>
      <c r="O466">
        <v>23.999131999999999</v>
      </c>
      <c r="P466">
        <v>0</v>
      </c>
      <c r="Q466">
        <v>1</v>
      </c>
      <c r="R466">
        <f t="shared" si="196"/>
        <v>0</v>
      </c>
      <c r="S466">
        <f t="shared" si="197"/>
        <v>0</v>
      </c>
      <c r="T466">
        <f t="shared" si="198"/>
        <v>0</v>
      </c>
      <c r="U466">
        <f t="shared" si="199"/>
        <v>1</v>
      </c>
      <c r="V466">
        <f t="shared" si="200"/>
        <v>0</v>
      </c>
      <c r="W466">
        <f t="shared" si="201"/>
        <v>0</v>
      </c>
      <c r="X466">
        <f t="shared" si="202"/>
        <v>0</v>
      </c>
      <c r="Y466">
        <f t="shared" si="203"/>
        <v>0</v>
      </c>
      <c r="Z466">
        <f t="shared" si="204"/>
        <v>0</v>
      </c>
      <c r="AA466">
        <f t="shared" si="205"/>
        <v>0</v>
      </c>
      <c r="AB466">
        <f t="shared" si="206"/>
        <v>0</v>
      </c>
      <c r="AC466">
        <f t="shared" si="207"/>
        <v>0</v>
      </c>
      <c r="AD466">
        <f t="shared" si="208"/>
        <v>0</v>
      </c>
      <c r="AE466">
        <f t="shared" si="209"/>
        <v>1</v>
      </c>
      <c r="AF466">
        <f t="shared" si="210"/>
        <v>0</v>
      </c>
      <c r="AG466">
        <f t="shared" si="211"/>
        <v>0</v>
      </c>
      <c r="AH466">
        <f t="shared" si="212"/>
        <v>0</v>
      </c>
      <c r="AI466">
        <f t="shared" si="213"/>
        <v>0</v>
      </c>
      <c r="AJ466">
        <f t="shared" si="214"/>
        <v>0</v>
      </c>
      <c r="AK466">
        <f t="shared" si="215"/>
        <v>1</v>
      </c>
      <c r="AL466">
        <f t="shared" si="216"/>
        <v>0</v>
      </c>
      <c r="AM466">
        <f t="shared" si="217"/>
        <v>0</v>
      </c>
      <c r="AN466">
        <f t="shared" si="218"/>
        <v>0</v>
      </c>
      <c r="AO466">
        <f t="shared" si="219"/>
        <v>1</v>
      </c>
      <c r="AP466">
        <f t="shared" si="220"/>
        <v>0</v>
      </c>
      <c r="AQ466">
        <f t="shared" si="221"/>
        <v>1</v>
      </c>
      <c r="AR466">
        <f t="shared" si="222"/>
        <v>0</v>
      </c>
      <c r="AS466">
        <f t="shared" si="223"/>
        <v>0</v>
      </c>
    </row>
    <row r="467" spans="2:45" x14ac:dyDescent="0.3">
      <c r="B467">
        <v>466</v>
      </c>
      <c r="C467" s="1">
        <v>41009</v>
      </c>
      <c r="D467">
        <v>2</v>
      </c>
      <c r="E467">
        <v>1</v>
      </c>
      <c r="F467">
        <v>4</v>
      </c>
      <c r="G467">
        <v>2</v>
      </c>
      <c r="H467">
        <v>1</v>
      </c>
      <c r="I467">
        <v>819</v>
      </c>
      <c r="J467">
        <v>5099</v>
      </c>
      <c r="K467" s="8">
        <v>5918</v>
      </c>
      <c r="L467">
        <v>18.313347</v>
      </c>
      <c r="M467">
        <v>21.81165</v>
      </c>
      <c r="N467">
        <v>43.5</v>
      </c>
      <c r="O467">
        <v>16.708124999999999</v>
      </c>
      <c r="P467">
        <v>0</v>
      </c>
      <c r="Q467">
        <v>1</v>
      </c>
      <c r="R467">
        <f t="shared" si="196"/>
        <v>0</v>
      </c>
      <c r="S467">
        <f t="shared" si="197"/>
        <v>0</v>
      </c>
      <c r="T467">
        <f t="shared" si="198"/>
        <v>0</v>
      </c>
      <c r="U467">
        <f t="shared" si="199"/>
        <v>1</v>
      </c>
      <c r="V467">
        <f t="shared" si="200"/>
        <v>0</v>
      </c>
      <c r="W467">
        <f t="shared" si="201"/>
        <v>0</v>
      </c>
      <c r="X467">
        <f t="shared" si="202"/>
        <v>0</v>
      </c>
      <c r="Y467">
        <f t="shared" si="203"/>
        <v>0</v>
      </c>
      <c r="Z467">
        <f t="shared" si="204"/>
        <v>0</v>
      </c>
      <c r="AA467">
        <f t="shared" si="205"/>
        <v>0</v>
      </c>
      <c r="AB467">
        <f t="shared" si="206"/>
        <v>0</v>
      </c>
      <c r="AC467">
        <f t="shared" si="207"/>
        <v>0</v>
      </c>
      <c r="AD467">
        <f t="shared" si="208"/>
        <v>0</v>
      </c>
      <c r="AE467">
        <f t="shared" si="209"/>
        <v>0</v>
      </c>
      <c r="AF467">
        <f t="shared" si="210"/>
        <v>1</v>
      </c>
      <c r="AG467">
        <f t="shared" si="211"/>
        <v>0</v>
      </c>
      <c r="AH467">
        <f t="shared" si="212"/>
        <v>0</v>
      </c>
      <c r="AI467">
        <f t="shared" si="213"/>
        <v>0</v>
      </c>
      <c r="AJ467">
        <f t="shared" si="214"/>
        <v>0</v>
      </c>
      <c r="AK467">
        <f t="shared" si="215"/>
        <v>1</v>
      </c>
      <c r="AL467">
        <f t="shared" si="216"/>
        <v>0</v>
      </c>
      <c r="AM467">
        <f t="shared" si="217"/>
        <v>0</v>
      </c>
      <c r="AN467">
        <f t="shared" si="218"/>
        <v>0</v>
      </c>
      <c r="AO467">
        <f t="shared" si="219"/>
        <v>1</v>
      </c>
      <c r="AP467">
        <f t="shared" si="220"/>
        <v>0</v>
      </c>
      <c r="AQ467">
        <f t="shared" si="221"/>
        <v>1</v>
      </c>
      <c r="AR467">
        <f t="shared" si="222"/>
        <v>0</v>
      </c>
      <c r="AS467">
        <f t="shared" si="223"/>
        <v>0</v>
      </c>
    </row>
    <row r="468" spans="2:45" x14ac:dyDescent="0.3">
      <c r="B468">
        <v>467</v>
      </c>
      <c r="C468" s="1">
        <v>41010</v>
      </c>
      <c r="D468">
        <v>2</v>
      </c>
      <c r="E468">
        <v>1</v>
      </c>
      <c r="F468">
        <v>4</v>
      </c>
      <c r="G468">
        <v>3</v>
      </c>
      <c r="H468">
        <v>1</v>
      </c>
      <c r="I468">
        <v>482</v>
      </c>
      <c r="J468">
        <v>4380</v>
      </c>
      <c r="K468" s="8">
        <v>4862</v>
      </c>
      <c r="L468">
        <v>14.296536</v>
      </c>
      <c r="M468">
        <v>16.863700000000001</v>
      </c>
      <c r="N468">
        <v>46.956499999999998</v>
      </c>
      <c r="O468">
        <v>19.783358</v>
      </c>
      <c r="P468">
        <v>0</v>
      </c>
      <c r="Q468">
        <v>1</v>
      </c>
      <c r="R468">
        <f t="shared" si="196"/>
        <v>0</v>
      </c>
      <c r="S468">
        <f t="shared" si="197"/>
        <v>0</v>
      </c>
      <c r="T468">
        <f t="shared" si="198"/>
        <v>0</v>
      </c>
      <c r="U468">
        <f t="shared" si="199"/>
        <v>1</v>
      </c>
      <c r="V468">
        <f t="shared" si="200"/>
        <v>0</v>
      </c>
      <c r="W468">
        <f t="shared" si="201"/>
        <v>0</v>
      </c>
      <c r="X468">
        <f t="shared" si="202"/>
        <v>0</v>
      </c>
      <c r="Y468">
        <f t="shared" si="203"/>
        <v>0</v>
      </c>
      <c r="Z468">
        <f t="shared" si="204"/>
        <v>0</v>
      </c>
      <c r="AA468">
        <f t="shared" si="205"/>
        <v>0</v>
      </c>
      <c r="AB468">
        <f t="shared" si="206"/>
        <v>0</v>
      </c>
      <c r="AC468">
        <f t="shared" si="207"/>
        <v>0</v>
      </c>
      <c r="AD468">
        <f t="shared" si="208"/>
        <v>0</v>
      </c>
      <c r="AE468">
        <f t="shared" si="209"/>
        <v>0</v>
      </c>
      <c r="AF468">
        <f t="shared" si="210"/>
        <v>0</v>
      </c>
      <c r="AG468">
        <f t="shared" si="211"/>
        <v>1</v>
      </c>
      <c r="AH468">
        <f t="shared" si="212"/>
        <v>0</v>
      </c>
      <c r="AI468">
        <f t="shared" si="213"/>
        <v>0</v>
      </c>
      <c r="AJ468">
        <f t="shared" si="214"/>
        <v>0</v>
      </c>
      <c r="AK468">
        <f t="shared" si="215"/>
        <v>1</v>
      </c>
      <c r="AL468">
        <f t="shared" si="216"/>
        <v>0</v>
      </c>
      <c r="AM468">
        <f t="shared" si="217"/>
        <v>0</v>
      </c>
      <c r="AN468">
        <f t="shared" si="218"/>
        <v>0</v>
      </c>
      <c r="AO468">
        <f t="shared" si="219"/>
        <v>1</v>
      </c>
      <c r="AP468">
        <f t="shared" si="220"/>
        <v>0</v>
      </c>
      <c r="AQ468">
        <f t="shared" si="221"/>
        <v>1</v>
      </c>
      <c r="AR468">
        <f t="shared" si="222"/>
        <v>0</v>
      </c>
      <c r="AS468">
        <f t="shared" si="223"/>
        <v>0</v>
      </c>
    </row>
    <row r="469" spans="2:45" x14ac:dyDescent="0.3">
      <c r="B469">
        <v>468</v>
      </c>
      <c r="C469" s="1">
        <v>41011</v>
      </c>
      <c r="D469">
        <v>2</v>
      </c>
      <c r="E469">
        <v>1</v>
      </c>
      <c r="F469">
        <v>4</v>
      </c>
      <c r="G469">
        <v>4</v>
      </c>
      <c r="H469">
        <v>1</v>
      </c>
      <c r="I469">
        <v>663</v>
      </c>
      <c r="J469">
        <v>4746</v>
      </c>
      <c r="K469" s="8">
        <v>5409</v>
      </c>
      <c r="L469">
        <v>16.297499999999999</v>
      </c>
      <c r="M469">
        <v>19.380199999999999</v>
      </c>
      <c r="N469">
        <v>46.625</v>
      </c>
      <c r="O469">
        <v>19.458742999999998</v>
      </c>
      <c r="P469">
        <v>0</v>
      </c>
      <c r="Q469">
        <v>1</v>
      </c>
      <c r="R469">
        <f t="shared" si="196"/>
        <v>0</v>
      </c>
      <c r="S469">
        <f t="shared" si="197"/>
        <v>0</v>
      </c>
      <c r="T469">
        <f t="shared" si="198"/>
        <v>0</v>
      </c>
      <c r="U469">
        <f t="shared" si="199"/>
        <v>1</v>
      </c>
      <c r="V469">
        <f t="shared" si="200"/>
        <v>0</v>
      </c>
      <c r="W469">
        <f t="shared" si="201"/>
        <v>0</v>
      </c>
      <c r="X469">
        <f t="shared" si="202"/>
        <v>0</v>
      </c>
      <c r="Y469">
        <f t="shared" si="203"/>
        <v>0</v>
      </c>
      <c r="Z469">
        <f t="shared" si="204"/>
        <v>0</v>
      </c>
      <c r="AA469">
        <f t="shared" si="205"/>
        <v>0</v>
      </c>
      <c r="AB469">
        <f t="shared" si="206"/>
        <v>0</v>
      </c>
      <c r="AC469">
        <f t="shared" si="207"/>
        <v>0</v>
      </c>
      <c r="AD469">
        <f t="shared" si="208"/>
        <v>0</v>
      </c>
      <c r="AE469">
        <f t="shared" si="209"/>
        <v>0</v>
      </c>
      <c r="AF469">
        <f t="shared" si="210"/>
        <v>0</v>
      </c>
      <c r="AG469">
        <f t="shared" si="211"/>
        <v>0</v>
      </c>
      <c r="AH469">
        <f t="shared" si="212"/>
        <v>1</v>
      </c>
      <c r="AI469">
        <f t="shared" si="213"/>
        <v>0</v>
      </c>
      <c r="AJ469">
        <f t="shared" si="214"/>
        <v>0</v>
      </c>
      <c r="AK469">
        <f t="shared" si="215"/>
        <v>1</v>
      </c>
      <c r="AL469">
        <f t="shared" si="216"/>
        <v>0</v>
      </c>
      <c r="AM469">
        <f t="shared" si="217"/>
        <v>0</v>
      </c>
      <c r="AN469">
        <f t="shared" si="218"/>
        <v>0</v>
      </c>
      <c r="AO469">
        <f t="shared" si="219"/>
        <v>1</v>
      </c>
      <c r="AP469">
        <f t="shared" si="220"/>
        <v>0</v>
      </c>
      <c r="AQ469">
        <f t="shared" si="221"/>
        <v>1</v>
      </c>
      <c r="AR469">
        <f t="shared" si="222"/>
        <v>0</v>
      </c>
      <c r="AS469">
        <f t="shared" si="223"/>
        <v>0</v>
      </c>
    </row>
    <row r="470" spans="2:45" x14ac:dyDescent="0.3">
      <c r="B470">
        <v>469</v>
      </c>
      <c r="C470" s="1">
        <v>41012</v>
      </c>
      <c r="D470">
        <v>2</v>
      </c>
      <c r="E470">
        <v>1</v>
      </c>
      <c r="F470">
        <v>4</v>
      </c>
      <c r="G470">
        <v>5</v>
      </c>
      <c r="H470">
        <v>1</v>
      </c>
      <c r="I470">
        <v>1252</v>
      </c>
      <c r="J470">
        <v>5146</v>
      </c>
      <c r="K470" s="8">
        <v>6398</v>
      </c>
      <c r="L470">
        <v>18.142499999999998</v>
      </c>
      <c r="M470">
        <v>21.590399999999999</v>
      </c>
      <c r="N470">
        <v>40.833300000000001</v>
      </c>
      <c r="O470">
        <v>10.416556999999999</v>
      </c>
      <c r="P470">
        <v>0</v>
      </c>
      <c r="Q470">
        <v>1</v>
      </c>
      <c r="R470">
        <f t="shared" si="196"/>
        <v>0</v>
      </c>
      <c r="S470">
        <f t="shared" si="197"/>
        <v>0</v>
      </c>
      <c r="T470">
        <f t="shared" si="198"/>
        <v>0</v>
      </c>
      <c r="U470">
        <f t="shared" si="199"/>
        <v>1</v>
      </c>
      <c r="V470">
        <f t="shared" si="200"/>
        <v>0</v>
      </c>
      <c r="W470">
        <f t="shared" si="201"/>
        <v>0</v>
      </c>
      <c r="X470">
        <f t="shared" si="202"/>
        <v>0</v>
      </c>
      <c r="Y470">
        <f t="shared" si="203"/>
        <v>0</v>
      </c>
      <c r="Z470">
        <f t="shared" si="204"/>
        <v>0</v>
      </c>
      <c r="AA470">
        <f t="shared" si="205"/>
        <v>0</v>
      </c>
      <c r="AB470">
        <f t="shared" si="206"/>
        <v>0</v>
      </c>
      <c r="AC470">
        <f t="shared" si="207"/>
        <v>0</v>
      </c>
      <c r="AD470">
        <f t="shared" si="208"/>
        <v>0</v>
      </c>
      <c r="AE470">
        <f t="shared" si="209"/>
        <v>0</v>
      </c>
      <c r="AF470">
        <f t="shared" si="210"/>
        <v>0</v>
      </c>
      <c r="AG470">
        <f t="shared" si="211"/>
        <v>0</v>
      </c>
      <c r="AH470">
        <f t="shared" si="212"/>
        <v>0</v>
      </c>
      <c r="AI470">
        <f t="shared" si="213"/>
        <v>1</v>
      </c>
      <c r="AJ470">
        <f t="shared" si="214"/>
        <v>0</v>
      </c>
      <c r="AK470">
        <f t="shared" si="215"/>
        <v>1</v>
      </c>
      <c r="AL470">
        <f t="shared" si="216"/>
        <v>0</v>
      </c>
      <c r="AM470">
        <f t="shared" si="217"/>
        <v>0</v>
      </c>
      <c r="AN470">
        <f t="shared" si="218"/>
        <v>0</v>
      </c>
      <c r="AO470">
        <f t="shared" si="219"/>
        <v>1</v>
      </c>
      <c r="AP470">
        <f t="shared" si="220"/>
        <v>0</v>
      </c>
      <c r="AQ470">
        <f t="shared" si="221"/>
        <v>1</v>
      </c>
      <c r="AR470">
        <f t="shared" si="222"/>
        <v>0</v>
      </c>
      <c r="AS470">
        <f t="shared" si="223"/>
        <v>0</v>
      </c>
    </row>
    <row r="471" spans="2:45" x14ac:dyDescent="0.3">
      <c r="B471">
        <v>470</v>
      </c>
      <c r="C471" s="1">
        <v>41013</v>
      </c>
      <c r="D471">
        <v>2</v>
      </c>
      <c r="E471">
        <v>1</v>
      </c>
      <c r="F471">
        <v>4</v>
      </c>
      <c r="G471">
        <v>6</v>
      </c>
      <c r="H471">
        <v>1</v>
      </c>
      <c r="I471">
        <v>2795</v>
      </c>
      <c r="J471">
        <v>4665</v>
      </c>
      <c r="K471" s="8">
        <v>7460</v>
      </c>
      <c r="L471">
        <v>20.295000000000002</v>
      </c>
      <c r="M471">
        <v>24.399799999999999</v>
      </c>
      <c r="N471">
        <v>50.291699999999999</v>
      </c>
      <c r="O471">
        <v>12.791439</v>
      </c>
      <c r="P471">
        <v>0</v>
      </c>
      <c r="Q471">
        <v>0</v>
      </c>
      <c r="R471">
        <f t="shared" si="196"/>
        <v>0</v>
      </c>
      <c r="S471">
        <f t="shared" si="197"/>
        <v>0</v>
      </c>
      <c r="T471">
        <f t="shared" si="198"/>
        <v>0</v>
      </c>
      <c r="U471">
        <f t="shared" si="199"/>
        <v>1</v>
      </c>
      <c r="V471">
        <f t="shared" si="200"/>
        <v>0</v>
      </c>
      <c r="W471">
        <f t="shared" si="201"/>
        <v>0</v>
      </c>
      <c r="X471">
        <f t="shared" si="202"/>
        <v>0</v>
      </c>
      <c r="Y471">
        <f t="shared" si="203"/>
        <v>0</v>
      </c>
      <c r="Z471">
        <f t="shared" si="204"/>
        <v>0</v>
      </c>
      <c r="AA471">
        <f t="shared" si="205"/>
        <v>0</v>
      </c>
      <c r="AB471">
        <f t="shared" si="206"/>
        <v>0</v>
      </c>
      <c r="AC471">
        <f t="shared" si="207"/>
        <v>0</v>
      </c>
      <c r="AD471">
        <f t="shared" si="208"/>
        <v>0</v>
      </c>
      <c r="AE471">
        <f t="shared" si="209"/>
        <v>0</v>
      </c>
      <c r="AF471">
        <f t="shared" si="210"/>
        <v>0</v>
      </c>
      <c r="AG471">
        <f t="shared" si="211"/>
        <v>0</v>
      </c>
      <c r="AH471">
        <f t="shared" si="212"/>
        <v>0</v>
      </c>
      <c r="AI471">
        <f t="shared" si="213"/>
        <v>0</v>
      </c>
      <c r="AJ471">
        <f t="shared" si="214"/>
        <v>1</v>
      </c>
      <c r="AK471">
        <f t="shared" si="215"/>
        <v>1</v>
      </c>
      <c r="AL471">
        <f t="shared" si="216"/>
        <v>0</v>
      </c>
      <c r="AM471">
        <f t="shared" si="217"/>
        <v>0</v>
      </c>
      <c r="AN471">
        <f t="shared" si="218"/>
        <v>0</v>
      </c>
      <c r="AO471">
        <f t="shared" si="219"/>
        <v>1</v>
      </c>
      <c r="AP471">
        <f t="shared" si="220"/>
        <v>0</v>
      </c>
      <c r="AQ471">
        <f t="shared" si="221"/>
        <v>1</v>
      </c>
      <c r="AR471">
        <f t="shared" si="222"/>
        <v>0</v>
      </c>
      <c r="AS471">
        <f t="shared" si="223"/>
        <v>0</v>
      </c>
    </row>
    <row r="472" spans="2:45" x14ac:dyDescent="0.3">
      <c r="B472">
        <v>471</v>
      </c>
      <c r="C472" s="1">
        <v>41014</v>
      </c>
      <c r="D472">
        <v>2</v>
      </c>
      <c r="E472">
        <v>1</v>
      </c>
      <c r="F472">
        <v>4</v>
      </c>
      <c r="G472">
        <v>0</v>
      </c>
      <c r="H472">
        <v>1</v>
      </c>
      <c r="I472">
        <v>2846</v>
      </c>
      <c r="J472">
        <v>4286</v>
      </c>
      <c r="K472" s="8">
        <v>7132</v>
      </c>
      <c r="L472">
        <v>24.873346999999999</v>
      </c>
      <c r="M472">
        <v>28.693750000000001</v>
      </c>
      <c r="N472">
        <v>50.791699999999999</v>
      </c>
      <c r="O472">
        <v>15.083643</v>
      </c>
      <c r="P472">
        <v>0</v>
      </c>
      <c r="Q472">
        <v>0</v>
      </c>
      <c r="R472">
        <f t="shared" si="196"/>
        <v>0</v>
      </c>
      <c r="S472">
        <f t="shared" si="197"/>
        <v>0</v>
      </c>
      <c r="T472">
        <f t="shared" si="198"/>
        <v>0</v>
      </c>
      <c r="U472">
        <f t="shared" si="199"/>
        <v>1</v>
      </c>
      <c r="V472">
        <f t="shared" si="200"/>
        <v>0</v>
      </c>
      <c r="W472">
        <f t="shared" si="201"/>
        <v>0</v>
      </c>
      <c r="X472">
        <f t="shared" si="202"/>
        <v>0</v>
      </c>
      <c r="Y472">
        <f t="shared" si="203"/>
        <v>0</v>
      </c>
      <c r="Z472">
        <f t="shared" si="204"/>
        <v>0</v>
      </c>
      <c r="AA472">
        <f t="shared" si="205"/>
        <v>0</v>
      </c>
      <c r="AB472">
        <f t="shared" si="206"/>
        <v>0</v>
      </c>
      <c r="AC472">
        <f t="shared" si="207"/>
        <v>0</v>
      </c>
      <c r="AD472">
        <f t="shared" si="208"/>
        <v>1</v>
      </c>
      <c r="AE472">
        <f t="shared" si="209"/>
        <v>0</v>
      </c>
      <c r="AF472">
        <f t="shared" si="210"/>
        <v>0</v>
      </c>
      <c r="AG472">
        <f t="shared" si="211"/>
        <v>0</v>
      </c>
      <c r="AH472">
        <f t="shared" si="212"/>
        <v>0</v>
      </c>
      <c r="AI472">
        <f t="shared" si="213"/>
        <v>0</v>
      </c>
      <c r="AJ472">
        <f t="shared" si="214"/>
        <v>0</v>
      </c>
      <c r="AK472">
        <f t="shared" si="215"/>
        <v>1</v>
      </c>
      <c r="AL472">
        <f t="shared" si="216"/>
        <v>0</v>
      </c>
      <c r="AM472">
        <f t="shared" si="217"/>
        <v>0</v>
      </c>
      <c r="AN472">
        <f t="shared" si="218"/>
        <v>0</v>
      </c>
      <c r="AO472">
        <f t="shared" si="219"/>
        <v>1</v>
      </c>
      <c r="AP472">
        <f t="shared" si="220"/>
        <v>0</v>
      </c>
      <c r="AQ472">
        <f t="shared" si="221"/>
        <v>1</v>
      </c>
      <c r="AR472">
        <f t="shared" si="222"/>
        <v>0</v>
      </c>
      <c r="AS472">
        <f t="shared" si="223"/>
        <v>0</v>
      </c>
    </row>
    <row r="473" spans="2:45" x14ac:dyDescent="0.3">
      <c r="B473">
        <v>472</v>
      </c>
      <c r="C473" s="1">
        <v>41015</v>
      </c>
      <c r="D473">
        <v>2</v>
      </c>
      <c r="E473">
        <v>1</v>
      </c>
      <c r="F473">
        <v>4</v>
      </c>
      <c r="G473">
        <v>1</v>
      </c>
      <c r="H473">
        <v>1</v>
      </c>
      <c r="I473">
        <v>1198</v>
      </c>
      <c r="J473">
        <v>5172</v>
      </c>
      <c r="K473" s="8">
        <v>6370</v>
      </c>
      <c r="L473">
        <v>27.230847000000001</v>
      </c>
      <c r="M473">
        <v>30.74625</v>
      </c>
      <c r="N473">
        <v>56.166699999999999</v>
      </c>
      <c r="O473">
        <v>19.083542999999999</v>
      </c>
      <c r="P473">
        <v>1</v>
      </c>
      <c r="Q473">
        <v>0</v>
      </c>
      <c r="R473">
        <f t="shared" si="196"/>
        <v>0</v>
      </c>
      <c r="S473">
        <f t="shared" si="197"/>
        <v>0</v>
      </c>
      <c r="T473">
        <f t="shared" si="198"/>
        <v>0</v>
      </c>
      <c r="U473">
        <f t="shared" si="199"/>
        <v>1</v>
      </c>
      <c r="V473">
        <f t="shared" si="200"/>
        <v>0</v>
      </c>
      <c r="W473">
        <f t="shared" si="201"/>
        <v>0</v>
      </c>
      <c r="X473">
        <f t="shared" si="202"/>
        <v>0</v>
      </c>
      <c r="Y473">
        <f t="shared" si="203"/>
        <v>0</v>
      </c>
      <c r="Z473">
        <f t="shared" si="204"/>
        <v>0</v>
      </c>
      <c r="AA473">
        <f t="shared" si="205"/>
        <v>0</v>
      </c>
      <c r="AB473">
        <f t="shared" si="206"/>
        <v>0</v>
      </c>
      <c r="AC473">
        <f t="shared" si="207"/>
        <v>0</v>
      </c>
      <c r="AD473">
        <f t="shared" si="208"/>
        <v>0</v>
      </c>
      <c r="AE473">
        <f t="shared" si="209"/>
        <v>1</v>
      </c>
      <c r="AF473">
        <f t="shared" si="210"/>
        <v>0</v>
      </c>
      <c r="AG473">
        <f t="shared" si="211"/>
        <v>0</v>
      </c>
      <c r="AH473">
        <f t="shared" si="212"/>
        <v>0</v>
      </c>
      <c r="AI473">
        <f t="shared" si="213"/>
        <v>0</v>
      </c>
      <c r="AJ473">
        <f t="shared" si="214"/>
        <v>0</v>
      </c>
      <c r="AK473">
        <f t="shared" si="215"/>
        <v>1</v>
      </c>
      <c r="AL473">
        <f t="shared" si="216"/>
        <v>0</v>
      </c>
      <c r="AM473">
        <f t="shared" si="217"/>
        <v>0</v>
      </c>
      <c r="AN473">
        <f t="shared" si="218"/>
        <v>0</v>
      </c>
      <c r="AO473">
        <f t="shared" si="219"/>
        <v>1</v>
      </c>
      <c r="AP473">
        <f t="shared" si="220"/>
        <v>0</v>
      </c>
      <c r="AQ473">
        <f t="shared" si="221"/>
        <v>1</v>
      </c>
      <c r="AR473">
        <f t="shared" si="222"/>
        <v>0</v>
      </c>
      <c r="AS473">
        <f t="shared" si="223"/>
        <v>0</v>
      </c>
    </row>
    <row r="474" spans="2:45" x14ac:dyDescent="0.3">
      <c r="B474">
        <v>473</v>
      </c>
      <c r="C474" s="1">
        <v>41016</v>
      </c>
      <c r="D474">
        <v>2</v>
      </c>
      <c r="E474">
        <v>1</v>
      </c>
      <c r="F474">
        <v>4</v>
      </c>
      <c r="G474">
        <v>2</v>
      </c>
      <c r="H474">
        <v>1</v>
      </c>
      <c r="I474">
        <v>989</v>
      </c>
      <c r="J474">
        <v>5702</v>
      </c>
      <c r="K474" s="8">
        <v>6691</v>
      </c>
      <c r="L474">
        <v>24.941652999999999</v>
      </c>
      <c r="M474">
        <v>29.92435</v>
      </c>
      <c r="N474">
        <v>39.041699999999999</v>
      </c>
      <c r="O474">
        <v>18.333143</v>
      </c>
      <c r="P474">
        <v>0</v>
      </c>
      <c r="Q474">
        <v>1</v>
      </c>
      <c r="R474">
        <f t="shared" si="196"/>
        <v>0</v>
      </c>
      <c r="S474">
        <f t="shared" si="197"/>
        <v>0</v>
      </c>
      <c r="T474">
        <f t="shared" si="198"/>
        <v>0</v>
      </c>
      <c r="U474">
        <f t="shared" si="199"/>
        <v>1</v>
      </c>
      <c r="V474">
        <f t="shared" si="200"/>
        <v>0</v>
      </c>
      <c r="W474">
        <f t="shared" si="201"/>
        <v>0</v>
      </c>
      <c r="X474">
        <f t="shared" si="202"/>
        <v>0</v>
      </c>
      <c r="Y474">
        <f t="shared" si="203"/>
        <v>0</v>
      </c>
      <c r="Z474">
        <f t="shared" si="204"/>
        <v>0</v>
      </c>
      <c r="AA474">
        <f t="shared" si="205"/>
        <v>0</v>
      </c>
      <c r="AB474">
        <f t="shared" si="206"/>
        <v>0</v>
      </c>
      <c r="AC474">
        <f t="shared" si="207"/>
        <v>0</v>
      </c>
      <c r="AD474">
        <f t="shared" si="208"/>
        <v>0</v>
      </c>
      <c r="AE474">
        <f t="shared" si="209"/>
        <v>0</v>
      </c>
      <c r="AF474">
        <f t="shared" si="210"/>
        <v>1</v>
      </c>
      <c r="AG474">
        <f t="shared" si="211"/>
        <v>0</v>
      </c>
      <c r="AH474">
        <f t="shared" si="212"/>
        <v>0</v>
      </c>
      <c r="AI474">
        <f t="shared" si="213"/>
        <v>0</v>
      </c>
      <c r="AJ474">
        <f t="shared" si="214"/>
        <v>0</v>
      </c>
      <c r="AK474">
        <f t="shared" si="215"/>
        <v>1</v>
      </c>
      <c r="AL474">
        <f t="shared" si="216"/>
        <v>0</v>
      </c>
      <c r="AM474">
        <f t="shared" si="217"/>
        <v>0</v>
      </c>
      <c r="AN474">
        <f t="shared" si="218"/>
        <v>0</v>
      </c>
      <c r="AO474">
        <f t="shared" si="219"/>
        <v>1</v>
      </c>
      <c r="AP474">
        <f t="shared" si="220"/>
        <v>0</v>
      </c>
      <c r="AQ474">
        <f t="shared" si="221"/>
        <v>1</v>
      </c>
      <c r="AR474">
        <f t="shared" si="222"/>
        <v>0</v>
      </c>
      <c r="AS474">
        <f t="shared" si="223"/>
        <v>0</v>
      </c>
    </row>
    <row r="475" spans="2:45" x14ac:dyDescent="0.3">
      <c r="B475">
        <v>474</v>
      </c>
      <c r="C475" s="1">
        <v>41017</v>
      </c>
      <c r="D475">
        <v>2</v>
      </c>
      <c r="E475">
        <v>1</v>
      </c>
      <c r="F475">
        <v>4</v>
      </c>
      <c r="G475">
        <v>3</v>
      </c>
      <c r="H475">
        <v>2</v>
      </c>
      <c r="I475">
        <v>347</v>
      </c>
      <c r="J475">
        <v>4020</v>
      </c>
      <c r="K475" s="8">
        <v>4367</v>
      </c>
      <c r="L475">
        <v>18.996652999999998</v>
      </c>
      <c r="M475">
        <v>22.851900000000001</v>
      </c>
      <c r="N475">
        <v>56.916699999999999</v>
      </c>
      <c r="O475">
        <v>11.250104</v>
      </c>
      <c r="P475">
        <v>0</v>
      </c>
      <c r="Q475">
        <v>1</v>
      </c>
      <c r="R475">
        <f t="shared" si="196"/>
        <v>0</v>
      </c>
      <c r="S475">
        <f t="shared" si="197"/>
        <v>0</v>
      </c>
      <c r="T475">
        <f t="shared" si="198"/>
        <v>0</v>
      </c>
      <c r="U475">
        <f t="shared" si="199"/>
        <v>1</v>
      </c>
      <c r="V475">
        <f t="shared" si="200"/>
        <v>0</v>
      </c>
      <c r="W475">
        <f t="shared" si="201"/>
        <v>0</v>
      </c>
      <c r="X475">
        <f t="shared" si="202"/>
        <v>0</v>
      </c>
      <c r="Y475">
        <f t="shared" si="203"/>
        <v>0</v>
      </c>
      <c r="Z475">
        <f t="shared" si="204"/>
        <v>0</v>
      </c>
      <c r="AA475">
        <f t="shared" si="205"/>
        <v>0</v>
      </c>
      <c r="AB475">
        <f t="shared" si="206"/>
        <v>0</v>
      </c>
      <c r="AC475">
        <f t="shared" si="207"/>
        <v>0</v>
      </c>
      <c r="AD475">
        <f t="shared" si="208"/>
        <v>0</v>
      </c>
      <c r="AE475">
        <f t="shared" si="209"/>
        <v>0</v>
      </c>
      <c r="AF475">
        <f t="shared" si="210"/>
        <v>0</v>
      </c>
      <c r="AG475">
        <f t="shared" si="211"/>
        <v>1</v>
      </c>
      <c r="AH475">
        <f t="shared" si="212"/>
        <v>0</v>
      </c>
      <c r="AI475">
        <f t="shared" si="213"/>
        <v>0</v>
      </c>
      <c r="AJ475">
        <f t="shared" si="214"/>
        <v>0</v>
      </c>
      <c r="AK475">
        <f t="shared" si="215"/>
        <v>0</v>
      </c>
      <c r="AL475">
        <f t="shared" si="216"/>
        <v>1</v>
      </c>
      <c r="AM475">
        <f t="shared" si="217"/>
        <v>0</v>
      </c>
      <c r="AN475">
        <f t="shared" si="218"/>
        <v>0</v>
      </c>
      <c r="AO475">
        <f t="shared" si="219"/>
        <v>1</v>
      </c>
      <c r="AP475">
        <f t="shared" si="220"/>
        <v>0</v>
      </c>
      <c r="AQ475">
        <f t="shared" si="221"/>
        <v>1</v>
      </c>
      <c r="AR475">
        <f t="shared" si="222"/>
        <v>0</v>
      </c>
      <c r="AS475">
        <f t="shared" si="223"/>
        <v>0</v>
      </c>
    </row>
    <row r="476" spans="2:45" x14ac:dyDescent="0.3">
      <c r="B476">
        <v>475</v>
      </c>
      <c r="C476" s="1">
        <v>41018</v>
      </c>
      <c r="D476">
        <v>2</v>
      </c>
      <c r="E476">
        <v>1</v>
      </c>
      <c r="F476">
        <v>4</v>
      </c>
      <c r="G476">
        <v>4</v>
      </c>
      <c r="H476">
        <v>1</v>
      </c>
      <c r="I476">
        <v>846</v>
      </c>
      <c r="J476">
        <v>5719</v>
      </c>
      <c r="K476" s="8">
        <v>6565</v>
      </c>
      <c r="L476">
        <v>20.431653000000001</v>
      </c>
      <c r="M476">
        <v>24.6523</v>
      </c>
      <c r="N476">
        <v>61.25</v>
      </c>
      <c r="O476">
        <v>4.4172564000000003</v>
      </c>
      <c r="P476">
        <v>0</v>
      </c>
      <c r="Q476">
        <v>1</v>
      </c>
      <c r="R476">
        <f t="shared" si="196"/>
        <v>0</v>
      </c>
      <c r="S476">
        <f t="shared" si="197"/>
        <v>0</v>
      </c>
      <c r="T476">
        <f t="shared" si="198"/>
        <v>0</v>
      </c>
      <c r="U476">
        <f t="shared" si="199"/>
        <v>1</v>
      </c>
      <c r="V476">
        <f t="shared" si="200"/>
        <v>0</v>
      </c>
      <c r="W476">
        <f t="shared" si="201"/>
        <v>0</v>
      </c>
      <c r="X476">
        <f t="shared" si="202"/>
        <v>0</v>
      </c>
      <c r="Y476">
        <f t="shared" si="203"/>
        <v>0</v>
      </c>
      <c r="Z476">
        <f t="shared" si="204"/>
        <v>0</v>
      </c>
      <c r="AA476">
        <f t="shared" si="205"/>
        <v>0</v>
      </c>
      <c r="AB476">
        <f t="shared" si="206"/>
        <v>0</v>
      </c>
      <c r="AC476">
        <f t="shared" si="207"/>
        <v>0</v>
      </c>
      <c r="AD476">
        <f t="shared" si="208"/>
        <v>0</v>
      </c>
      <c r="AE476">
        <f t="shared" si="209"/>
        <v>0</v>
      </c>
      <c r="AF476">
        <f t="shared" si="210"/>
        <v>0</v>
      </c>
      <c r="AG476">
        <f t="shared" si="211"/>
        <v>0</v>
      </c>
      <c r="AH476">
        <f t="shared" si="212"/>
        <v>1</v>
      </c>
      <c r="AI476">
        <f t="shared" si="213"/>
        <v>0</v>
      </c>
      <c r="AJ476">
        <f t="shared" si="214"/>
        <v>0</v>
      </c>
      <c r="AK476">
        <f t="shared" si="215"/>
        <v>1</v>
      </c>
      <c r="AL476">
        <f t="shared" si="216"/>
        <v>0</v>
      </c>
      <c r="AM476">
        <f t="shared" si="217"/>
        <v>0</v>
      </c>
      <c r="AN476">
        <f t="shared" si="218"/>
        <v>0</v>
      </c>
      <c r="AO476">
        <f t="shared" si="219"/>
        <v>1</v>
      </c>
      <c r="AP476">
        <f t="shared" si="220"/>
        <v>0</v>
      </c>
      <c r="AQ476">
        <f t="shared" si="221"/>
        <v>1</v>
      </c>
      <c r="AR476">
        <f t="shared" si="222"/>
        <v>0</v>
      </c>
      <c r="AS476">
        <f t="shared" si="223"/>
        <v>0</v>
      </c>
    </row>
    <row r="477" spans="2:45" x14ac:dyDescent="0.3">
      <c r="B477">
        <v>476</v>
      </c>
      <c r="C477" s="1">
        <v>41019</v>
      </c>
      <c r="D477">
        <v>2</v>
      </c>
      <c r="E477">
        <v>1</v>
      </c>
      <c r="F477">
        <v>4</v>
      </c>
      <c r="G477">
        <v>5</v>
      </c>
      <c r="H477">
        <v>1</v>
      </c>
      <c r="I477">
        <v>1340</v>
      </c>
      <c r="J477">
        <v>5950</v>
      </c>
      <c r="K477" s="8">
        <v>7290</v>
      </c>
      <c r="L477">
        <v>21.593347000000001</v>
      </c>
      <c r="M477">
        <v>25.78875</v>
      </c>
      <c r="N477">
        <v>69.458299999999994</v>
      </c>
      <c r="O477">
        <v>10.041357</v>
      </c>
      <c r="P477">
        <v>0</v>
      </c>
      <c r="Q477">
        <v>1</v>
      </c>
      <c r="R477">
        <f t="shared" si="196"/>
        <v>0</v>
      </c>
      <c r="S477">
        <f t="shared" si="197"/>
        <v>0</v>
      </c>
      <c r="T477">
        <f t="shared" si="198"/>
        <v>0</v>
      </c>
      <c r="U477">
        <f t="shared" si="199"/>
        <v>1</v>
      </c>
      <c r="V477">
        <f t="shared" si="200"/>
        <v>0</v>
      </c>
      <c r="W477">
        <f t="shared" si="201"/>
        <v>0</v>
      </c>
      <c r="X477">
        <f t="shared" si="202"/>
        <v>0</v>
      </c>
      <c r="Y477">
        <f t="shared" si="203"/>
        <v>0</v>
      </c>
      <c r="Z477">
        <f t="shared" si="204"/>
        <v>0</v>
      </c>
      <c r="AA477">
        <f t="shared" si="205"/>
        <v>0</v>
      </c>
      <c r="AB477">
        <f t="shared" si="206"/>
        <v>0</v>
      </c>
      <c r="AC477">
        <f t="shared" si="207"/>
        <v>0</v>
      </c>
      <c r="AD477">
        <f t="shared" si="208"/>
        <v>0</v>
      </c>
      <c r="AE477">
        <f t="shared" si="209"/>
        <v>0</v>
      </c>
      <c r="AF477">
        <f t="shared" si="210"/>
        <v>0</v>
      </c>
      <c r="AG477">
        <f t="shared" si="211"/>
        <v>0</v>
      </c>
      <c r="AH477">
        <f t="shared" si="212"/>
        <v>0</v>
      </c>
      <c r="AI477">
        <f t="shared" si="213"/>
        <v>1</v>
      </c>
      <c r="AJ477">
        <f t="shared" si="214"/>
        <v>0</v>
      </c>
      <c r="AK477">
        <f t="shared" si="215"/>
        <v>1</v>
      </c>
      <c r="AL477">
        <f t="shared" si="216"/>
        <v>0</v>
      </c>
      <c r="AM477">
        <f t="shared" si="217"/>
        <v>0</v>
      </c>
      <c r="AN477">
        <f t="shared" si="218"/>
        <v>0</v>
      </c>
      <c r="AO477">
        <f t="shared" si="219"/>
        <v>1</v>
      </c>
      <c r="AP477">
        <f t="shared" si="220"/>
        <v>0</v>
      </c>
      <c r="AQ477">
        <f t="shared" si="221"/>
        <v>1</v>
      </c>
      <c r="AR477">
        <f t="shared" si="222"/>
        <v>0</v>
      </c>
      <c r="AS477">
        <f t="shared" si="223"/>
        <v>0</v>
      </c>
    </row>
    <row r="478" spans="2:45" x14ac:dyDescent="0.3">
      <c r="B478">
        <v>477</v>
      </c>
      <c r="C478" s="1">
        <v>41020</v>
      </c>
      <c r="D478">
        <v>2</v>
      </c>
      <c r="E478">
        <v>1</v>
      </c>
      <c r="F478">
        <v>4</v>
      </c>
      <c r="G478">
        <v>6</v>
      </c>
      <c r="H478">
        <v>1</v>
      </c>
      <c r="I478">
        <v>2541</v>
      </c>
      <c r="J478">
        <v>4083</v>
      </c>
      <c r="K478" s="8">
        <v>6624</v>
      </c>
      <c r="L478">
        <v>23.37</v>
      </c>
      <c r="M478">
        <v>27.146049999999999</v>
      </c>
      <c r="N478">
        <v>68.291700000000006</v>
      </c>
      <c r="O478">
        <v>19.000329000000001</v>
      </c>
      <c r="P478">
        <v>0</v>
      </c>
      <c r="Q478">
        <v>0</v>
      </c>
      <c r="R478">
        <f t="shared" si="196"/>
        <v>0</v>
      </c>
      <c r="S478">
        <f t="shared" si="197"/>
        <v>0</v>
      </c>
      <c r="T478">
        <f t="shared" si="198"/>
        <v>0</v>
      </c>
      <c r="U478">
        <f t="shared" si="199"/>
        <v>1</v>
      </c>
      <c r="V478">
        <f t="shared" si="200"/>
        <v>0</v>
      </c>
      <c r="W478">
        <f t="shared" si="201"/>
        <v>0</v>
      </c>
      <c r="X478">
        <f t="shared" si="202"/>
        <v>0</v>
      </c>
      <c r="Y478">
        <f t="shared" si="203"/>
        <v>0</v>
      </c>
      <c r="Z478">
        <f t="shared" si="204"/>
        <v>0</v>
      </c>
      <c r="AA478">
        <f t="shared" si="205"/>
        <v>0</v>
      </c>
      <c r="AB478">
        <f t="shared" si="206"/>
        <v>0</v>
      </c>
      <c r="AC478">
        <f t="shared" si="207"/>
        <v>0</v>
      </c>
      <c r="AD478">
        <f t="shared" si="208"/>
        <v>0</v>
      </c>
      <c r="AE478">
        <f t="shared" si="209"/>
        <v>0</v>
      </c>
      <c r="AF478">
        <f t="shared" si="210"/>
        <v>0</v>
      </c>
      <c r="AG478">
        <f t="shared" si="211"/>
        <v>0</v>
      </c>
      <c r="AH478">
        <f t="shared" si="212"/>
        <v>0</v>
      </c>
      <c r="AI478">
        <f t="shared" si="213"/>
        <v>0</v>
      </c>
      <c r="AJ478">
        <f t="shared" si="214"/>
        <v>1</v>
      </c>
      <c r="AK478">
        <f t="shared" si="215"/>
        <v>1</v>
      </c>
      <c r="AL478">
        <f t="shared" si="216"/>
        <v>0</v>
      </c>
      <c r="AM478">
        <f t="shared" si="217"/>
        <v>0</v>
      </c>
      <c r="AN478">
        <f t="shared" si="218"/>
        <v>0</v>
      </c>
      <c r="AO478">
        <f t="shared" si="219"/>
        <v>1</v>
      </c>
      <c r="AP478">
        <f t="shared" si="220"/>
        <v>0</v>
      </c>
      <c r="AQ478">
        <f t="shared" si="221"/>
        <v>1</v>
      </c>
      <c r="AR478">
        <f t="shared" si="222"/>
        <v>0</v>
      </c>
      <c r="AS478">
        <f t="shared" si="223"/>
        <v>0</v>
      </c>
    </row>
    <row r="479" spans="2:45" x14ac:dyDescent="0.3">
      <c r="B479">
        <v>478</v>
      </c>
      <c r="C479" s="1">
        <v>41021</v>
      </c>
      <c r="D479">
        <v>2</v>
      </c>
      <c r="E479">
        <v>1</v>
      </c>
      <c r="F479">
        <v>4</v>
      </c>
      <c r="G479">
        <v>0</v>
      </c>
      <c r="H479">
        <v>3</v>
      </c>
      <c r="I479">
        <v>120</v>
      </c>
      <c r="J479">
        <v>907</v>
      </c>
      <c r="K479" s="8">
        <v>1027</v>
      </c>
      <c r="L479">
        <v>16.263347</v>
      </c>
      <c r="M479">
        <v>19.475200000000001</v>
      </c>
      <c r="N479">
        <v>83.541700000000006</v>
      </c>
      <c r="O479">
        <v>23.084582000000001</v>
      </c>
      <c r="P479">
        <v>0</v>
      </c>
      <c r="Q479">
        <v>0</v>
      </c>
      <c r="R479">
        <f t="shared" si="196"/>
        <v>0</v>
      </c>
      <c r="S479">
        <f t="shared" si="197"/>
        <v>0</v>
      </c>
      <c r="T479">
        <f t="shared" si="198"/>
        <v>0</v>
      </c>
      <c r="U479">
        <f t="shared" si="199"/>
        <v>1</v>
      </c>
      <c r="V479">
        <f t="shared" si="200"/>
        <v>0</v>
      </c>
      <c r="W479">
        <f t="shared" si="201"/>
        <v>0</v>
      </c>
      <c r="X479">
        <f t="shared" si="202"/>
        <v>0</v>
      </c>
      <c r="Y479">
        <f t="shared" si="203"/>
        <v>0</v>
      </c>
      <c r="Z479">
        <f t="shared" si="204"/>
        <v>0</v>
      </c>
      <c r="AA479">
        <f t="shared" si="205"/>
        <v>0</v>
      </c>
      <c r="AB479">
        <f t="shared" si="206"/>
        <v>0</v>
      </c>
      <c r="AC479">
        <f t="shared" si="207"/>
        <v>0</v>
      </c>
      <c r="AD479">
        <f t="shared" si="208"/>
        <v>1</v>
      </c>
      <c r="AE479">
        <f t="shared" si="209"/>
        <v>0</v>
      </c>
      <c r="AF479">
        <f t="shared" si="210"/>
        <v>0</v>
      </c>
      <c r="AG479">
        <f t="shared" si="211"/>
        <v>0</v>
      </c>
      <c r="AH479">
        <f t="shared" si="212"/>
        <v>0</v>
      </c>
      <c r="AI479">
        <f t="shared" si="213"/>
        <v>0</v>
      </c>
      <c r="AJ479">
        <f t="shared" si="214"/>
        <v>0</v>
      </c>
      <c r="AK479">
        <f t="shared" si="215"/>
        <v>0</v>
      </c>
      <c r="AL479">
        <f t="shared" si="216"/>
        <v>0</v>
      </c>
      <c r="AM479">
        <f t="shared" si="217"/>
        <v>1</v>
      </c>
      <c r="AN479">
        <f t="shared" si="218"/>
        <v>0</v>
      </c>
      <c r="AO479">
        <f t="shared" si="219"/>
        <v>1</v>
      </c>
      <c r="AP479">
        <f t="shared" si="220"/>
        <v>0</v>
      </c>
      <c r="AQ479">
        <f t="shared" si="221"/>
        <v>1</v>
      </c>
      <c r="AR479">
        <f t="shared" si="222"/>
        <v>0</v>
      </c>
      <c r="AS479">
        <f t="shared" si="223"/>
        <v>0</v>
      </c>
    </row>
    <row r="480" spans="2:45" x14ac:dyDescent="0.3">
      <c r="B480">
        <v>479</v>
      </c>
      <c r="C480" s="1">
        <v>41022</v>
      </c>
      <c r="D480">
        <v>2</v>
      </c>
      <c r="E480">
        <v>1</v>
      </c>
      <c r="F480">
        <v>4</v>
      </c>
      <c r="G480">
        <v>1</v>
      </c>
      <c r="H480">
        <v>2</v>
      </c>
      <c r="I480">
        <v>195</v>
      </c>
      <c r="J480">
        <v>3019</v>
      </c>
      <c r="K480" s="8">
        <v>3214</v>
      </c>
      <c r="L480">
        <v>13.188347</v>
      </c>
      <c r="M480">
        <v>15.05625</v>
      </c>
      <c r="N480">
        <v>76.666700000000006</v>
      </c>
      <c r="O480">
        <v>20.334232</v>
      </c>
      <c r="P480">
        <v>0</v>
      </c>
      <c r="Q480">
        <v>1</v>
      </c>
      <c r="R480">
        <f t="shared" si="196"/>
        <v>0</v>
      </c>
      <c r="S480">
        <f t="shared" si="197"/>
        <v>0</v>
      </c>
      <c r="T480">
        <f t="shared" si="198"/>
        <v>0</v>
      </c>
      <c r="U480">
        <f t="shared" si="199"/>
        <v>1</v>
      </c>
      <c r="V480">
        <f t="shared" si="200"/>
        <v>0</v>
      </c>
      <c r="W480">
        <f t="shared" si="201"/>
        <v>0</v>
      </c>
      <c r="X480">
        <f t="shared" si="202"/>
        <v>0</v>
      </c>
      <c r="Y480">
        <f t="shared" si="203"/>
        <v>0</v>
      </c>
      <c r="Z480">
        <f t="shared" si="204"/>
        <v>0</v>
      </c>
      <c r="AA480">
        <f t="shared" si="205"/>
        <v>0</v>
      </c>
      <c r="AB480">
        <f t="shared" si="206"/>
        <v>0</v>
      </c>
      <c r="AC480">
        <f t="shared" si="207"/>
        <v>0</v>
      </c>
      <c r="AD480">
        <f t="shared" si="208"/>
        <v>0</v>
      </c>
      <c r="AE480">
        <f t="shared" si="209"/>
        <v>1</v>
      </c>
      <c r="AF480">
        <f t="shared" si="210"/>
        <v>0</v>
      </c>
      <c r="AG480">
        <f t="shared" si="211"/>
        <v>0</v>
      </c>
      <c r="AH480">
        <f t="shared" si="212"/>
        <v>0</v>
      </c>
      <c r="AI480">
        <f t="shared" si="213"/>
        <v>0</v>
      </c>
      <c r="AJ480">
        <f t="shared" si="214"/>
        <v>0</v>
      </c>
      <c r="AK480">
        <f t="shared" si="215"/>
        <v>0</v>
      </c>
      <c r="AL480">
        <f t="shared" si="216"/>
        <v>1</v>
      </c>
      <c r="AM480">
        <f t="shared" si="217"/>
        <v>0</v>
      </c>
      <c r="AN480">
        <f t="shared" si="218"/>
        <v>0</v>
      </c>
      <c r="AO480">
        <f t="shared" si="219"/>
        <v>1</v>
      </c>
      <c r="AP480">
        <f t="shared" si="220"/>
        <v>0</v>
      </c>
      <c r="AQ480">
        <f t="shared" si="221"/>
        <v>1</v>
      </c>
      <c r="AR480">
        <f t="shared" si="222"/>
        <v>0</v>
      </c>
      <c r="AS480">
        <f t="shared" si="223"/>
        <v>0</v>
      </c>
    </row>
    <row r="481" spans="2:45" x14ac:dyDescent="0.3">
      <c r="B481">
        <v>480</v>
      </c>
      <c r="C481" s="1">
        <v>41023</v>
      </c>
      <c r="D481">
        <v>2</v>
      </c>
      <c r="E481">
        <v>1</v>
      </c>
      <c r="F481">
        <v>4</v>
      </c>
      <c r="G481">
        <v>2</v>
      </c>
      <c r="H481">
        <v>1</v>
      </c>
      <c r="I481">
        <v>518</v>
      </c>
      <c r="J481">
        <v>5115</v>
      </c>
      <c r="K481" s="8">
        <v>5633</v>
      </c>
      <c r="L481">
        <v>16.946653000000001</v>
      </c>
      <c r="M481">
        <v>20.264150000000001</v>
      </c>
      <c r="N481">
        <v>45.416699999999999</v>
      </c>
      <c r="O481">
        <v>16.708660999999999</v>
      </c>
      <c r="P481">
        <v>0</v>
      </c>
      <c r="Q481">
        <v>1</v>
      </c>
      <c r="R481">
        <f t="shared" si="196"/>
        <v>0</v>
      </c>
      <c r="S481">
        <f t="shared" si="197"/>
        <v>0</v>
      </c>
      <c r="T481">
        <f t="shared" si="198"/>
        <v>0</v>
      </c>
      <c r="U481">
        <f t="shared" si="199"/>
        <v>1</v>
      </c>
      <c r="V481">
        <f t="shared" si="200"/>
        <v>0</v>
      </c>
      <c r="W481">
        <f t="shared" si="201"/>
        <v>0</v>
      </c>
      <c r="X481">
        <f t="shared" si="202"/>
        <v>0</v>
      </c>
      <c r="Y481">
        <f t="shared" si="203"/>
        <v>0</v>
      </c>
      <c r="Z481">
        <f t="shared" si="204"/>
        <v>0</v>
      </c>
      <c r="AA481">
        <f t="shared" si="205"/>
        <v>0</v>
      </c>
      <c r="AB481">
        <f t="shared" si="206"/>
        <v>0</v>
      </c>
      <c r="AC481">
        <f t="shared" si="207"/>
        <v>0</v>
      </c>
      <c r="AD481">
        <f t="shared" si="208"/>
        <v>0</v>
      </c>
      <c r="AE481">
        <f t="shared" si="209"/>
        <v>0</v>
      </c>
      <c r="AF481">
        <f t="shared" si="210"/>
        <v>1</v>
      </c>
      <c r="AG481">
        <f t="shared" si="211"/>
        <v>0</v>
      </c>
      <c r="AH481">
        <f t="shared" si="212"/>
        <v>0</v>
      </c>
      <c r="AI481">
        <f t="shared" si="213"/>
        <v>0</v>
      </c>
      <c r="AJ481">
        <f t="shared" si="214"/>
        <v>0</v>
      </c>
      <c r="AK481">
        <f t="shared" si="215"/>
        <v>1</v>
      </c>
      <c r="AL481">
        <f t="shared" si="216"/>
        <v>0</v>
      </c>
      <c r="AM481">
        <f t="shared" si="217"/>
        <v>0</v>
      </c>
      <c r="AN481">
        <f t="shared" si="218"/>
        <v>0</v>
      </c>
      <c r="AO481">
        <f t="shared" si="219"/>
        <v>1</v>
      </c>
      <c r="AP481">
        <f t="shared" si="220"/>
        <v>0</v>
      </c>
      <c r="AQ481">
        <f t="shared" si="221"/>
        <v>1</v>
      </c>
      <c r="AR481">
        <f t="shared" si="222"/>
        <v>0</v>
      </c>
      <c r="AS481">
        <f t="shared" si="223"/>
        <v>0</v>
      </c>
    </row>
    <row r="482" spans="2:45" x14ac:dyDescent="0.3">
      <c r="B482">
        <v>481</v>
      </c>
      <c r="C482" s="1">
        <v>41024</v>
      </c>
      <c r="D482">
        <v>2</v>
      </c>
      <c r="E482">
        <v>1</v>
      </c>
      <c r="F482">
        <v>4</v>
      </c>
      <c r="G482">
        <v>3</v>
      </c>
      <c r="H482">
        <v>1</v>
      </c>
      <c r="I482">
        <v>655</v>
      </c>
      <c r="J482">
        <v>5541</v>
      </c>
      <c r="K482" s="8">
        <v>6196</v>
      </c>
      <c r="L482">
        <v>19.543347000000001</v>
      </c>
      <c r="M482">
        <v>23.51585</v>
      </c>
      <c r="N482">
        <v>42.791699999999999</v>
      </c>
      <c r="O482">
        <v>7.9590639999999997</v>
      </c>
      <c r="P482">
        <v>0</v>
      </c>
      <c r="Q482">
        <v>1</v>
      </c>
      <c r="R482">
        <f t="shared" si="196"/>
        <v>0</v>
      </c>
      <c r="S482">
        <f t="shared" si="197"/>
        <v>0</v>
      </c>
      <c r="T482">
        <f t="shared" si="198"/>
        <v>0</v>
      </c>
      <c r="U482">
        <f t="shared" si="199"/>
        <v>1</v>
      </c>
      <c r="V482">
        <f t="shared" si="200"/>
        <v>0</v>
      </c>
      <c r="W482">
        <f t="shared" si="201"/>
        <v>0</v>
      </c>
      <c r="X482">
        <f t="shared" si="202"/>
        <v>0</v>
      </c>
      <c r="Y482">
        <f t="shared" si="203"/>
        <v>0</v>
      </c>
      <c r="Z482">
        <f t="shared" si="204"/>
        <v>0</v>
      </c>
      <c r="AA482">
        <f t="shared" si="205"/>
        <v>0</v>
      </c>
      <c r="AB482">
        <f t="shared" si="206"/>
        <v>0</v>
      </c>
      <c r="AC482">
        <f t="shared" si="207"/>
        <v>0</v>
      </c>
      <c r="AD482">
        <f t="shared" si="208"/>
        <v>0</v>
      </c>
      <c r="AE482">
        <f t="shared" si="209"/>
        <v>0</v>
      </c>
      <c r="AF482">
        <f t="shared" si="210"/>
        <v>0</v>
      </c>
      <c r="AG482">
        <f t="shared" si="211"/>
        <v>1</v>
      </c>
      <c r="AH482">
        <f t="shared" si="212"/>
        <v>0</v>
      </c>
      <c r="AI482">
        <f t="shared" si="213"/>
        <v>0</v>
      </c>
      <c r="AJ482">
        <f t="shared" si="214"/>
        <v>0</v>
      </c>
      <c r="AK482">
        <f t="shared" si="215"/>
        <v>1</v>
      </c>
      <c r="AL482">
        <f t="shared" si="216"/>
        <v>0</v>
      </c>
      <c r="AM482">
        <f t="shared" si="217"/>
        <v>0</v>
      </c>
      <c r="AN482">
        <f t="shared" si="218"/>
        <v>0</v>
      </c>
      <c r="AO482">
        <f t="shared" si="219"/>
        <v>1</v>
      </c>
      <c r="AP482">
        <f t="shared" si="220"/>
        <v>0</v>
      </c>
      <c r="AQ482">
        <f t="shared" si="221"/>
        <v>1</v>
      </c>
      <c r="AR482">
        <f t="shared" si="222"/>
        <v>0</v>
      </c>
      <c r="AS482">
        <f t="shared" si="223"/>
        <v>0</v>
      </c>
    </row>
    <row r="483" spans="2:45" x14ac:dyDescent="0.3">
      <c r="B483">
        <v>482</v>
      </c>
      <c r="C483" s="1">
        <v>41025</v>
      </c>
      <c r="D483">
        <v>2</v>
      </c>
      <c r="E483">
        <v>1</v>
      </c>
      <c r="F483">
        <v>4</v>
      </c>
      <c r="G483">
        <v>4</v>
      </c>
      <c r="H483">
        <v>2</v>
      </c>
      <c r="I483">
        <v>475</v>
      </c>
      <c r="J483">
        <v>4551</v>
      </c>
      <c r="K483" s="8">
        <v>5026</v>
      </c>
      <c r="L483">
        <v>20.431653000000001</v>
      </c>
      <c r="M483">
        <v>24.17915</v>
      </c>
      <c r="N483">
        <v>75.666700000000006</v>
      </c>
      <c r="O483">
        <v>11.833875000000001</v>
      </c>
      <c r="P483">
        <v>0</v>
      </c>
      <c r="Q483">
        <v>1</v>
      </c>
      <c r="R483">
        <f t="shared" si="196"/>
        <v>0</v>
      </c>
      <c r="S483">
        <f t="shared" si="197"/>
        <v>0</v>
      </c>
      <c r="T483">
        <f t="shared" si="198"/>
        <v>0</v>
      </c>
      <c r="U483">
        <f t="shared" si="199"/>
        <v>1</v>
      </c>
      <c r="V483">
        <f t="shared" si="200"/>
        <v>0</v>
      </c>
      <c r="W483">
        <f t="shared" si="201"/>
        <v>0</v>
      </c>
      <c r="X483">
        <f t="shared" si="202"/>
        <v>0</v>
      </c>
      <c r="Y483">
        <f t="shared" si="203"/>
        <v>0</v>
      </c>
      <c r="Z483">
        <f t="shared" si="204"/>
        <v>0</v>
      </c>
      <c r="AA483">
        <f t="shared" si="205"/>
        <v>0</v>
      </c>
      <c r="AB483">
        <f t="shared" si="206"/>
        <v>0</v>
      </c>
      <c r="AC483">
        <f t="shared" si="207"/>
        <v>0</v>
      </c>
      <c r="AD483">
        <f t="shared" si="208"/>
        <v>0</v>
      </c>
      <c r="AE483">
        <f t="shared" si="209"/>
        <v>0</v>
      </c>
      <c r="AF483">
        <f t="shared" si="210"/>
        <v>0</v>
      </c>
      <c r="AG483">
        <f t="shared" si="211"/>
        <v>0</v>
      </c>
      <c r="AH483">
        <f t="shared" si="212"/>
        <v>1</v>
      </c>
      <c r="AI483">
        <f t="shared" si="213"/>
        <v>0</v>
      </c>
      <c r="AJ483">
        <f t="shared" si="214"/>
        <v>0</v>
      </c>
      <c r="AK483">
        <f t="shared" si="215"/>
        <v>0</v>
      </c>
      <c r="AL483">
        <f t="shared" si="216"/>
        <v>1</v>
      </c>
      <c r="AM483">
        <f t="shared" si="217"/>
        <v>0</v>
      </c>
      <c r="AN483">
        <f t="shared" si="218"/>
        <v>0</v>
      </c>
      <c r="AO483">
        <f t="shared" si="219"/>
        <v>1</v>
      </c>
      <c r="AP483">
        <f t="shared" si="220"/>
        <v>0</v>
      </c>
      <c r="AQ483">
        <f t="shared" si="221"/>
        <v>1</v>
      </c>
      <c r="AR483">
        <f t="shared" si="222"/>
        <v>0</v>
      </c>
      <c r="AS483">
        <f t="shared" si="223"/>
        <v>0</v>
      </c>
    </row>
    <row r="484" spans="2:45" x14ac:dyDescent="0.3">
      <c r="B484">
        <v>483</v>
      </c>
      <c r="C484" s="1">
        <v>41026</v>
      </c>
      <c r="D484">
        <v>2</v>
      </c>
      <c r="E484">
        <v>1</v>
      </c>
      <c r="F484">
        <v>4</v>
      </c>
      <c r="G484">
        <v>5</v>
      </c>
      <c r="H484">
        <v>1</v>
      </c>
      <c r="I484">
        <v>1014</v>
      </c>
      <c r="J484">
        <v>5219</v>
      </c>
      <c r="K484" s="8">
        <v>6233</v>
      </c>
      <c r="L484">
        <v>18.7575</v>
      </c>
      <c r="M484">
        <v>22.63185</v>
      </c>
      <c r="N484">
        <v>40.083300000000001</v>
      </c>
      <c r="O484">
        <v>23.291411</v>
      </c>
      <c r="P484">
        <v>0</v>
      </c>
      <c r="Q484">
        <v>1</v>
      </c>
      <c r="R484">
        <f t="shared" si="196"/>
        <v>0</v>
      </c>
      <c r="S484">
        <f t="shared" si="197"/>
        <v>0</v>
      </c>
      <c r="T484">
        <f t="shared" si="198"/>
        <v>0</v>
      </c>
      <c r="U484">
        <f t="shared" si="199"/>
        <v>1</v>
      </c>
      <c r="V484">
        <f t="shared" si="200"/>
        <v>0</v>
      </c>
      <c r="W484">
        <f t="shared" si="201"/>
        <v>0</v>
      </c>
      <c r="X484">
        <f t="shared" si="202"/>
        <v>0</v>
      </c>
      <c r="Y484">
        <f t="shared" si="203"/>
        <v>0</v>
      </c>
      <c r="Z484">
        <f t="shared" si="204"/>
        <v>0</v>
      </c>
      <c r="AA484">
        <f t="shared" si="205"/>
        <v>0</v>
      </c>
      <c r="AB484">
        <f t="shared" si="206"/>
        <v>0</v>
      </c>
      <c r="AC484">
        <f t="shared" si="207"/>
        <v>0</v>
      </c>
      <c r="AD484">
        <f t="shared" si="208"/>
        <v>0</v>
      </c>
      <c r="AE484">
        <f t="shared" si="209"/>
        <v>0</v>
      </c>
      <c r="AF484">
        <f t="shared" si="210"/>
        <v>0</v>
      </c>
      <c r="AG484">
        <f t="shared" si="211"/>
        <v>0</v>
      </c>
      <c r="AH484">
        <f t="shared" si="212"/>
        <v>0</v>
      </c>
      <c r="AI484">
        <f t="shared" si="213"/>
        <v>1</v>
      </c>
      <c r="AJ484">
        <f t="shared" si="214"/>
        <v>0</v>
      </c>
      <c r="AK484">
        <f t="shared" si="215"/>
        <v>1</v>
      </c>
      <c r="AL484">
        <f t="shared" si="216"/>
        <v>0</v>
      </c>
      <c r="AM484">
        <f t="shared" si="217"/>
        <v>0</v>
      </c>
      <c r="AN484">
        <f t="shared" si="218"/>
        <v>0</v>
      </c>
      <c r="AO484">
        <f t="shared" si="219"/>
        <v>1</v>
      </c>
      <c r="AP484">
        <f t="shared" si="220"/>
        <v>0</v>
      </c>
      <c r="AQ484">
        <f t="shared" si="221"/>
        <v>1</v>
      </c>
      <c r="AR484">
        <f t="shared" si="222"/>
        <v>0</v>
      </c>
      <c r="AS484">
        <f t="shared" si="223"/>
        <v>0</v>
      </c>
    </row>
    <row r="485" spans="2:45" x14ac:dyDescent="0.3">
      <c r="B485">
        <v>484</v>
      </c>
      <c r="C485" s="1">
        <v>41027</v>
      </c>
      <c r="D485">
        <v>2</v>
      </c>
      <c r="E485">
        <v>1</v>
      </c>
      <c r="F485">
        <v>4</v>
      </c>
      <c r="G485">
        <v>6</v>
      </c>
      <c r="H485">
        <v>2</v>
      </c>
      <c r="I485">
        <v>1120</v>
      </c>
      <c r="J485">
        <v>3100</v>
      </c>
      <c r="K485" s="8">
        <v>4220</v>
      </c>
      <c r="L485">
        <v>15.443346999999999</v>
      </c>
      <c r="M485">
        <v>18.8752</v>
      </c>
      <c r="N485">
        <v>48.958300000000001</v>
      </c>
      <c r="O485">
        <v>8.7083250000000003</v>
      </c>
      <c r="P485">
        <v>0</v>
      </c>
      <c r="Q485">
        <v>0</v>
      </c>
      <c r="R485">
        <f t="shared" si="196"/>
        <v>0</v>
      </c>
      <c r="S485">
        <f t="shared" si="197"/>
        <v>0</v>
      </c>
      <c r="T485">
        <f t="shared" si="198"/>
        <v>0</v>
      </c>
      <c r="U485">
        <f t="shared" si="199"/>
        <v>1</v>
      </c>
      <c r="V485">
        <f t="shared" si="200"/>
        <v>0</v>
      </c>
      <c r="W485">
        <f t="shared" si="201"/>
        <v>0</v>
      </c>
      <c r="X485">
        <f t="shared" si="202"/>
        <v>0</v>
      </c>
      <c r="Y485">
        <f t="shared" si="203"/>
        <v>0</v>
      </c>
      <c r="Z485">
        <f t="shared" si="204"/>
        <v>0</v>
      </c>
      <c r="AA485">
        <f t="shared" si="205"/>
        <v>0</v>
      </c>
      <c r="AB485">
        <f t="shared" si="206"/>
        <v>0</v>
      </c>
      <c r="AC485">
        <f t="shared" si="207"/>
        <v>0</v>
      </c>
      <c r="AD485">
        <f t="shared" si="208"/>
        <v>0</v>
      </c>
      <c r="AE485">
        <f t="shared" si="209"/>
        <v>0</v>
      </c>
      <c r="AF485">
        <f t="shared" si="210"/>
        <v>0</v>
      </c>
      <c r="AG485">
        <f t="shared" si="211"/>
        <v>0</v>
      </c>
      <c r="AH485">
        <f t="shared" si="212"/>
        <v>0</v>
      </c>
      <c r="AI485">
        <f t="shared" si="213"/>
        <v>0</v>
      </c>
      <c r="AJ485">
        <f t="shared" si="214"/>
        <v>1</v>
      </c>
      <c r="AK485">
        <f t="shared" si="215"/>
        <v>0</v>
      </c>
      <c r="AL485">
        <f t="shared" si="216"/>
        <v>1</v>
      </c>
      <c r="AM485">
        <f t="shared" si="217"/>
        <v>0</v>
      </c>
      <c r="AN485">
        <f t="shared" si="218"/>
        <v>0</v>
      </c>
      <c r="AO485">
        <f t="shared" si="219"/>
        <v>1</v>
      </c>
      <c r="AP485">
        <f t="shared" si="220"/>
        <v>0</v>
      </c>
      <c r="AQ485">
        <f t="shared" si="221"/>
        <v>1</v>
      </c>
      <c r="AR485">
        <f t="shared" si="222"/>
        <v>0</v>
      </c>
      <c r="AS485">
        <f t="shared" si="223"/>
        <v>0</v>
      </c>
    </row>
    <row r="486" spans="2:45" x14ac:dyDescent="0.3">
      <c r="B486">
        <v>485</v>
      </c>
      <c r="C486" s="1">
        <v>41028</v>
      </c>
      <c r="D486">
        <v>2</v>
      </c>
      <c r="E486">
        <v>1</v>
      </c>
      <c r="F486">
        <v>4</v>
      </c>
      <c r="G486">
        <v>0</v>
      </c>
      <c r="H486">
        <v>1</v>
      </c>
      <c r="I486">
        <v>2229</v>
      </c>
      <c r="J486">
        <v>4075</v>
      </c>
      <c r="K486" s="8">
        <v>6304</v>
      </c>
      <c r="L486">
        <v>18.791653</v>
      </c>
      <c r="M486">
        <v>22.506049999999998</v>
      </c>
      <c r="N486">
        <v>58.708300000000001</v>
      </c>
      <c r="O486">
        <v>7.8328360000000004</v>
      </c>
      <c r="P486">
        <v>0</v>
      </c>
      <c r="Q486">
        <v>0</v>
      </c>
      <c r="R486">
        <f t="shared" si="196"/>
        <v>0</v>
      </c>
      <c r="S486">
        <f t="shared" si="197"/>
        <v>0</v>
      </c>
      <c r="T486">
        <f t="shared" si="198"/>
        <v>0</v>
      </c>
      <c r="U486">
        <f t="shared" si="199"/>
        <v>1</v>
      </c>
      <c r="V486">
        <f t="shared" si="200"/>
        <v>0</v>
      </c>
      <c r="W486">
        <f t="shared" si="201"/>
        <v>0</v>
      </c>
      <c r="X486">
        <f t="shared" si="202"/>
        <v>0</v>
      </c>
      <c r="Y486">
        <f t="shared" si="203"/>
        <v>0</v>
      </c>
      <c r="Z486">
        <f t="shared" si="204"/>
        <v>0</v>
      </c>
      <c r="AA486">
        <f t="shared" si="205"/>
        <v>0</v>
      </c>
      <c r="AB486">
        <f t="shared" si="206"/>
        <v>0</v>
      </c>
      <c r="AC486">
        <f t="shared" si="207"/>
        <v>0</v>
      </c>
      <c r="AD486">
        <f t="shared" si="208"/>
        <v>1</v>
      </c>
      <c r="AE486">
        <f t="shared" si="209"/>
        <v>0</v>
      </c>
      <c r="AF486">
        <f t="shared" si="210"/>
        <v>0</v>
      </c>
      <c r="AG486">
        <f t="shared" si="211"/>
        <v>0</v>
      </c>
      <c r="AH486">
        <f t="shared" si="212"/>
        <v>0</v>
      </c>
      <c r="AI486">
        <f t="shared" si="213"/>
        <v>0</v>
      </c>
      <c r="AJ486">
        <f t="shared" si="214"/>
        <v>0</v>
      </c>
      <c r="AK486">
        <f t="shared" si="215"/>
        <v>1</v>
      </c>
      <c r="AL486">
        <f t="shared" si="216"/>
        <v>0</v>
      </c>
      <c r="AM486">
        <f t="shared" si="217"/>
        <v>0</v>
      </c>
      <c r="AN486">
        <f t="shared" si="218"/>
        <v>0</v>
      </c>
      <c r="AO486">
        <f t="shared" si="219"/>
        <v>1</v>
      </c>
      <c r="AP486">
        <f t="shared" si="220"/>
        <v>0</v>
      </c>
      <c r="AQ486">
        <f t="shared" si="221"/>
        <v>1</v>
      </c>
      <c r="AR486">
        <f t="shared" si="222"/>
        <v>0</v>
      </c>
      <c r="AS486">
        <f t="shared" si="223"/>
        <v>0</v>
      </c>
    </row>
    <row r="487" spans="2:45" x14ac:dyDescent="0.3">
      <c r="B487">
        <v>486</v>
      </c>
      <c r="C487" s="1">
        <v>41029</v>
      </c>
      <c r="D487">
        <v>2</v>
      </c>
      <c r="E487">
        <v>1</v>
      </c>
      <c r="F487">
        <v>4</v>
      </c>
      <c r="G487">
        <v>1</v>
      </c>
      <c r="H487">
        <v>2</v>
      </c>
      <c r="I487">
        <v>665</v>
      </c>
      <c r="J487">
        <v>4907</v>
      </c>
      <c r="K487" s="8">
        <v>5572</v>
      </c>
      <c r="L487">
        <v>19.030847000000001</v>
      </c>
      <c r="M487">
        <v>22.884799999999998</v>
      </c>
      <c r="N487">
        <v>57</v>
      </c>
      <c r="O487">
        <v>11.499746</v>
      </c>
      <c r="P487">
        <v>0</v>
      </c>
      <c r="Q487">
        <v>1</v>
      </c>
      <c r="R487">
        <f t="shared" si="196"/>
        <v>0</v>
      </c>
      <c r="S487">
        <f t="shared" si="197"/>
        <v>0</v>
      </c>
      <c r="T487">
        <f t="shared" si="198"/>
        <v>0</v>
      </c>
      <c r="U487">
        <f t="shared" si="199"/>
        <v>1</v>
      </c>
      <c r="V487">
        <f t="shared" si="200"/>
        <v>0</v>
      </c>
      <c r="W487">
        <f t="shared" si="201"/>
        <v>0</v>
      </c>
      <c r="X487">
        <f t="shared" si="202"/>
        <v>0</v>
      </c>
      <c r="Y487">
        <f t="shared" si="203"/>
        <v>0</v>
      </c>
      <c r="Z487">
        <f t="shared" si="204"/>
        <v>0</v>
      </c>
      <c r="AA487">
        <f t="shared" si="205"/>
        <v>0</v>
      </c>
      <c r="AB487">
        <f t="shared" si="206"/>
        <v>0</v>
      </c>
      <c r="AC487">
        <f t="shared" si="207"/>
        <v>0</v>
      </c>
      <c r="AD487">
        <f t="shared" si="208"/>
        <v>0</v>
      </c>
      <c r="AE487">
        <f t="shared" si="209"/>
        <v>1</v>
      </c>
      <c r="AF487">
        <f t="shared" si="210"/>
        <v>0</v>
      </c>
      <c r="AG487">
        <f t="shared" si="211"/>
        <v>0</v>
      </c>
      <c r="AH487">
        <f t="shared" si="212"/>
        <v>0</v>
      </c>
      <c r="AI487">
        <f t="shared" si="213"/>
        <v>0</v>
      </c>
      <c r="AJ487">
        <f t="shared" si="214"/>
        <v>0</v>
      </c>
      <c r="AK487">
        <f t="shared" si="215"/>
        <v>0</v>
      </c>
      <c r="AL487">
        <f t="shared" si="216"/>
        <v>1</v>
      </c>
      <c r="AM487">
        <f t="shared" si="217"/>
        <v>0</v>
      </c>
      <c r="AN487">
        <f t="shared" si="218"/>
        <v>0</v>
      </c>
      <c r="AO487">
        <f t="shared" si="219"/>
        <v>1</v>
      </c>
      <c r="AP487">
        <f t="shared" si="220"/>
        <v>0</v>
      </c>
      <c r="AQ487">
        <f t="shared" si="221"/>
        <v>1</v>
      </c>
      <c r="AR487">
        <f t="shared" si="222"/>
        <v>0</v>
      </c>
      <c r="AS487">
        <f t="shared" si="223"/>
        <v>0</v>
      </c>
    </row>
    <row r="488" spans="2:45" x14ac:dyDescent="0.3">
      <c r="B488">
        <v>487</v>
      </c>
      <c r="C488" s="1">
        <v>41030</v>
      </c>
      <c r="D488">
        <v>2</v>
      </c>
      <c r="E488">
        <v>1</v>
      </c>
      <c r="F488">
        <v>5</v>
      </c>
      <c r="G488">
        <v>2</v>
      </c>
      <c r="H488">
        <v>2</v>
      </c>
      <c r="I488">
        <v>653</v>
      </c>
      <c r="J488">
        <v>5087</v>
      </c>
      <c r="K488" s="8">
        <v>5740</v>
      </c>
      <c r="L488">
        <v>25.146653000000001</v>
      </c>
      <c r="M488">
        <v>28.851050000000001</v>
      </c>
      <c r="N488">
        <v>65.958299999999994</v>
      </c>
      <c r="O488">
        <v>10.458432</v>
      </c>
      <c r="P488">
        <v>0</v>
      </c>
      <c r="Q488">
        <v>1</v>
      </c>
      <c r="R488">
        <f t="shared" si="196"/>
        <v>0</v>
      </c>
      <c r="S488">
        <f t="shared" si="197"/>
        <v>0</v>
      </c>
      <c r="T488">
        <f t="shared" si="198"/>
        <v>0</v>
      </c>
      <c r="U488">
        <f t="shared" si="199"/>
        <v>0</v>
      </c>
      <c r="V488">
        <f t="shared" si="200"/>
        <v>1</v>
      </c>
      <c r="W488">
        <f t="shared" si="201"/>
        <v>0</v>
      </c>
      <c r="X488">
        <f t="shared" si="202"/>
        <v>0</v>
      </c>
      <c r="Y488">
        <f t="shared" si="203"/>
        <v>0</v>
      </c>
      <c r="Z488">
        <f t="shared" si="204"/>
        <v>0</v>
      </c>
      <c r="AA488">
        <f t="shared" si="205"/>
        <v>0</v>
      </c>
      <c r="AB488">
        <f t="shared" si="206"/>
        <v>0</v>
      </c>
      <c r="AC488">
        <f t="shared" si="207"/>
        <v>0</v>
      </c>
      <c r="AD488">
        <f t="shared" si="208"/>
        <v>0</v>
      </c>
      <c r="AE488">
        <f t="shared" si="209"/>
        <v>0</v>
      </c>
      <c r="AF488">
        <f t="shared" si="210"/>
        <v>1</v>
      </c>
      <c r="AG488">
        <f t="shared" si="211"/>
        <v>0</v>
      </c>
      <c r="AH488">
        <f t="shared" si="212"/>
        <v>0</v>
      </c>
      <c r="AI488">
        <f t="shared" si="213"/>
        <v>0</v>
      </c>
      <c r="AJ488">
        <f t="shared" si="214"/>
        <v>0</v>
      </c>
      <c r="AK488">
        <f t="shared" si="215"/>
        <v>0</v>
      </c>
      <c r="AL488">
        <f t="shared" si="216"/>
        <v>1</v>
      </c>
      <c r="AM488">
        <f t="shared" si="217"/>
        <v>0</v>
      </c>
      <c r="AN488">
        <f t="shared" si="218"/>
        <v>0</v>
      </c>
      <c r="AO488">
        <f t="shared" si="219"/>
        <v>1</v>
      </c>
      <c r="AP488">
        <f t="shared" si="220"/>
        <v>0</v>
      </c>
      <c r="AQ488">
        <f t="shared" si="221"/>
        <v>1</v>
      </c>
      <c r="AR488">
        <f t="shared" si="222"/>
        <v>0</v>
      </c>
      <c r="AS488">
        <f t="shared" si="223"/>
        <v>0</v>
      </c>
    </row>
    <row r="489" spans="2:45" x14ac:dyDescent="0.3">
      <c r="B489">
        <v>488</v>
      </c>
      <c r="C489" s="1">
        <v>41031</v>
      </c>
      <c r="D489">
        <v>2</v>
      </c>
      <c r="E489">
        <v>1</v>
      </c>
      <c r="F489">
        <v>5</v>
      </c>
      <c r="G489">
        <v>3</v>
      </c>
      <c r="H489">
        <v>1</v>
      </c>
      <c r="I489">
        <v>667</v>
      </c>
      <c r="J489">
        <v>5502</v>
      </c>
      <c r="K489" s="8">
        <v>6169</v>
      </c>
      <c r="L489">
        <v>23.130846999999999</v>
      </c>
      <c r="M489">
        <v>26.8948</v>
      </c>
      <c r="N489">
        <v>79.708299999999994</v>
      </c>
      <c r="O489">
        <v>9.2498860000000001</v>
      </c>
      <c r="P489">
        <v>0</v>
      </c>
      <c r="Q489">
        <v>1</v>
      </c>
      <c r="R489">
        <f t="shared" si="196"/>
        <v>0</v>
      </c>
      <c r="S489">
        <f t="shared" si="197"/>
        <v>0</v>
      </c>
      <c r="T489">
        <f t="shared" si="198"/>
        <v>0</v>
      </c>
      <c r="U489">
        <f t="shared" si="199"/>
        <v>0</v>
      </c>
      <c r="V489">
        <f t="shared" si="200"/>
        <v>1</v>
      </c>
      <c r="W489">
        <f t="shared" si="201"/>
        <v>0</v>
      </c>
      <c r="X489">
        <f t="shared" si="202"/>
        <v>0</v>
      </c>
      <c r="Y489">
        <f t="shared" si="203"/>
        <v>0</v>
      </c>
      <c r="Z489">
        <f t="shared" si="204"/>
        <v>0</v>
      </c>
      <c r="AA489">
        <f t="shared" si="205"/>
        <v>0</v>
      </c>
      <c r="AB489">
        <f t="shared" si="206"/>
        <v>0</v>
      </c>
      <c r="AC489">
        <f t="shared" si="207"/>
        <v>0</v>
      </c>
      <c r="AD489">
        <f t="shared" si="208"/>
        <v>0</v>
      </c>
      <c r="AE489">
        <f t="shared" si="209"/>
        <v>0</v>
      </c>
      <c r="AF489">
        <f t="shared" si="210"/>
        <v>0</v>
      </c>
      <c r="AG489">
        <f t="shared" si="211"/>
        <v>1</v>
      </c>
      <c r="AH489">
        <f t="shared" si="212"/>
        <v>0</v>
      </c>
      <c r="AI489">
        <f t="shared" si="213"/>
        <v>0</v>
      </c>
      <c r="AJ489">
        <f t="shared" si="214"/>
        <v>0</v>
      </c>
      <c r="AK489">
        <f t="shared" si="215"/>
        <v>1</v>
      </c>
      <c r="AL489">
        <f t="shared" si="216"/>
        <v>0</v>
      </c>
      <c r="AM489">
        <f t="shared" si="217"/>
        <v>0</v>
      </c>
      <c r="AN489">
        <f t="shared" si="218"/>
        <v>0</v>
      </c>
      <c r="AO489">
        <f t="shared" si="219"/>
        <v>1</v>
      </c>
      <c r="AP489">
        <f t="shared" si="220"/>
        <v>0</v>
      </c>
      <c r="AQ489">
        <f t="shared" si="221"/>
        <v>1</v>
      </c>
      <c r="AR489">
        <f t="shared" si="222"/>
        <v>0</v>
      </c>
      <c r="AS489">
        <f t="shared" si="223"/>
        <v>0</v>
      </c>
    </row>
    <row r="490" spans="2:45" x14ac:dyDescent="0.3">
      <c r="B490">
        <v>489</v>
      </c>
      <c r="C490" s="1">
        <v>41032</v>
      </c>
      <c r="D490">
        <v>2</v>
      </c>
      <c r="E490">
        <v>1</v>
      </c>
      <c r="F490">
        <v>5</v>
      </c>
      <c r="G490">
        <v>4</v>
      </c>
      <c r="H490">
        <v>2</v>
      </c>
      <c r="I490">
        <v>764</v>
      </c>
      <c r="J490">
        <v>5657</v>
      </c>
      <c r="K490" s="8">
        <v>6421</v>
      </c>
      <c r="L490">
        <v>22.96</v>
      </c>
      <c r="M490">
        <v>26.862100000000002</v>
      </c>
      <c r="N490">
        <v>76.833299999999994</v>
      </c>
      <c r="O490">
        <v>8.9576320000000003</v>
      </c>
      <c r="P490">
        <v>0</v>
      </c>
      <c r="Q490">
        <v>1</v>
      </c>
      <c r="R490">
        <f t="shared" si="196"/>
        <v>0</v>
      </c>
      <c r="S490">
        <f t="shared" si="197"/>
        <v>0</v>
      </c>
      <c r="T490">
        <f t="shared" si="198"/>
        <v>0</v>
      </c>
      <c r="U490">
        <f t="shared" si="199"/>
        <v>0</v>
      </c>
      <c r="V490">
        <f t="shared" si="200"/>
        <v>1</v>
      </c>
      <c r="W490">
        <f t="shared" si="201"/>
        <v>0</v>
      </c>
      <c r="X490">
        <f t="shared" si="202"/>
        <v>0</v>
      </c>
      <c r="Y490">
        <f t="shared" si="203"/>
        <v>0</v>
      </c>
      <c r="Z490">
        <f t="shared" si="204"/>
        <v>0</v>
      </c>
      <c r="AA490">
        <f t="shared" si="205"/>
        <v>0</v>
      </c>
      <c r="AB490">
        <f t="shared" si="206"/>
        <v>0</v>
      </c>
      <c r="AC490">
        <f t="shared" si="207"/>
        <v>0</v>
      </c>
      <c r="AD490">
        <f t="shared" si="208"/>
        <v>0</v>
      </c>
      <c r="AE490">
        <f t="shared" si="209"/>
        <v>0</v>
      </c>
      <c r="AF490">
        <f t="shared" si="210"/>
        <v>0</v>
      </c>
      <c r="AG490">
        <f t="shared" si="211"/>
        <v>0</v>
      </c>
      <c r="AH490">
        <f t="shared" si="212"/>
        <v>1</v>
      </c>
      <c r="AI490">
        <f t="shared" si="213"/>
        <v>0</v>
      </c>
      <c r="AJ490">
        <f t="shared" si="214"/>
        <v>0</v>
      </c>
      <c r="AK490">
        <f t="shared" si="215"/>
        <v>0</v>
      </c>
      <c r="AL490">
        <f t="shared" si="216"/>
        <v>1</v>
      </c>
      <c r="AM490">
        <f t="shared" si="217"/>
        <v>0</v>
      </c>
      <c r="AN490">
        <f t="shared" si="218"/>
        <v>0</v>
      </c>
      <c r="AO490">
        <f t="shared" si="219"/>
        <v>1</v>
      </c>
      <c r="AP490">
        <f t="shared" si="220"/>
        <v>0</v>
      </c>
      <c r="AQ490">
        <f t="shared" si="221"/>
        <v>1</v>
      </c>
      <c r="AR490">
        <f t="shared" si="222"/>
        <v>0</v>
      </c>
      <c r="AS490">
        <f t="shared" si="223"/>
        <v>0</v>
      </c>
    </row>
    <row r="491" spans="2:45" x14ac:dyDescent="0.3">
      <c r="B491">
        <v>490</v>
      </c>
      <c r="C491" s="1">
        <v>41033</v>
      </c>
      <c r="D491">
        <v>2</v>
      </c>
      <c r="E491">
        <v>1</v>
      </c>
      <c r="F491">
        <v>5</v>
      </c>
      <c r="G491">
        <v>5</v>
      </c>
      <c r="H491">
        <v>1</v>
      </c>
      <c r="I491">
        <v>1069</v>
      </c>
      <c r="J491">
        <v>5227</v>
      </c>
      <c r="K491" s="8">
        <v>6296</v>
      </c>
      <c r="L491">
        <v>25.727499999999999</v>
      </c>
      <c r="M491">
        <v>29.545850000000002</v>
      </c>
      <c r="N491">
        <v>73.541700000000006</v>
      </c>
      <c r="O491">
        <v>10.916846</v>
      </c>
      <c r="P491">
        <v>0</v>
      </c>
      <c r="Q491">
        <v>1</v>
      </c>
      <c r="R491">
        <f t="shared" si="196"/>
        <v>0</v>
      </c>
      <c r="S491">
        <f t="shared" si="197"/>
        <v>0</v>
      </c>
      <c r="T491">
        <f t="shared" si="198"/>
        <v>0</v>
      </c>
      <c r="U491">
        <f t="shared" si="199"/>
        <v>0</v>
      </c>
      <c r="V491">
        <f t="shared" si="200"/>
        <v>1</v>
      </c>
      <c r="W491">
        <f t="shared" si="201"/>
        <v>0</v>
      </c>
      <c r="X491">
        <f t="shared" si="202"/>
        <v>0</v>
      </c>
      <c r="Y491">
        <f t="shared" si="203"/>
        <v>0</v>
      </c>
      <c r="Z491">
        <f t="shared" si="204"/>
        <v>0</v>
      </c>
      <c r="AA491">
        <f t="shared" si="205"/>
        <v>0</v>
      </c>
      <c r="AB491">
        <f t="shared" si="206"/>
        <v>0</v>
      </c>
      <c r="AC491">
        <f t="shared" si="207"/>
        <v>0</v>
      </c>
      <c r="AD491">
        <f t="shared" si="208"/>
        <v>0</v>
      </c>
      <c r="AE491">
        <f t="shared" si="209"/>
        <v>0</v>
      </c>
      <c r="AF491">
        <f t="shared" si="210"/>
        <v>0</v>
      </c>
      <c r="AG491">
        <f t="shared" si="211"/>
        <v>0</v>
      </c>
      <c r="AH491">
        <f t="shared" si="212"/>
        <v>0</v>
      </c>
      <c r="AI491">
        <f t="shared" si="213"/>
        <v>1</v>
      </c>
      <c r="AJ491">
        <f t="shared" si="214"/>
        <v>0</v>
      </c>
      <c r="AK491">
        <f t="shared" si="215"/>
        <v>1</v>
      </c>
      <c r="AL491">
        <f t="shared" si="216"/>
        <v>0</v>
      </c>
      <c r="AM491">
        <f t="shared" si="217"/>
        <v>0</v>
      </c>
      <c r="AN491">
        <f t="shared" si="218"/>
        <v>0</v>
      </c>
      <c r="AO491">
        <f t="shared" si="219"/>
        <v>1</v>
      </c>
      <c r="AP491">
        <f t="shared" si="220"/>
        <v>0</v>
      </c>
      <c r="AQ491">
        <f t="shared" si="221"/>
        <v>1</v>
      </c>
      <c r="AR491">
        <f t="shared" si="222"/>
        <v>0</v>
      </c>
      <c r="AS491">
        <f t="shared" si="223"/>
        <v>0</v>
      </c>
    </row>
    <row r="492" spans="2:45" x14ac:dyDescent="0.3">
      <c r="B492">
        <v>491</v>
      </c>
      <c r="C492" s="1">
        <v>41034</v>
      </c>
      <c r="D492">
        <v>2</v>
      </c>
      <c r="E492">
        <v>1</v>
      </c>
      <c r="F492">
        <v>5</v>
      </c>
      <c r="G492">
        <v>6</v>
      </c>
      <c r="H492">
        <v>2</v>
      </c>
      <c r="I492">
        <v>2496</v>
      </c>
      <c r="J492">
        <v>4387</v>
      </c>
      <c r="K492" s="8">
        <v>6883</v>
      </c>
      <c r="L492">
        <v>25.488347000000001</v>
      </c>
      <c r="M492">
        <v>29.230399999999999</v>
      </c>
      <c r="N492">
        <v>75.666700000000006</v>
      </c>
      <c r="O492">
        <v>10.250463999999999</v>
      </c>
      <c r="P492">
        <v>0</v>
      </c>
      <c r="Q492">
        <v>0</v>
      </c>
      <c r="R492">
        <f t="shared" si="196"/>
        <v>0</v>
      </c>
      <c r="S492">
        <f t="shared" si="197"/>
        <v>0</v>
      </c>
      <c r="T492">
        <f t="shared" si="198"/>
        <v>0</v>
      </c>
      <c r="U492">
        <f t="shared" si="199"/>
        <v>0</v>
      </c>
      <c r="V492">
        <f t="shared" si="200"/>
        <v>1</v>
      </c>
      <c r="W492">
        <f t="shared" si="201"/>
        <v>0</v>
      </c>
      <c r="X492">
        <f t="shared" si="202"/>
        <v>0</v>
      </c>
      <c r="Y492">
        <f t="shared" si="203"/>
        <v>0</v>
      </c>
      <c r="Z492">
        <f t="shared" si="204"/>
        <v>0</v>
      </c>
      <c r="AA492">
        <f t="shared" si="205"/>
        <v>0</v>
      </c>
      <c r="AB492">
        <f t="shared" si="206"/>
        <v>0</v>
      </c>
      <c r="AC492">
        <f t="shared" si="207"/>
        <v>0</v>
      </c>
      <c r="AD492">
        <f t="shared" si="208"/>
        <v>0</v>
      </c>
      <c r="AE492">
        <f t="shared" si="209"/>
        <v>0</v>
      </c>
      <c r="AF492">
        <f t="shared" si="210"/>
        <v>0</v>
      </c>
      <c r="AG492">
        <f t="shared" si="211"/>
        <v>0</v>
      </c>
      <c r="AH492">
        <f t="shared" si="212"/>
        <v>0</v>
      </c>
      <c r="AI492">
        <f t="shared" si="213"/>
        <v>0</v>
      </c>
      <c r="AJ492">
        <f t="shared" si="214"/>
        <v>1</v>
      </c>
      <c r="AK492">
        <f t="shared" si="215"/>
        <v>0</v>
      </c>
      <c r="AL492">
        <f t="shared" si="216"/>
        <v>1</v>
      </c>
      <c r="AM492">
        <f t="shared" si="217"/>
        <v>0</v>
      </c>
      <c r="AN492">
        <f t="shared" si="218"/>
        <v>0</v>
      </c>
      <c r="AO492">
        <f t="shared" si="219"/>
        <v>1</v>
      </c>
      <c r="AP492">
        <f t="shared" si="220"/>
        <v>0</v>
      </c>
      <c r="AQ492">
        <f t="shared" si="221"/>
        <v>1</v>
      </c>
      <c r="AR492">
        <f t="shared" si="222"/>
        <v>0</v>
      </c>
      <c r="AS492">
        <f t="shared" si="223"/>
        <v>0</v>
      </c>
    </row>
    <row r="493" spans="2:45" x14ac:dyDescent="0.3">
      <c r="B493">
        <v>492</v>
      </c>
      <c r="C493" s="1">
        <v>41035</v>
      </c>
      <c r="D493">
        <v>2</v>
      </c>
      <c r="E493">
        <v>1</v>
      </c>
      <c r="F493">
        <v>5</v>
      </c>
      <c r="G493">
        <v>0</v>
      </c>
      <c r="H493">
        <v>2</v>
      </c>
      <c r="I493">
        <v>2135</v>
      </c>
      <c r="J493">
        <v>4224</v>
      </c>
      <c r="K493" s="8">
        <v>6359</v>
      </c>
      <c r="L493">
        <v>23.0625</v>
      </c>
      <c r="M493">
        <v>27.336849999999998</v>
      </c>
      <c r="N493">
        <v>74</v>
      </c>
      <c r="O493">
        <v>10.041893</v>
      </c>
      <c r="P493">
        <v>0</v>
      </c>
      <c r="Q493">
        <v>0</v>
      </c>
      <c r="R493">
        <f t="shared" si="196"/>
        <v>0</v>
      </c>
      <c r="S493">
        <f t="shared" si="197"/>
        <v>0</v>
      </c>
      <c r="T493">
        <f t="shared" si="198"/>
        <v>0</v>
      </c>
      <c r="U493">
        <f t="shared" si="199"/>
        <v>0</v>
      </c>
      <c r="V493">
        <f t="shared" si="200"/>
        <v>1</v>
      </c>
      <c r="W493">
        <f t="shared" si="201"/>
        <v>0</v>
      </c>
      <c r="X493">
        <f t="shared" si="202"/>
        <v>0</v>
      </c>
      <c r="Y493">
        <f t="shared" si="203"/>
        <v>0</v>
      </c>
      <c r="Z493">
        <f t="shared" si="204"/>
        <v>0</v>
      </c>
      <c r="AA493">
        <f t="shared" si="205"/>
        <v>0</v>
      </c>
      <c r="AB493">
        <f t="shared" si="206"/>
        <v>0</v>
      </c>
      <c r="AC493">
        <f t="shared" si="207"/>
        <v>0</v>
      </c>
      <c r="AD493">
        <f t="shared" si="208"/>
        <v>1</v>
      </c>
      <c r="AE493">
        <f t="shared" si="209"/>
        <v>0</v>
      </c>
      <c r="AF493">
        <f t="shared" si="210"/>
        <v>0</v>
      </c>
      <c r="AG493">
        <f t="shared" si="211"/>
        <v>0</v>
      </c>
      <c r="AH493">
        <f t="shared" si="212"/>
        <v>0</v>
      </c>
      <c r="AI493">
        <f t="shared" si="213"/>
        <v>0</v>
      </c>
      <c r="AJ493">
        <f t="shared" si="214"/>
        <v>0</v>
      </c>
      <c r="AK493">
        <f t="shared" si="215"/>
        <v>0</v>
      </c>
      <c r="AL493">
        <f t="shared" si="216"/>
        <v>1</v>
      </c>
      <c r="AM493">
        <f t="shared" si="217"/>
        <v>0</v>
      </c>
      <c r="AN493">
        <f t="shared" si="218"/>
        <v>0</v>
      </c>
      <c r="AO493">
        <f t="shared" si="219"/>
        <v>1</v>
      </c>
      <c r="AP493">
        <f t="shared" si="220"/>
        <v>0</v>
      </c>
      <c r="AQ493">
        <f t="shared" si="221"/>
        <v>1</v>
      </c>
      <c r="AR493">
        <f t="shared" si="222"/>
        <v>0</v>
      </c>
      <c r="AS493">
        <f t="shared" si="223"/>
        <v>0</v>
      </c>
    </row>
    <row r="494" spans="2:45" x14ac:dyDescent="0.3">
      <c r="B494">
        <v>493</v>
      </c>
      <c r="C494" s="1">
        <v>41036</v>
      </c>
      <c r="D494">
        <v>2</v>
      </c>
      <c r="E494">
        <v>1</v>
      </c>
      <c r="F494">
        <v>5</v>
      </c>
      <c r="G494">
        <v>1</v>
      </c>
      <c r="H494">
        <v>2</v>
      </c>
      <c r="I494">
        <v>1008</v>
      </c>
      <c r="J494">
        <v>5265</v>
      </c>
      <c r="K494" s="8">
        <v>6273</v>
      </c>
      <c r="L494">
        <v>22.037500000000001</v>
      </c>
      <c r="M494">
        <v>26.357099999999999</v>
      </c>
      <c r="N494">
        <v>66.416700000000006</v>
      </c>
      <c r="O494">
        <v>15.458307</v>
      </c>
      <c r="P494">
        <v>0</v>
      </c>
      <c r="Q494">
        <v>1</v>
      </c>
      <c r="R494">
        <f t="shared" si="196"/>
        <v>0</v>
      </c>
      <c r="S494">
        <f t="shared" si="197"/>
        <v>0</v>
      </c>
      <c r="T494">
        <f t="shared" si="198"/>
        <v>0</v>
      </c>
      <c r="U494">
        <f t="shared" si="199"/>
        <v>0</v>
      </c>
      <c r="V494">
        <f t="shared" si="200"/>
        <v>1</v>
      </c>
      <c r="W494">
        <f t="shared" si="201"/>
        <v>0</v>
      </c>
      <c r="X494">
        <f t="shared" si="202"/>
        <v>0</v>
      </c>
      <c r="Y494">
        <f t="shared" si="203"/>
        <v>0</v>
      </c>
      <c r="Z494">
        <f t="shared" si="204"/>
        <v>0</v>
      </c>
      <c r="AA494">
        <f t="shared" si="205"/>
        <v>0</v>
      </c>
      <c r="AB494">
        <f t="shared" si="206"/>
        <v>0</v>
      </c>
      <c r="AC494">
        <f t="shared" si="207"/>
        <v>0</v>
      </c>
      <c r="AD494">
        <f t="shared" si="208"/>
        <v>0</v>
      </c>
      <c r="AE494">
        <f t="shared" si="209"/>
        <v>1</v>
      </c>
      <c r="AF494">
        <f t="shared" si="210"/>
        <v>0</v>
      </c>
      <c r="AG494">
        <f t="shared" si="211"/>
        <v>0</v>
      </c>
      <c r="AH494">
        <f t="shared" si="212"/>
        <v>0</v>
      </c>
      <c r="AI494">
        <f t="shared" si="213"/>
        <v>0</v>
      </c>
      <c r="AJ494">
        <f t="shared" si="214"/>
        <v>0</v>
      </c>
      <c r="AK494">
        <f t="shared" si="215"/>
        <v>0</v>
      </c>
      <c r="AL494">
        <f t="shared" si="216"/>
        <v>1</v>
      </c>
      <c r="AM494">
        <f t="shared" si="217"/>
        <v>0</v>
      </c>
      <c r="AN494">
        <f t="shared" si="218"/>
        <v>0</v>
      </c>
      <c r="AO494">
        <f t="shared" si="219"/>
        <v>1</v>
      </c>
      <c r="AP494">
        <f t="shared" si="220"/>
        <v>0</v>
      </c>
      <c r="AQ494">
        <f t="shared" si="221"/>
        <v>1</v>
      </c>
      <c r="AR494">
        <f t="shared" si="222"/>
        <v>0</v>
      </c>
      <c r="AS494">
        <f t="shared" si="223"/>
        <v>0</v>
      </c>
    </row>
    <row r="495" spans="2:45" x14ac:dyDescent="0.3">
      <c r="B495">
        <v>494</v>
      </c>
      <c r="C495" s="1">
        <v>41037</v>
      </c>
      <c r="D495">
        <v>2</v>
      </c>
      <c r="E495">
        <v>1</v>
      </c>
      <c r="F495">
        <v>5</v>
      </c>
      <c r="G495">
        <v>2</v>
      </c>
      <c r="H495">
        <v>2</v>
      </c>
      <c r="I495">
        <v>738</v>
      </c>
      <c r="J495">
        <v>4990</v>
      </c>
      <c r="K495" s="8">
        <v>5728</v>
      </c>
      <c r="L495">
        <v>23.848347</v>
      </c>
      <c r="M495">
        <v>27.873550000000002</v>
      </c>
      <c r="N495">
        <v>68.583299999999994</v>
      </c>
      <c r="O495">
        <v>19.833943000000001</v>
      </c>
      <c r="P495">
        <v>0</v>
      </c>
      <c r="Q495">
        <v>1</v>
      </c>
      <c r="R495">
        <f t="shared" si="196"/>
        <v>0</v>
      </c>
      <c r="S495">
        <f t="shared" si="197"/>
        <v>0</v>
      </c>
      <c r="T495">
        <f t="shared" si="198"/>
        <v>0</v>
      </c>
      <c r="U495">
        <f t="shared" si="199"/>
        <v>0</v>
      </c>
      <c r="V495">
        <f t="shared" si="200"/>
        <v>1</v>
      </c>
      <c r="W495">
        <f t="shared" si="201"/>
        <v>0</v>
      </c>
      <c r="X495">
        <f t="shared" si="202"/>
        <v>0</v>
      </c>
      <c r="Y495">
        <f t="shared" si="203"/>
        <v>0</v>
      </c>
      <c r="Z495">
        <f t="shared" si="204"/>
        <v>0</v>
      </c>
      <c r="AA495">
        <f t="shared" si="205"/>
        <v>0</v>
      </c>
      <c r="AB495">
        <f t="shared" si="206"/>
        <v>0</v>
      </c>
      <c r="AC495">
        <f t="shared" si="207"/>
        <v>0</v>
      </c>
      <c r="AD495">
        <f t="shared" si="208"/>
        <v>0</v>
      </c>
      <c r="AE495">
        <f t="shared" si="209"/>
        <v>0</v>
      </c>
      <c r="AF495">
        <f t="shared" si="210"/>
        <v>1</v>
      </c>
      <c r="AG495">
        <f t="shared" si="211"/>
        <v>0</v>
      </c>
      <c r="AH495">
        <f t="shared" si="212"/>
        <v>0</v>
      </c>
      <c r="AI495">
        <f t="shared" si="213"/>
        <v>0</v>
      </c>
      <c r="AJ495">
        <f t="shared" si="214"/>
        <v>0</v>
      </c>
      <c r="AK495">
        <f t="shared" si="215"/>
        <v>0</v>
      </c>
      <c r="AL495">
        <f t="shared" si="216"/>
        <v>1</v>
      </c>
      <c r="AM495">
        <f t="shared" si="217"/>
        <v>0</v>
      </c>
      <c r="AN495">
        <f t="shared" si="218"/>
        <v>0</v>
      </c>
      <c r="AO495">
        <f t="shared" si="219"/>
        <v>1</v>
      </c>
      <c r="AP495">
        <f t="shared" si="220"/>
        <v>0</v>
      </c>
      <c r="AQ495">
        <f t="shared" si="221"/>
        <v>1</v>
      </c>
      <c r="AR495">
        <f t="shared" si="222"/>
        <v>0</v>
      </c>
      <c r="AS495">
        <f t="shared" si="223"/>
        <v>0</v>
      </c>
    </row>
    <row r="496" spans="2:45" x14ac:dyDescent="0.3">
      <c r="B496">
        <v>495</v>
      </c>
      <c r="C496" s="1">
        <v>41038</v>
      </c>
      <c r="D496">
        <v>2</v>
      </c>
      <c r="E496">
        <v>1</v>
      </c>
      <c r="F496">
        <v>5</v>
      </c>
      <c r="G496">
        <v>3</v>
      </c>
      <c r="H496">
        <v>2</v>
      </c>
      <c r="I496">
        <v>620</v>
      </c>
      <c r="J496">
        <v>4097</v>
      </c>
      <c r="K496" s="8">
        <v>4717</v>
      </c>
      <c r="L496">
        <v>23.574999999999999</v>
      </c>
      <c r="M496">
        <v>27.651250000000001</v>
      </c>
      <c r="N496">
        <v>74.416700000000006</v>
      </c>
      <c r="O496">
        <v>14.499604</v>
      </c>
      <c r="P496">
        <v>0</v>
      </c>
      <c r="Q496">
        <v>1</v>
      </c>
      <c r="R496">
        <f t="shared" si="196"/>
        <v>0</v>
      </c>
      <c r="S496">
        <f t="shared" si="197"/>
        <v>0</v>
      </c>
      <c r="T496">
        <f t="shared" si="198"/>
        <v>0</v>
      </c>
      <c r="U496">
        <f t="shared" si="199"/>
        <v>0</v>
      </c>
      <c r="V496">
        <f t="shared" si="200"/>
        <v>1</v>
      </c>
      <c r="W496">
        <f t="shared" si="201"/>
        <v>0</v>
      </c>
      <c r="X496">
        <f t="shared" si="202"/>
        <v>0</v>
      </c>
      <c r="Y496">
        <f t="shared" si="203"/>
        <v>0</v>
      </c>
      <c r="Z496">
        <f t="shared" si="204"/>
        <v>0</v>
      </c>
      <c r="AA496">
        <f t="shared" si="205"/>
        <v>0</v>
      </c>
      <c r="AB496">
        <f t="shared" si="206"/>
        <v>0</v>
      </c>
      <c r="AC496">
        <f t="shared" si="207"/>
        <v>0</v>
      </c>
      <c r="AD496">
        <f t="shared" si="208"/>
        <v>0</v>
      </c>
      <c r="AE496">
        <f t="shared" si="209"/>
        <v>0</v>
      </c>
      <c r="AF496">
        <f t="shared" si="210"/>
        <v>0</v>
      </c>
      <c r="AG496">
        <f t="shared" si="211"/>
        <v>1</v>
      </c>
      <c r="AH496">
        <f t="shared" si="212"/>
        <v>0</v>
      </c>
      <c r="AI496">
        <f t="shared" si="213"/>
        <v>0</v>
      </c>
      <c r="AJ496">
        <f t="shared" si="214"/>
        <v>0</v>
      </c>
      <c r="AK496">
        <f t="shared" si="215"/>
        <v>0</v>
      </c>
      <c r="AL496">
        <f t="shared" si="216"/>
        <v>1</v>
      </c>
      <c r="AM496">
        <f t="shared" si="217"/>
        <v>0</v>
      </c>
      <c r="AN496">
        <f t="shared" si="218"/>
        <v>0</v>
      </c>
      <c r="AO496">
        <f t="shared" si="219"/>
        <v>1</v>
      </c>
      <c r="AP496">
        <f t="shared" si="220"/>
        <v>0</v>
      </c>
      <c r="AQ496">
        <f t="shared" si="221"/>
        <v>1</v>
      </c>
      <c r="AR496">
        <f t="shared" si="222"/>
        <v>0</v>
      </c>
      <c r="AS496">
        <f t="shared" si="223"/>
        <v>0</v>
      </c>
    </row>
    <row r="497" spans="2:45" x14ac:dyDescent="0.3">
      <c r="B497">
        <v>496</v>
      </c>
      <c r="C497" s="1">
        <v>41039</v>
      </c>
      <c r="D497">
        <v>2</v>
      </c>
      <c r="E497">
        <v>1</v>
      </c>
      <c r="F497">
        <v>5</v>
      </c>
      <c r="G497">
        <v>4</v>
      </c>
      <c r="H497">
        <v>1</v>
      </c>
      <c r="I497">
        <v>1026</v>
      </c>
      <c r="J497">
        <v>5546</v>
      </c>
      <c r="K497" s="8">
        <v>6572</v>
      </c>
      <c r="L497">
        <v>20.739153000000002</v>
      </c>
      <c r="M497">
        <v>24.58915</v>
      </c>
      <c r="N497">
        <v>55.208300000000001</v>
      </c>
      <c r="O497">
        <v>21.042221000000001</v>
      </c>
      <c r="P497">
        <v>0</v>
      </c>
      <c r="Q497">
        <v>1</v>
      </c>
      <c r="R497">
        <f t="shared" si="196"/>
        <v>0</v>
      </c>
      <c r="S497">
        <f t="shared" si="197"/>
        <v>0</v>
      </c>
      <c r="T497">
        <f t="shared" si="198"/>
        <v>0</v>
      </c>
      <c r="U497">
        <f t="shared" si="199"/>
        <v>0</v>
      </c>
      <c r="V497">
        <f t="shared" si="200"/>
        <v>1</v>
      </c>
      <c r="W497">
        <f t="shared" si="201"/>
        <v>0</v>
      </c>
      <c r="X497">
        <f t="shared" si="202"/>
        <v>0</v>
      </c>
      <c r="Y497">
        <f t="shared" si="203"/>
        <v>0</v>
      </c>
      <c r="Z497">
        <f t="shared" si="204"/>
        <v>0</v>
      </c>
      <c r="AA497">
        <f t="shared" si="205"/>
        <v>0</v>
      </c>
      <c r="AB497">
        <f t="shared" si="206"/>
        <v>0</v>
      </c>
      <c r="AC497">
        <f t="shared" si="207"/>
        <v>0</v>
      </c>
      <c r="AD497">
        <f t="shared" si="208"/>
        <v>0</v>
      </c>
      <c r="AE497">
        <f t="shared" si="209"/>
        <v>0</v>
      </c>
      <c r="AF497">
        <f t="shared" si="210"/>
        <v>0</v>
      </c>
      <c r="AG497">
        <f t="shared" si="211"/>
        <v>0</v>
      </c>
      <c r="AH497">
        <f t="shared" si="212"/>
        <v>1</v>
      </c>
      <c r="AI497">
        <f t="shared" si="213"/>
        <v>0</v>
      </c>
      <c r="AJ497">
        <f t="shared" si="214"/>
        <v>0</v>
      </c>
      <c r="AK497">
        <f t="shared" si="215"/>
        <v>1</v>
      </c>
      <c r="AL497">
        <f t="shared" si="216"/>
        <v>0</v>
      </c>
      <c r="AM497">
        <f t="shared" si="217"/>
        <v>0</v>
      </c>
      <c r="AN497">
        <f t="shared" si="218"/>
        <v>0</v>
      </c>
      <c r="AO497">
        <f t="shared" si="219"/>
        <v>1</v>
      </c>
      <c r="AP497">
        <f t="shared" si="220"/>
        <v>0</v>
      </c>
      <c r="AQ497">
        <f t="shared" si="221"/>
        <v>1</v>
      </c>
      <c r="AR497">
        <f t="shared" si="222"/>
        <v>0</v>
      </c>
      <c r="AS497">
        <f t="shared" si="223"/>
        <v>0</v>
      </c>
    </row>
    <row r="498" spans="2:45" x14ac:dyDescent="0.3">
      <c r="B498">
        <v>497</v>
      </c>
      <c r="C498" s="1">
        <v>41040</v>
      </c>
      <c r="D498">
        <v>2</v>
      </c>
      <c r="E498">
        <v>1</v>
      </c>
      <c r="F498">
        <v>5</v>
      </c>
      <c r="G498">
        <v>5</v>
      </c>
      <c r="H498">
        <v>1</v>
      </c>
      <c r="I498">
        <v>1319</v>
      </c>
      <c r="J498">
        <v>5711</v>
      </c>
      <c r="K498" s="8">
        <v>7030</v>
      </c>
      <c r="L498">
        <v>21.866652999999999</v>
      </c>
      <c r="M498">
        <v>26.041650000000001</v>
      </c>
      <c r="N498">
        <v>36.041699999999999</v>
      </c>
      <c r="O498">
        <v>15.874779</v>
      </c>
      <c r="P498">
        <v>0</v>
      </c>
      <c r="Q498">
        <v>1</v>
      </c>
      <c r="R498">
        <f t="shared" si="196"/>
        <v>0</v>
      </c>
      <c r="S498">
        <f t="shared" si="197"/>
        <v>0</v>
      </c>
      <c r="T498">
        <f t="shared" si="198"/>
        <v>0</v>
      </c>
      <c r="U498">
        <f t="shared" si="199"/>
        <v>0</v>
      </c>
      <c r="V498">
        <f t="shared" si="200"/>
        <v>1</v>
      </c>
      <c r="W498">
        <f t="shared" si="201"/>
        <v>0</v>
      </c>
      <c r="X498">
        <f t="shared" si="202"/>
        <v>0</v>
      </c>
      <c r="Y498">
        <f t="shared" si="203"/>
        <v>0</v>
      </c>
      <c r="Z498">
        <f t="shared" si="204"/>
        <v>0</v>
      </c>
      <c r="AA498">
        <f t="shared" si="205"/>
        <v>0</v>
      </c>
      <c r="AB498">
        <f t="shared" si="206"/>
        <v>0</v>
      </c>
      <c r="AC498">
        <f t="shared" si="207"/>
        <v>0</v>
      </c>
      <c r="AD498">
        <f t="shared" si="208"/>
        <v>0</v>
      </c>
      <c r="AE498">
        <f t="shared" si="209"/>
        <v>0</v>
      </c>
      <c r="AF498">
        <f t="shared" si="210"/>
        <v>0</v>
      </c>
      <c r="AG498">
        <f t="shared" si="211"/>
        <v>0</v>
      </c>
      <c r="AH498">
        <f t="shared" si="212"/>
        <v>0</v>
      </c>
      <c r="AI498">
        <f t="shared" si="213"/>
        <v>1</v>
      </c>
      <c r="AJ498">
        <f t="shared" si="214"/>
        <v>0</v>
      </c>
      <c r="AK498">
        <f t="shared" si="215"/>
        <v>1</v>
      </c>
      <c r="AL498">
        <f t="shared" si="216"/>
        <v>0</v>
      </c>
      <c r="AM498">
        <f t="shared" si="217"/>
        <v>0</v>
      </c>
      <c r="AN498">
        <f t="shared" si="218"/>
        <v>0</v>
      </c>
      <c r="AO498">
        <f t="shared" si="219"/>
        <v>1</v>
      </c>
      <c r="AP498">
        <f t="shared" si="220"/>
        <v>0</v>
      </c>
      <c r="AQ498">
        <f t="shared" si="221"/>
        <v>1</v>
      </c>
      <c r="AR498">
        <f t="shared" si="222"/>
        <v>0</v>
      </c>
      <c r="AS498">
        <f t="shared" si="223"/>
        <v>0</v>
      </c>
    </row>
    <row r="499" spans="2:45" x14ac:dyDescent="0.3">
      <c r="B499">
        <v>498</v>
      </c>
      <c r="C499" s="1">
        <v>41041</v>
      </c>
      <c r="D499">
        <v>2</v>
      </c>
      <c r="E499">
        <v>1</v>
      </c>
      <c r="F499">
        <v>5</v>
      </c>
      <c r="G499">
        <v>6</v>
      </c>
      <c r="H499">
        <v>1</v>
      </c>
      <c r="I499">
        <v>2622</v>
      </c>
      <c r="J499">
        <v>4807</v>
      </c>
      <c r="K499" s="8">
        <v>7429</v>
      </c>
      <c r="L499">
        <v>23.130846999999999</v>
      </c>
      <c r="M499">
        <v>27.240849999999998</v>
      </c>
      <c r="N499">
        <v>48.041699999999999</v>
      </c>
      <c r="O499">
        <v>8.2499110000000009</v>
      </c>
      <c r="P499">
        <v>0</v>
      </c>
      <c r="Q499">
        <v>0</v>
      </c>
      <c r="R499">
        <f t="shared" si="196"/>
        <v>0</v>
      </c>
      <c r="S499">
        <f t="shared" si="197"/>
        <v>0</v>
      </c>
      <c r="T499">
        <f t="shared" si="198"/>
        <v>0</v>
      </c>
      <c r="U499">
        <f t="shared" si="199"/>
        <v>0</v>
      </c>
      <c r="V499">
        <f t="shared" si="200"/>
        <v>1</v>
      </c>
      <c r="W499">
        <f t="shared" si="201"/>
        <v>0</v>
      </c>
      <c r="X499">
        <f t="shared" si="202"/>
        <v>0</v>
      </c>
      <c r="Y499">
        <f t="shared" si="203"/>
        <v>0</v>
      </c>
      <c r="Z499">
        <f t="shared" si="204"/>
        <v>0</v>
      </c>
      <c r="AA499">
        <f t="shared" si="205"/>
        <v>0</v>
      </c>
      <c r="AB499">
        <f t="shared" si="206"/>
        <v>0</v>
      </c>
      <c r="AC499">
        <f t="shared" si="207"/>
        <v>0</v>
      </c>
      <c r="AD499">
        <f t="shared" si="208"/>
        <v>0</v>
      </c>
      <c r="AE499">
        <f t="shared" si="209"/>
        <v>0</v>
      </c>
      <c r="AF499">
        <f t="shared" si="210"/>
        <v>0</v>
      </c>
      <c r="AG499">
        <f t="shared" si="211"/>
        <v>0</v>
      </c>
      <c r="AH499">
        <f t="shared" si="212"/>
        <v>0</v>
      </c>
      <c r="AI499">
        <f t="shared" si="213"/>
        <v>0</v>
      </c>
      <c r="AJ499">
        <f t="shared" si="214"/>
        <v>1</v>
      </c>
      <c r="AK499">
        <f t="shared" si="215"/>
        <v>1</v>
      </c>
      <c r="AL499">
        <f t="shared" si="216"/>
        <v>0</v>
      </c>
      <c r="AM499">
        <f t="shared" si="217"/>
        <v>0</v>
      </c>
      <c r="AN499">
        <f t="shared" si="218"/>
        <v>0</v>
      </c>
      <c r="AO499">
        <f t="shared" si="219"/>
        <v>1</v>
      </c>
      <c r="AP499">
        <f t="shared" si="220"/>
        <v>0</v>
      </c>
      <c r="AQ499">
        <f t="shared" si="221"/>
        <v>1</v>
      </c>
      <c r="AR499">
        <f t="shared" si="222"/>
        <v>0</v>
      </c>
      <c r="AS499">
        <f t="shared" si="223"/>
        <v>0</v>
      </c>
    </row>
    <row r="500" spans="2:45" x14ac:dyDescent="0.3">
      <c r="B500">
        <v>499</v>
      </c>
      <c r="C500" s="1">
        <v>41042</v>
      </c>
      <c r="D500">
        <v>2</v>
      </c>
      <c r="E500">
        <v>1</v>
      </c>
      <c r="F500">
        <v>5</v>
      </c>
      <c r="G500">
        <v>0</v>
      </c>
      <c r="H500">
        <v>1</v>
      </c>
      <c r="I500">
        <v>2172</v>
      </c>
      <c r="J500">
        <v>3946</v>
      </c>
      <c r="K500" s="8">
        <v>6118</v>
      </c>
      <c r="L500">
        <v>25.112500000000001</v>
      </c>
      <c r="M500">
        <v>29.261900000000001</v>
      </c>
      <c r="N500">
        <v>57.625</v>
      </c>
      <c r="O500">
        <v>15.082839</v>
      </c>
      <c r="P500">
        <v>0</v>
      </c>
      <c r="Q500">
        <v>0</v>
      </c>
      <c r="R500">
        <f t="shared" si="196"/>
        <v>0</v>
      </c>
      <c r="S500">
        <f t="shared" si="197"/>
        <v>0</v>
      </c>
      <c r="T500">
        <f t="shared" si="198"/>
        <v>0</v>
      </c>
      <c r="U500">
        <f t="shared" si="199"/>
        <v>0</v>
      </c>
      <c r="V500">
        <f t="shared" si="200"/>
        <v>1</v>
      </c>
      <c r="W500">
        <f t="shared" si="201"/>
        <v>0</v>
      </c>
      <c r="X500">
        <f t="shared" si="202"/>
        <v>0</v>
      </c>
      <c r="Y500">
        <f t="shared" si="203"/>
        <v>0</v>
      </c>
      <c r="Z500">
        <f t="shared" si="204"/>
        <v>0</v>
      </c>
      <c r="AA500">
        <f t="shared" si="205"/>
        <v>0</v>
      </c>
      <c r="AB500">
        <f t="shared" si="206"/>
        <v>0</v>
      </c>
      <c r="AC500">
        <f t="shared" si="207"/>
        <v>0</v>
      </c>
      <c r="AD500">
        <f t="shared" si="208"/>
        <v>1</v>
      </c>
      <c r="AE500">
        <f t="shared" si="209"/>
        <v>0</v>
      </c>
      <c r="AF500">
        <f t="shared" si="210"/>
        <v>0</v>
      </c>
      <c r="AG500">
        <f t="shared" si="211"/>
        <v>0</v>
      </c>
      <c r="AH500">
        <f t="shared" si="212"/>
        <v>0</v>
      </c>
      <c r="AI500">
        <f t="shared" si="213"/>
        <v>0</v>
      </c>
      <c r="AJ500">
        <f t="shared" si="214"/>
        <v>0</v>
      </c>
      <c r="AK500">
        <f t="shared" si="215"/>
        <v>1</v>
      </c>
      <c r="AL500">
        <f t="shared" si="216"/>
        <v>0</v>
      </c>
      <c r="AM500">
        <f t="shared" si="217"/>
        <v>0</v>
      </c>
      <c r="AN500">
        <f t="shared" si="218"/>
        <v>0</v>
      </c>
      <c r="AO500">
        <f t="shared" si="219"/>
        <v>1</v>
      </c>
      <c r="AP500">
        <f t="shared" si="220"/>
        <v>0</v>
      </c>
      <c r="AQ500">
        <f t="shared" si="221"/>
        <v>1</v>
      </c>
      <c r="AR500">
        <f t="shared" si="222"/>
        <v>0</v>
      </c>
      <c r="AS500">
        <f t="shared" si="223"/>
        <v>0</v>
      </c>
    </row>
    <row r="501" spans="2:45" x14ac:dyDescent="0.3">
      <c r="B501">
        <v>500</v>
      </c>
      <c r="C501" s="1">
        <v>41043</v>
      </c>
      <c r="D501">
        <v>2</v>
      </c>
      <c r="E501">
        <v>1</v>
      </c>
      <c r="F501">
        <v>5</v>
      </c>
      <c r="G501">
        <v>1</v>
      </c>
      <c r="H501">
        <v>2</v>
      </c>
      <c r="I501">
        <v>342</v>
      </c>
      <c r="J501">
        <v>2501</v>
      </c>
      <c r="K501" s="8">
        <v>2843</v>
      </c>
      <c r="L501">
        <v>23.506653</v>
      </c>
      <c r="M501">
        <v>27.495000000000001</v>
      </c>
      <c r="N501">
        <v>78.958299999999994</v>
      </c>
      <c r="O501">
        <v>14.250363999999999</v>
      </c>
      <c r="P501">
        <v>0</v>
      </c>
      <c r="Q501">
        <v>1</v>
      </c>
      <c r="R501">
        <f t="shared" si="196"/>
        <v>0</v>
      </c>
      <c r="S501">
        <f t="shared" si="197"/>
        <v>0</v>
      </c>
      <c r="T501">
        <f t="shared" si="198"/>
        <v>0</v>
      </c>
      <c r="U501">
        <f t="shared" si="199"/>
        <v>0</v>
      </c>
      <c r="V501">
        <f t="shared" si="200"/>
        <v>1</v>
      </c>
      <c r="W501">
        <f t="shared" si="201"/>
        <v>0</v>
      </c>
      <c r="X501">
        <f t="shared" si="202"/>
        <v>0</v>
      </c>
      <c r="Y501">
        <f t="shared" si="203"/>
        <v>0</v>
      </c>
      <c r="Z501">
        <f t="shared" si="204"/>
        <v>0</v>
      </c>
      <c r="AA501">
        <f t="shared" si="205"/>
        <v>0</v>
      </c>
      <c r="AB501">
        <f t="shared" si="206"/>
        <v>0</v>
      </c>
      <c r="AC501">
        <f t="shared" si="207"/>
        <v>0</v>
      </c>
      <c r="AD501">
        <f t="shared" si="208"/>
        <v>0</v>
      </c>
      <c r="AE501">
        <f t="shared" si="209"/>
        <v>1</v>
      </c>
      <c r="AF501">
        <f t="shared" si="210"/>
        <v>0</v>
      </c>
      <c r="AG501">
        <f t="shared" si="211"/>
        <v>0</v>
      </c>
      <c r="AH501">
        <f t="shared" si="212"/>
        <v>0</v>
      </c>
      <c r="AI501">
        <f t="shared" si="213"/>
        <v>0</v>
      </c>
      <c r="AJ501">
        <f t="shared" si="214"/>
        <v>0</v>
      </c>
      <c r="AK501">
        <f t="shared" si="215"/>
        <v>0</v>
      </c>
      <c r="AL501">
        <f t="shared" si="216"/>
        <v>1</v>
      </c>
      <c r="AM501">
        <f t="shared" si="217"/>
        <v>0</v>
      </c>
      <c r="AN501">
        <f t="shared" si="218"/>
        <v>0</v>
      </c>
      <c r="AO501">
        <f t="shared" si="219"/>
        <v>1</v>
      </c>
      <c r="AP501">
        <f t="shared" si="220"/>
        <v>0</v>
      </c>
      <c r="AQ501">
        <f t="shared" si="221"/>
        <v>1</v>
      </c>
      <c r="AR501">
        <f t="shared" si="222"/>
        <v>0</v>
      </c>
      <c r="AS501">
        <f t="shared" si="223"/>
        <v>0</v>
      </c>
    </row>
    <row r="502" spans="2:45" x14ac:dyDescent="0.3">
      <c r="B502">
        <v>501</v>
      </c>
      <c r="C502" s="1">
        <v>41044</v>
      </c>
      <c r="D502">
        <v>2</v>
      </c>
      <c r="E502">
        <v>1</v>
      </c>
      <c r="F502">
        <v>5</v>
      </c>
      <c r="G502">
        <v>2</v>
      </c>
      <c r="H502">
        <v>2</v>
      </c>
      <c r="I502">
        <v>625</v>
      </c>
      <c r="J502">
        <v>4490</v>
      </c>
      <c r="K502" s="8">
        <v>5115</v>
      </c>
      <c r="L502">
        <v>25.078347000000001</v>
      </c>
      <c r="M502">
        <v>28.8202</v>
      </c>
      <c r="N502">
        <v>79.458299999999994</v>
      </c>
      <c r="O502">
        <v>9.8752639999999996</v>
      </c>
      <c r="P502">
        <v>0</v>
      </c>
      <c r="Q502">
        <v>1</v>
      </c>
      <c r="R502">
        <f t="shared" si="196"/>
        <v>0</v>
      </c>
      <c r="S502">
        <f t="shared" si="197"/>
        <v>0</v>
      </c>
      <c r="T502">
        <f t="shared" si="198"/>
        <v>0</v>
      </c>
      <c r="U502">
        <f t="shared" si="199"/>
        <v>0</v>
      </c>
      <c r="V502">
        <f t="shared" si="200"/>
        <v>1</v>
      </c>
      <c r="W502">
        <f t="shared" si="201"/>
        <v>0</v>
      </c>
      <c r="X502">
        <f t="shared" si="202"/>
        <v>0</v>
      </c>
      <c r="Y502">
        <f t="shared" si="203"/>
        <v>0</v>
      </c>
      <c r="Z502">
        <f t="shared" si="204"/>
        <v>0</v>
      </c>
      <c r="AA502">
        <f t="shared" si="205"/>
        <v>0</v>
      </c>
      <c r="AB502">
        <f t="shared" si="206"/>
        <v>0</v>
      </c>
      <c r="AC502">
        <f t="shared" si="207"/>
        <v>0</v>
      </c>
      <c r="AD502">
        <f t="shared" si="208"/>
        <v>0</v>
      </c>
      <c r="AE502">
        <f t="shared" si="209"/>
        <v>0</v>
      </c>
      <c r="AF502">
        <f t="shared" si="210"/>
        <v>1</v>
      </c>
      <c r="AG502">
        <f t="shared" si="211"/>
        <v>0</v>
      </c>
      <c r="AH502">
        <f t="shared" si="212"/>
        <v>0</v>
      </c>
      <c r="AI502">
        <f t="shared" si="213"/>
        <v>0</v>
      </c>
      <c r="AJ502">
        <f t="shared" si="214"/>
        <v>0</v>
      </c>
      <c r="AK502">
        <f t="shared" si="215"/>
        <v>0</v>
      </c>
      <c r="AL502">
        <f t="shared" si="216"/>
        <v>1</v>
      </c>
      <c r="AM502">
        <f t="shared" si="217"/>
        <v>0</v>
      </c>
      <c r="AN502">
        <f t="shared" si="218"/>
        <v>0</v>
      </c>
      <c r="AO502">
        <f t="shared" si="219"/>
        <v>1</v>
      </c>
      <c r="AP502">
        <f t="shared" si="220"/>
        <v>0</v>
      </c>
      <c r="AQ502">
        <f t="shared" si="221"/>
        <v>1</v>
      </c>
      <c r="AR502">
        <f t="shared" si="222"/>
        <v>0</v>
      </c>
      <c r="AS502">
        <f t="shared" si="223"/>
        <v>0</v>
      </c>
    </row>
    <row r="503" spans="2:45" x14ac:dyDescent="0.3">
      <c r="B503">
        <v>502</v>
      </c>
      <c r="C503" s="1">
        <v>41045</v>
      </c>
      <c r="D503">
        <v>2</v>
      </c>
      <c r="E503">
        <v>1</v>
      </c>
      <c r="F503">
        <v>5</v>
      </c>
      <c r="G503">
        <v>3</v>
      </c>
      <c r="H503">
        <v>1</v>
      </c>
      <c r="I503">
        <v>991</v>
      </c>
      <c r="J503">
        <v>6433</v>
      </c>
      <c r="K503" s="8">
        <v>7424</v>
      </c>
      <c r="L503">
        <v>26.103346999999999</v>
      </c>
      <c r="M503">
        <v>29.798749999999998</v>
      </c>
      <c r="N503">
        <v>69.791700000000006</v>
      </c>
      <c r="O503">
        <v>8.208304</v>
      </c>
      <c r="P503">
        <v>0</v>
      </c>
      <c r="Q503">
        <v>1</v>
      </c>
      <c r="R503">
        <f t="shared" si="196"/>
        <v>0</v>
      </c>
      <c r="S503">
        <f t="shared" si="197"/>
        <v>0</v>
      </c>
      <c r="T503">
        <f t="shared" si="198"/>
        <v>0</v>
      </c>
      <c r="U503">
        <f t="shared" si="199"/>
        <v>0</v>
      </c>
      <c r="V503">
        <f t="shared" si="200"/>
        <v>1</v>
      </c>
      <c r="W503">
        <f t="shared" si="201"/>
        <v>0</v>
      </c>
      <c r="X503">
        <f t="shared" si="202"/>
        <v>0</v>
      </c>
      <c r="Y503">
        <f t="shared" si="203"/>
        <v>0</v>
      </c>
      <c r="Z503">
        <f t="shared" si="204"/>
        <v>0</v>
      </c>
      <c r="AA503">
        <f t="shared" si="205"/>
        <v>0</v>
      </c>
      <c r="AB503">
        <f t="shared" si="206"/>
        <v>0</v>
      </c>
      <c r="AC503">
        <f t="shared" si="207"/>
        <v>0</v>
      </c>
      <c r="AD503">
        <f t="shared" si="208"/>
        <v>0</v>
      </c>
      <c r="AE503">
        <f t="shared" si="209"/>
        <v>0</v>
      </c>
      <c r="AF503">
        <f t="shared" si="210"/>
        <v>0</v>
      </c>
      <c r="AG503">
        <f t="shared" si="211"/>
        <v>1</v>
      </c>
      <c r="AH503">
        <f t="shared" si="212"/>
        <v>0</v>
      </c>
      <c r="AI503">
        <f t="shared" si="213"/>
        <v>0</v>
      </c>
      <c r="AJ503">
        <f t="shared" si="214"/>
        <v>0</v>
      </c>
      <c r="AK503">
        <f t="shared" si="215"/>
        <v>1</v>
      </c>
      <c r="AL503">
        <f t="shared" si="216"/>
        <v>0</v>
      </c>
      <c r="AM503">
        <f t="shared" si="217"/>
        <v>0</v>
      </c>
      <c r="AN503">
        <f t="shared" si="218"/>
        <v>0</v>
      </c>
      <c r="AO503">
        <f t="shared" si="219"/>
        <v>1</v>
      </c>
      <c r="AP503">
        <f t="shared" si="220"/>
        <v>0</v>
      </c>
      <c r="AQ503">
        <f t="shared" si="221"/>
        <v>1</v>
      </c>
      <c r="AR503">
        <f t="shared" si="222"/>
        <v>0</v>
      </c>
      <c r="AS503">
        <f t="shared" si="223"/>
        <v>0</v>
      </c>
    </row>
    <row r="504" spans="2:45" x14ac:dyDescent="0.3">
      <c r="B504">
        <v>503</v>
      </c>
      <c r="C504" s="1">
        <v>41046</v>
      </c>
      <c r="D504">
        <v>2</v>
      </c>
      <c r="E504">
        <v>1</v>
      </c>
      <c r="F504">
        <v>5</v>
      </c>
      <c r="G504">
        <v>4</v>
      </c>
      <c r="H504">
        <v>1</v>
      </c>
      <c r="I504">
        <v>1242</v>
      </c>
      <c r="J504">
        <v>6142</v>
      </c>
      <c r="K504" s="8">
        <v>7384</v>
      </c>
      <c r="L504">
        <v>24.326653</v>
      </c>
      <c r="M504">
        <v>28.630649999999999</v>
      </c>
      <c r="N504">
        <v>52</v>
      </c>
      <c r="O504">
        <v>15.374825</v>
      </c>
      <c r="P504">
        <v>0</v>
      </c>
      <c r="Q504">
        <v>1</v>
      </c>
      <c r="R504">
        <f t="shared" si="196"/>
        <v>0</v>
      </c>
      <c r="S504">
        <f t="shared" si="197"/>
        <v>0</v>
      </c>
      <c r="T504">
        <f t="shared" si="198"/>
        <v>0</v>
      </c>
      <c r="U504">
        <f t="shared" si="199"/>
        <v>0</v>
      </c>
      <c r="V504">
        <f t="shared" si="200"/>
        <v>1</v>
      </c>
      <c r="W504">
        <f t="shared" si="201"/>
        <v>0</v>
      </c>
      <c r="X504">
        <f t="shared" si="202"/>
        <v>0</v>
      </c>
      <c r="Y504">
        <f t="shared" si="203"/>
        <v>0</v>
      </c>
      <c r="Z504">
        <f t="shared" si="204"/>
        <v>0</v>
      </c>
      <c r="AA504">
        <f t="shared" si="205"/>
        <v>0</v>
      </c>
      <c r="AB504">
        <f t="shared" si="206"/>
        <v>0</v>
      </c>
      <c r="AC504">
        <f t="shared" si="207"/>
        <v>0</v>
      </c>
      <c r="AD504">
        <f t="shared" si="208"/>
        <v>0</v>
      </c>
      <c r="AE504">
        <f t="shared" si="209"/>
        <v>0</v>
      </c>
      <c r="AF504">
        <f t="shared" si="210"/>
        <v>0</v>
      </c>
      <c r="AG504">
        <f t="shared" si="211"/>
        <v>0</v>
      </c>
      <c r="AH504">
        <f t="shared" si="212"/>
        <v>1</v>
      </c>
      <c r="AI504">
        <f t="shared" si="213"/>
        <v>0</v>
      </c>
      <c r="AJ504">
        <f t="shared" si="214"/>
        <v>0</v>
      </c>
      <c r="AK504">
        <f t="shared" si="215"/>
        <v>1</v>
      </c>
      <c r="AL504">
        <f t="shared" si="216"/>
        <v>0</v>
      </c>
      <c r="AM504">
        <f t="shared" si="217"/>
        <v>0</v>
      </c>
      <c r="AN504">
        <f t="shared" si="218"/>
        <v>0</v>
      </c>
      <c r="AO504">
        <f t="shared" si="219"/>
        <v>1</v>
      </c>
      <c r="AP504">
        <f t="shared" si="220"/>
        <v>0</v>
      </c>
      <c r="AQ504">
        <f t="shared" si="221"/>
        <v>1</v>
      </c>
      <c r="AR504">
        <f t="shared" si="222"/>
        <v>0</v>
      </c>
      <c r="AS504">
        <f t="shared" si="223"/>
        <v>0</v>
      </c>
    </row>
    <row r="505" spans="2:45" x14ac:dyDescent="0.3">
      <c r="B505">
        <v>504</v>
      </c>
      <c r="C505" s="1">
        <v>41047</v>
      </c>
      <c r="D505">
        <v>2</v>
      </c>
      <c r="E505">
        <v>1</v>
      </c>
      <c r="F505">
        <v>5</v>
      </c>
      <c r="G505">
        <v>5</v>
      </c>
      <c r="H505">
        <v>1</v>
      </c>
      <c r="I505">
        <v>1521</v>
      </c>
      <c r="J505">
        <v>6118</v>
      </c>
      <c r="K505" s="8">
        <v>7639</v>
      </c>
      <c r="L505">
        <v>23.130846999999999</v>
      </c>
      <c r="M505">
        <v>27.556049999999999</v>
      </c>
      <c r="N505">
        <v>52.333300000000001</v>
      </c>
      <c r="O505">
        <v>9.1667389999999997</v>
      </c>
      <c r="P505">
        <v>0</v>
      </c>
      <c r="Q505">
        <v>1</v>
      </c>
      <c r="R505">
        <f t="shared" si="196"/>
        <v>0</v>
      </c>
      <c r="S505">
        <f t="shared" si="197"/>
        <v>0</v>
      </c>
      <c r="T505">
        <f t="shared" si="198"/>
        <v>0</v>
      </c>
      <c r="U505">
        <f t="shared" si="199"/>
        <v>0</v>
      </c>
      <c r="V505">
        <f t="shared" si="200"/>
        <v>1</v>
      </c>
      <c r="W505">
        <f t="shared" si="201"/>
        <v>0</v>
      </c>
      <c r="X505">
        <f t="shared" si="202"/>
        <v>0</v>
      </c>
      <c r="Y505">
        <f t="shared" si="203"/>
        <v>0</v>
      </c>
      <c r="Z505">
        <f t="shared" si="204"/>
        <v>0</v>
      </c>
      <c r="AA505">
        <f t="shared" si="205"/>
        <v>0</v>
      </c>
      <c r="AB505">
        <f t="shared" si="206"/>
        <v>0</v>
      </c>
      <c r="AC505">
        <f t="shared" si="207"/>
        <v>0</v>
      </c>
      <c r="AD505">
        <f t="shared" si="208"/>
        <v>0</v>
      </c>
      <c r="AE505">
        <f t="shared" si="209"/>
        <v>0</v>
      </c>
      <c r="AF505">
        <f t="shared" si="210"/>
        <v>0</v>
      </c>
      <c r="AG505">
        <f t="shared" si="211"/>
        <v>0</v>
      </c>
      <c r="AH505">
        <f t="shared" si="212"/>
        <v>0</v>
      </c>
      <c r="AI505">
        <f t="shared" si="213"/>
        <v>1</v>
      </c>
      <c r="AJ505">
        <f t="shared" si="214"/>
        <v>0</v>
      </c>
      <c r="AK505">
        <f t="shared" si="215"/>
        <v>1</v>
      </c>
      <c r="AL505">
        <f t="shared" si="216"/>
        <v>0</v>
      </c>
      <c r="AM505">
        <f t="shared" si="217"/>
        <v>0</v>
      </c>
      <c r="AN505">
        <f t="shared" si="218"/>
        <v>0</v>
      </c>
      <c r="AO505">
        <f t="shared" si="219"/>
        <v>1</v>
      </c>
      <c r="AP505">
        <f t="shared" si="220"/>
        <v>0</v>
      </c>
      <c r="AQ505">
        <f t="shared" si="221"/>
        <v>1</v>
      </c>
      <c r="AR505">
        <f t="shared" si="222"/>
        <v>0</v>
      </c>
      <c r="AS505">
        <f t="shared" si="223"/>
        <v>0</v>
      </c>
    </row>
    <row r="506" spans="2:45" x14ac:dyDescent="0.3">
      <c r="B506">
        <v>505</v>
      </c>
      <c r="C506" s="1">
        <v>41048</v>
      </c>
      <c r="D506">
        <v>2</v>
      </c>
      <c r="E506">
        <v>1</v>
      </c>
      <c r="F506">
        <v>5</v>
      </c>
      <c r="G506">
        <v>6</v>
      </c>
      <c r="H506">
        <v>1</v>
      </c>
      <c r="I506">
        <v>3410</v>
      </c>
      <c r="J506">
        <v>4884</v>
      </c>
      <c r="K506" s="8">
        <v>8294</v>
      </c>
      <c r="L506">
        <v>24.6</v>
      </c>
      <c r="M506">
        <v>28.345400000000001</v>
      </c>
      <c r="N506">
        <v>45.625</v>
      </c>
      <c r="O506">
        <v>5.6263249999999996</v>
      </c>
      <c r="P506">
        <v>0</v>
      </c>
      <c r="Q506">
        <v>0</v>
      </c>
      <c r="R506">
        <f t="shared" si="196"/>
        <v>0</v>
      </c>
      <c r="S506">
        <f t="shared" si="197"/>
        <v>0</v>
      </c>
      <c r="T506">
        <f t="shared" si="198"/>
        <v>0</v>
      </c>
      <c r="U506">
        <f t="shared" si="199"/>
        <v>0</v>
      </c>
      <c r="V506">
        <f t="shared" si="200"/>
        <v>1</v>
      </c>
      <c r="W506">
        <f t="shared" si="201"/>
        <v>0</v>
      </c>
      <c r="X506">
        <f t="shared" si="202"/>
        <v>0</v>
      </c>
      <c r="Y506">
        <f t="shared" si="203"/>
        <v>0</v>
      </c>
      <c r="Z506">
        <f t="shared" si="204"/>
        <v>0</v>
      </c>
      <c r="AA506">
        <f t="shared" si="205"/>
        <v>0</v>
      </c>
      <c r="AB506">
        <f t="shared" si="206"/>
        <v>0</v>
      </c>
      <c r="AC506">
        <f t="shared" si="207"/>
        <v>0</v>
      </c>
      <c r="AD506">
        <f t="shared" si="208"/>
        <v>0</v>
      </c>
      <c r="AE506">
        <f t="shared" si="209"/>
        <v>0</v>
      </c>
      <c r="AF506">
        <f t="shared" si="210"/>
        <v>0</v>
      </c>
      <c r="AG506">
        <f t="shared" si="211"/>
        <v>0</v>
      </c>
      <c r="AH506">
        <f t="shared" si="212"/>
        <v>0</v>
      </c>
      <c r="AI506">
        <f t="shared" si="213"/>
        <v>0</v>
      </c>
      <c r="AJ506">
        <f t="shared" si="214"/>
        <v>1</v>
      </c>
      <c r="AK506">
        <f t="shared" si="215"/>
        <v>1</v>
      </c>
      <c r="AL506">
        <f t="shared" si="216"/>
        <v>0</v>
      </c>
      <c r="AM506">
        <f t="shared" si="217"/>
        <v>0</v>
      </c>
      <c r="AN506">
        <f t="shared" si="218"/>
        <v>0</v>
      </c>
      <c r="AO506">
        <f t="shared" si="219"/>
        <v>1</v>
      </c>
      <c r="AP506">
        <f t="shared" si="220"/>
        <v>0</v>
      </c>
      <c r="AQ506">
        <f t="shared" si="221"/>
        <v>1</v>
      </c>
      <c r="AR506">
        <f t="shared" si="222"/>
        <v>0</v>
      </c>
      <c r="AS506">
        <f t="shared" si="223"/>
        <v>0</v>
      </c>
    </row>
    <row r="507" spans="2:45" x14ac:dyDescent="0.3">
      <c r="B507">
        <v>506</v>
      </c>
      <c r="C507" s="1">
        <v>41049</v>
      </c>
      <c r="D507">
        <v>2</v>
      </c>
      <c r="E507">
        <v>1</v>
      </c>
      <c r="F507">
        <v>5</v>
      </c>
      <c r="G507">
        <v>0</v>
      </c>
      <c r="H507">
        <v>1</v>
      </c>
      <c r="I507">
        <v>2704</v>
      </c>
      <c r="J507">
        <v>4425</v>
      </c>
      <c r="K507" s="8">
        <v>7129</v>
      </c>
      <c r="L507">
        <v>25.454153000000002</v>
      </c>
      <c r="M507">
        <v>29.198350000000001</v>
      </c>
      <c r="N507">
        <v>53.041699999999999</v>
      </c>
      <c r="O507">
        <v>17.042589</v>
      </c>
      <c r="P507">
        <v>0</v>
      </c>
      <c r="Q507">
        <v>0</v>
      </c>
      <c r="R507">
        <f t="shared" si="196"/>
        <v>0</v>
      </c>
      <c r="S507">
        <f t="shared" si="197"/>
        <v>0</v>
      </c>
      <c r="T507">
        <f t="shared" si="198"/>
        <v>0</v>
      </c>
      <c r="U507">
        <f t="shared" si="199"/>
        <v>0</v>
      </c>
      <c r="V507">
        <f t="shared" si="200"/>
        <v>1</v>
      </c>
      <c r="W507">
        <f t="shared" si="201"/>
        <v>0</v>
      </c>
      <c r="X507">
        <f t="shared" si="202"/>
        <v>0</v>
      </c>
      <c r="Y507">
        <f t="shared" si="203"/>
        <v>0</v>
      </c>
      <c r="Z507">
        <f t="shared" si="204"/>
        <v>0</v>
      </c>
      <c r="AA507">
        <f t="shared" si="205"/>
        <v>0</v>
      </c>
      <c r="AB507">
        <f t="shared" si="206"/>
        <v>0</v>
      </c>
      <c r="AC507">
        <f t="shared" si="207"/>
        <v>0</v>
      </c>
      <c r="AD507">
        <f t="shared" si="208"/>
        <v>1</v>
      </c>
      <c r="AE507">
        <f t="shared" si="209"/>
        <v>0</v>
      </c>
      <c r="AF507">
        <f t="shared" si="210"/>
        <v>0</v>
      </c>
      <c r="AG507">
        <f t="shared" si="211"/>
        <v>0</v>
      </c>
      <c r="AH507">
        <f t="shared" si="212"/>
        <v>0</v>
      </c>
      <c r="AI507">
        <f t="shared" si="213"/>
        <v>0</v>
      </c>
      <c r="AJ507">
        <f t="shared" si="214"/>
        <v>0</v>
      </c>
      <c r="AK507">
        <f t="shared" si="215"/>
        <v>1</v>
      </c>
      <c r="AL507">
        <f t="shared" si="216"/>
        <v>0</v>
      </c>
      <c r="AM507">
        <f t="shared" si="217"/>
        <v>0</v>
      </c>
      <c r="AN507">
        <f t="shared" si="218"/>
        <v>0</v>
      </c>
      <c r="AO507">
        <f t="shared" si="219"/>
        <v>1</v>
      </c>
      <c r="AP507">
        <f t="shared" si="220"/>
        <v>0</v>
      </c>
      <c r="AQ507">
        <f t="shared" si="221"/>
        <v>1</v>
      </c>
      <c r="AR507">
        <f t="shared" si="222"/>
        <v>0</v>
      </c>
      <c r="AS507">
        <f t="shared" si="223"/>
        <v>0</v>
      </c>
    </row>
    <row r="508" spans="2:45" x14ac:dyDescent="0.3">
      <c r="B508">
        <v>507</v>
      </c>
      <c r="C508" s="1">
        <v>41050</v>
      </c>
      <c r="D508">
        <v>2</v>
      </c>
      <c r="E508">
        <v>1</v>
      </c>
      <c r="F508">
        <v>5</v>
      </c>
      <c r="G508">
        <v>1</v>
      </c>
      <c r="H508">
        <v>2</v>
      </c>
      <c r="I508">
        <v>630</v>
      </c>
      <c r="J508">
        <v>3729</v>
      </c>
      <c r="K508" s="8">
        <v>4359</v>
      </c>
      <c r="L508">
        <v>24.531652999999999</v>
      </c>
      <c r="M508">
        <v>28.283349999999999</v>
      </c>
      <c r="N508">
        <v>81.125</v>
      </c>
      <c r="O508">
        <v>15.624668</v>
      </c>
      <c r="P508">
        <v>0</v>
      </c>
      <c r="Q508">
        <v>1</v>
      </c>
      <c r="R508">
        <f t="shared" si="196"/>
        <v>0</v>
      </c>
      <c r="S508">
        <f t="shared" si="197"/>
        <v>0</v>
      </c>
      <c r="T508">
        <f t="shared" si="198"/>
        <v>0</v>
      </c>
      <c r="U508">
        <f t="shared" si="199"/>
        <v>0</v>
      </c>
      <c r="V508">
        <f t="shared" si="200"/>
        <v>1</v>
      </c>
      <c r="W508">
        <f t="shared" si="201"/>
        <v>0</v>
      </c>
      <c r="X508">
        <f t="shared" si="202"/>
        <v>0</v>
      </c>
      <c r="Y508">
        <f t="shared" si="203"/>
        <v>0</v>
      </c>
      <c r="Z508">
        <f t="shared" si="204"/>
        <v>0</v>
      </c>
      <c r="AA508">
        <f t="shared" si="205"/>
        <v>0</v>
      </c>
      <c r="AB508">
        <f t="shared" si="206"/>
        <v>0</v>
      </c>
      <c r="AC508">
        <f t="shared" si="207"/>
        <v>0</v>
      </c>
      <c r="AD508">
        <f t="shared" si="208"/>
        <v>0</v>
      </c>
      <c r="AE508">
        <f t="shared" si="209"/>
        <v>1</v>
      </c>
      <c r="AF508">
        <f t="shared" si="210"/>
        <v>0</v>
      </c>
      <c r="AG508">
        <f t="shared" si="211"/>
        <v>0</v>
      </c>
      <c r="AH508">
        <f t="shared" si="212"/>
        <v>0</v>
      </c>
      <c r="AI508">
        <f t="shared" si="213"/>
        <v>0</v>
      </c>
      <c r="AJ508">
        <f t="shared" si="214"/>
        <v>0</v>
      </c>
      <c r="AK508">
        <f t="shared" si="215"/>
        <v>0</v>
      </c>
      <c r="AL508">
        <f t="shared" si="216"/>
        <v>1</v>
      </c>
      <c r="AM508">
        <f t="shared" si="217"/>
        <v>0</v>
      </c>
      <c r="AN508">
        <f t="shared" si="218"/>
        <v>0</v>
      </c>
      <c r="AO508">
        <f t="shared" si="219"/>
        <v>1</v>
      </c>
      <c r="AP508">
        <f t="shared" si="220"/>
        <v>0</v>
      </c>
      <c r="AQ508">
        <f t="shared" si="221"/>
        <v>1</v>
      </c>
      <c r="AR508">
        <f t="shared" si="222"/>
        <v>0</v>
      </c>
      <c r="AS508">
        <f t="shared" si="223"/>
        <v>0</v>
      </c>
    </row>
    <row r="509" spans="2:45" x14ac:dyDescent="0.3">
      <c r="B509">
        <v>508</v>
      </c>
      <c r="C509" s="1">
        <v>41051</v>
      </c>
      <c r="D509">
        <v>2</v>
      </c>
      <c r="E509">
        <v>1</v>
      </c>
      <c r="F509">
        <v>5</v>
      </c>
      <c r="G509">
        <v>2</v>
      </c>
      <c r="H509">
        <v>2</v>
      </c>
      <c r="I509">
        <v>819</v>
      </c>
      <c r="J509">
        <v>5254</v>
      </c>
      <c r="K509" s="8">
        <v>6073</v>
      </c>
      <c r="L509">
        <v>25.215</v>
      </c>
      <c r="M509">
        <v>29.041250000000002</v>
      </c>
      <c r="N509">
        <v>76.583299999999994</v>
      </c>
      <c r="O509">
        <v>7.9171889999999996</v>
      </c>
      <c r="P509">
        <v>0</v>
      </c>
      <c r="Q509">
        <v>1</v>
      </c>
      <c r="R509">
        <f t="shared" si="196"/>
        <v>0</v>
      </c>
      <c r="S509">
        <f t="shared" si="197"/>
        <v>0</v>
      </c>
      <c r="T509">
        <f t="shared" si="198"/>
        <v>0</v>
      </c>
      <c r="U509">
        <f t="shared" si="199"/>
        <v>0</v>
      </c>
      <c r="V509">
        <f t="shared" si="200"/>
        <v>1</v>
      </c>
      <c r="W509">
        <f t="shared" si="201"/>
        <v>0</v>
      </c>
      <c r="X509">
        <f t="shared" si="202"/>
        <v>0</v>
      </c>
      <c r="Y509">
        <f t="shared" si="203"/>
        <v>0</v>
      </c>
      <c r="Z509">
        <f t="shared" si="204"/>
        <v>0</v>
      </c>
      <c r="AA509">
        <f t="shared" si="205"/>
        <v>0</v>
      </c>
      <c r="AB509">
        <f t="shared" si="206"/>
        <v>0</v>
      </c>
      <c r="AC509">
        <f t="shared" si="207"/>
        <v>0</v>
      </c>
      <c r="AD509">
        <f t="shared" si="208"/>
        <v>0</v>
      </c>
      <c r="AE509">
        <f t="shared" si="209"/>
        <v>0</v>
      </c>
      <c r="AF509">
        <f t="shared" si="210"/>
        <v>1</v>
      </c>
      <c r="AG509">
        <f t="shared" si="211"/>
        <v>0</v>
      </c>
      <c r="AH509">
        <f t="shared" si="212"/>
        <v>0</v>
      </c>
      <c r="AI509">
        <f t="shared" si="213"/>
        <v>0</v>
      </c>
      <c r="AJ509">
        <f t="shared" si="214"/>
        <v>0</v>
      </c>
      <c r="AK509">
        <f t="shared" si="215"/>
        <v>0</v>
      </c>
      <c r="AL509">
        <f t="shared" si="216"/>
        <v>1</v>
      </c>
      <c r="AM509">
        <f t="shared" si="217"/>
        <v>0</v>
      </c>
      <c r="AN509">
        <f t="shared" si="218"/>
        <v>0</v>
      </c>
      <c r="AO509">
        <f t="shared" si="219"/>
        <v>1</v>
      </c>
      <c r="AP509">
        <f t="shared" si="220"/>
        <v>0</v>
      </c>
      <c r="AQ509">
        <f t="shared" si="221"/>
        <v>1</v>
      </c>
      <c r="AR509">
        <f t="shared" si="222"/>
        <v>0</v>
      </c>
      <c r="AS509">
        <f t="shared" si="223"/>
        <v>0</v>
      </c>
    </row>
    <row r="510" spans="2:45" x14ac:dyDescent="0.3">
      <c r="B510">
        <v>509</v>
      </c>
      <c r="C510" s="1">
        <v>41052</v>
      </c>
      <c r="D510">
        <v>2</v>
      </c>
      <c r="E510">
        <v>1</v>
      </c>
      <c r="F510">
        <v>5</v>
      </c>
      <c r="G510">
        <v>3</v>
      </c>
      <c r="H510">
        <v>2</v>
      </c>
      <c r="I510">
        <v>766</v>
      </c>
      <c r="J510">
        <v>4494</v>
      </c>
      <c r="K510" s="8">
        <v>5260</v>
      </c>
      <c r="L510">
        <v>25.488347000000001</v>
      </c>
      <c r="M510">
        <v>29.230599999999999</v>
      </c>
      <c r="N510">
        <v>77.458299999999994</v>
      </c>
      <c r="O510">
        <v>6.8339999999999996</v>
      </c>
      <c r="P510">
        <v>0</v>
      </c>
      <c r="Q510">
        <v>1</v>
      </c>
      <c r="R510">
        <f t="shared" si="196"/>
        <v>0</v>
      </c>
      <c r="S510">
        <f t="shared" si="197"/>
        <v>0</v>
      </c>
      <c r="T510">
        <f t="shared" si="198"/>
        <v>0</v>
      </c>
      <c r="U510">
        <f t="shared" si="199"/>
        <v>0</v>
      </c>
      <c r="V510">
        <f t="shared" si="200"/>
        <v>1</v>
      </c>
      <c r="W510">
        <f t="shared" si="201"/>
        <v>0</v>
      </c>
      <c r="X510">
        <f t="shared" si="202"/>
        <v>0</v>
      </c>
      <c r="Y510">
        <f t="shared" si="203"/>
        <v>0</v>
      </c>
      <c r="Z510">
        <f t="shared" si="204"/>
        <v>0</v>
      </c>
      <c r="AA510">
        <f t="shared" si="205"/>
        <v>0</v>
      </c>
      <c r="AB510">
        <f t="shared" si="206"/>
        <v>0</v>
      </c>
      <c r="AC510">
        <f t="shared" si="207"/>
        <v>0</v>
      </c>
      <c r="AD510">
        <f t="shared" si="208"/>
        <v>0</v>
      </c>
      <c r="AE510">
        <f t="shared" si="209"/>
        <v>0</v>
      </c>
      <c r="AF510">
        <f t="shared" si="210"/>
        <v>0</v>
      </c>
      <c r="AG510">
        <f t="shared" si="211"/>
        <v>1</v>
      </c>
      <c r="AH510">
        <f t="shared" si="212"/>
        <v>0</v>
      </c>
      <c r="AI510">
        <f t="shared" si="213"/>
        <v>0</v>
      </c>
      <c r="AJ510">
        <f t="shared" si="214"/>
        <v>0</v>
      </c>
      <c r="AK510">
        <f t="shared" si="215"/>
        <v>0</v>
      </c>
      <c r="AL510">
        <f t="shared" si="216"/>
        <v>1</v>
      </c>
      <c r="AM510">
        <f t="shared" si="217"/>
        <v>0</v>
      </c>
      <c r="AN510">
        <f t="shared" si="218"/>
        <v>0</v>
      </c>
      <c r="AO510">
        <f t="shared" si="219"/>
        <v>1</v>
      </c>
      <c r="AP510">
        <f t="shared" si="220"/>
        <v>0</v>
      </c>
      <c r="AQ510">
        <f t="shared" si="221"/>
        <v>1</v>
      </c>
      <c r="AR510">
        <f t="shared" si="222"/>
        <v>0</v>
      </c>
      <c r="AS510">
        <f t="shared" si="223"/>
        <v>0</v>
      </c>
    </row>
    <row r="511" spans="2:45" x14ac:dyDescent="0.3">
      <c r="B511">
        <v>510</v>
      </c>
      <c r="C511" s="1">
        <v>41053</v>
      </c>
      <c r="D511">
        <v>2</v>
      </c>
      <c r="E511">
        <v>1</v>
      </c>
      <c r="F511">
        <v>5</v>
      </c>
      <c r="G511">
        <v>4</v>
      </c>
      <c r="H511">
        <v>1</v>
      </c>
      <c r="I511">
        <v>1059</v>
      </c>
      <c r="J511">
        <v>5711</v>
      </c>
      <c r="K511" s="8">
        <v>6770</v>
      </c>
      <c r="L511">
        <v>26.855</v>
      </c>
      <c r="M511">
        <v>30.335000000000001</v>
      </c>
      <c r="N511">
        <v>71.666700000000006</v>
      </c>
      <c r="O511">
        <v>11.584032000000001</v>
      </c>
      <c r="P511">
        <v>0</v>
      </c>
      <c r="Q511">
        <v>1</v>
      </c>
      <c r="R511">
        <f t="shared" si="196"/>
        <v>0</v>
      </c>
      <c r="S511">
        <f t="shared" si="197"/>
        <v>0</v>
      </c>
      <c r="T511">
        <f t="shared" si="198"/>
        <v>0</v>
      </c>
      <c r="U511">
        <f t="shared" si="199"/>
        <v>0</v>
      </c>
      <c r="V511">
        <f t="shared" si="200"/>
        <v>1</v>
      </c>
      <c r="W511">
        <f t="shared" si="201"/>
        <v>0</v>
      </c>
      <c r="X511">
        <f t="shared" si="202"/>
        <v>0</v>
      </c>
      <c r="Y511">
        <f t="shared" si="203"/>
        <v>0</v>
      </c>
      <c r="Z511">
        <f t="shared" si="204"/>
        <v>0</v>
      </c>
      <c r="AA511">
        <f t="shared" si="205"/>
        <v>0</v>
      </c>
      <c r="AB511">
        <f t="shared" si="206"/>
        <v>0</v>
      </c>
      <c r="AC511">
        <f t="shared" si="207"/>
        <v>0</v>
      </c>
      <c r="AD511">
        <f t="shared" si="208"/>
        <v>0</v>
      </c>
      <c r="AE511">
        <f t="shared" si="209"/>
        <v>0</v>
      </c>
      <c r="AF511">
        <f t="shared" si="210"/>
        <v>0</v>
      </c>
      <c r="AG511">
        <f t="shared" si="211"/>
        <v>0</v>
      </c>
      <c r="AH511">
        <f t="shared" si="212"/>
        <v>1</v>
      </c>
      <c r="AI511">
        <f t="shared" si="213"/>
        <v>0</v>
      </c>
      <c r="AJ511">
        <f t="shared" si="214"/>
        <v>0</v>
      </c>
      <c r="AK511">
        <f t="shared" si="215"/>
        <v>1</v>
      </c>
      <c r="AL511">
        <f t="shared" si="216"/>
        <v>0</v>
      </c>
      <c r="AM511">
        <f t="shared" si="217"/>
        <v>0</v>
      </c>
      <c r="AN511">
        <f t="shared" si="218"/>
        <v>0</v>
      </c>
      <c r="AO511">
        <f t="shared" si="219"/>
        <v>1</v>
      </c>
      <c r="AP511">
        <f t="shared" si="220"/>
        <v>0</v>
      </c>
      <c r="AQ511">
        <f t="shared" si="221"/>
        <v>1</v>
      </c>
      <c r="AR511">
        <f t="shared" si="222"/>
        <v>0</v>
      </c>
      <c r="AS511">
        <f t="shared" si="223"/>
        <v>0</v>
      </c>
    </row>
    <row r="512" spans="2:45" x14ac:dyDescent="0.3">
      <c r="B512">
        <v>511</v>
      </c>
      <c r="C512" s="1">
        <v>41054</v>
      </c>
      <c r="D512">
        <v>2</v>
      </c>
      <c r="E512">
        <v>1</v>
      </c>
      <c r="F512">
        <v>5</v>
      </c>
      <c r="G512">
        <v>5</v>
      </c>
      <c r="H512">
        <v>1</v>
      </c>
      <c r="I512">
        <v>1417</v>
      </c>
      <c r="J512">
        <v>5317</v>
      </c>
      <c r="K512" s="8">
        <v>6734</v>
      </c>
      <c r="L512">
        <v>27.88</v>
      </c>
      <c r="M512">
        <v>31.376449999999998</v>
      </c>
      <c r="N512">
        <v>74.708299999999994</v>
      </c>
      <c r="O512">
        <v>9.4168500000000002</v>
      </c>
      <c r="P512">
        <v>0</v>
      </c>
      <c r="Q512">
        <v>1</v>
      </c>
      <c r="R512">
        <f t="shared" si="196"/>
        <v>0</v>
      </c>
      <c r="S512">
        <f t="shared" si="197"/>
        <v>0</v>
      </c>
      <c r="T512">
        <f t="shared" si="198"/>
        <v>0</v>
      </c>
      <c r="U512">
        <f t="shared" si="199"/>
        <v>0</v>
      </c>
      <c r="V512">
        <f t="shared" si="200"/>
        <v>1</v>
      </c>
      <c r="W512">
        <f t="shared" si="201"/>
        <v>0</v>
      </c>
      <c r="X512">
        <f t="shared" si="202"/>
        <v>0</v>
      </c>
      <c r="Y512">
        <f t="shared" si="203"/>
        <v>0</v>
      </c>
      <c r="Z512">
        <f t="shared" si="204"/>
        <v>0</v>
      </c>
      <c r="AA512">
        <f t="shared" si="205"/>
        <v>0</v>
      </c>
      <c r="AB512">
        <f t="shared" si="206"/>
        <v>0</v>
      </c>
      <c r="AC512">
        <f t="shared" si="207"/>
        <v>0</v>
      </c>
      <c r="AD512">
        <f t="shared" si="208"/>
        <v>0</v>
      </c>
      <c r="AE512">
        <f t="shared" si="209"/>
        <v>0</v>
      </c>
      <c r="AF512">
        <f t="shared" si="210"/>
        <v>0</v>
      </c>
      <c r="AG512">
        <f t="shared" si="211"/>
        <v>0</v>
      </c>
      <c r="AH512">
        <f t="shared" si="212"/>
        <v>0</v>
      </c>
      <c r="AI512">
        <f t="shared" si="213"/>
        <v>1</v>
      </c>
      <c r="AJ512">
        <f t="shared" si="214"/>
        <v>0</v>
      </c>
      <c r="AK512">
        <f t="shared" si="215"/>
        <v>1</v>
      </c>
      <c r="AL512">
        <f t="shared" si="216"/>
        <v>0</v>
      </c>
      <c r="AM512">
        <f t="shared" si="217"/>
        <v>0</v>
      </c>
      <c r="AN512">
        <f t="shared" si="218"/>
        <v>0</v>
      </c>
      <c r="AO512">
        <f t="shared" si="219"/>
        <v>1</v>
      </c>
      <c r="AP512">
        <f t="shared" si="220"/>
        <v>0</v>
      </c>
      <c r="AQ512">
        <f t="shared" si="221"/>
        <v>1</v>
      </c>
      <c r="AR512">
        <f t="shared" si="222"/>
        <v>0</v>
      </c>
      <c r="AS512">
        <f t="shared" si="223"/>
        <v>0</v>
      </c>
    </row>
    <row r="513" spans="2:45" x14ac:dyDescent="0.3">
      <c r="B513">
        <v>512</v>
      </c>
      <c r="C513" s="1">
        <v>41055</v>
      </c>
      <c r="D513">
        <v>2</v>
      </c>
      <c r="E513">
        <v>1</v>
      </c>
      <c r="F513">
        <v>5</v>
      </c>
      <c r="G513">
        <v>6</v>
      </c>
      <c r="H513">
        <v>1</v>
      </c>
      <c r="I513">
        <v>2855</v>
      </c>
      <c r="J513">
        <v>3681</v>
      </c>
      <c r="K513" s="8">
        <v>6536</v>
      </c>
      <c r="L513">
        <v>28.392499999999998</v>
      </c>
      <c r="M513">
        <v>32.134799999999998</v>
      </c>
      <c r="N513">
        <v>73.25</v>
      </c>
      <c r="O513">
        <v>13.332464</v>
      </c>
      <c r="P513">
        <v>0</v>
      </c>
      <c r="Q513">
        <v>0</v>
      </c>
      <c r="R513">
        <f t="shared" si="196"/>
        <v>0</v>
      </c>
      <c r="S513">
        <f t="shared" si="197"/>
        <v>0</v>
      </c>
      <c r="T513">
        <f t="shared" si="198"/>
        <v>0</v>
      </c>
      <c r="U513">
        <f t="shared" si="199"/>
        <v>0</v>
      </c>
      <c r="V513">
        <f t="shared" si="200"/>
        <v>1</v>
      </c>
      <c r="W513">
        <f t="shared" si="201"/>
        <v>0</v>
      </c>
      <c r="X513">
        <f t="shared" si="202"/>
        <v>0</v>
      </c>
      <c r="Y513">
        <f t="shared" si="203"/>
        <v>0</v>
      </c>
      <c r="Z513">
        <f t="shared" si="204"/>
        <v>0</v>
      </c>
      <c r="AA513">
        <f t="shared" si="205"/>
        <v>0</v>
      </c>
      <c r="AB513">
        <f t="shared" si="206"/>
        <v>0</v>
      </c>
      <c r="AC513">
        <f t="shared" si="207"/>
        <v>0</v>
      </c>
      <c r="AD513">
        <f t="shared" si="208"/>
        <v>0</v>
      </c>
      <c r="AE513">
        <f t="shared" si="209"/>
        <v>0</v>
      </c>
      <c r="AF513">
        <f t="shared" si="210"/>
        <v>0</v>
      </c>
      <c r="AG513">
        <f t="shared" si="211"/>
        <v>0</v>
      </c>
      <c r="AH513">
        <f t="shared" si="212"/>
        <v>0</v>
      </c>
      <c r="AI513">
        <f t="shared" si="213"/>
        <v>0</v>
      </c>
      <c r="AJ513">
        <f t="shared" si="214"/>
        <v>1</v>
      </c>
      <c r="AK513">
        <f t="shared" si="215"/>
        <v>1</v>
      </c>
      <c r="AL513">
        <f t="shared" si="216"/>
        <v>0</v>
      </c>
      <c r="AM513">
        <f t="shared" si="217"/>
        <v>0</v>
      </c>
      <c r="AN513">
        <f t="shared" si="218"/>
        <v>0</v>
      </c>
      <c r="AO513">
        <f t="shared" si="219"/>
        <v>1</v>
      </c>
      <c r="AP513">
        <f t="shared" si="220"/>
        <v>0</v>
      </c>
      <c r="AQ513">
        <f t="shared" si="221"/>
        <v>1</v>
      </c>
      <c r="AR513">
        <f t="shared" si="222"/>
        <v>0</v>
      </c>
      <c r="AS513">
        <f t="shared" si="223"/>
        <v>0</v>
      </c>
    </row>
    <row r="514" spans="2:45" x14ac:dyDescent="0.3">
      <c r="B514">
        <v>513</v>
      </c>
      <c r="C514" s="1">
        <v>41056</v>
      </c>
      <c r="D514">
        <v>2</v>
      </c>
      <c r="E514">
        <v>1</v>
      </c>
      <c r="F514">
        <v>5</v>
      </c>
      <c r="G514">
        <v>0</v>
      </c>
      <c r="H514">
        <v>1</v>
      </c>
      <c r="I514">
        <v>3283</v>
      </c>
      <c r="J514">
        <v>3308</v>
      </c>
      <c r="K514" s="8">
        <v>6591</v>
      </c>
      <c r="L514">
        <v>28.29</v>
      </c>
      <c r="M514">
        <v>32.071249999999999</v>
      </c>
      <c r="N514">
        <v>69.708299999999994</v>
      </c>
      <c r="O514">
        <v>14.416456999999999</v>
      </c>
      <c r="P514">
        <v>0</v>
      </c>
      <c r="Q514">
        <v>0</v>
      </c>
      <c r="R514">
        <f t="shared" si="196"/>
        <v>0</v>
      </c>
      <c r="S514">
        <f t="shared" si="197"/>
        <v>0</v>
      </c>
      <c r="T514">
        <f t="shared" si="198"/>
        <v>0</v>
      </c>
      <c r="U514">
        <f t="shared" si="199"/>
        <v>0</v>
      </c>
      <c r="V514">
        <f t="shared" si="200"/>
        <v>1</v>
      </c>
      <c r="W514">
        <f t="shared" si="201"/>
        <v>0</v>
      </c>
      <c r="X514">
        <f t="shared" si="202"/>
        <v>0</v>
      </c>
      <c r="Y514">
        <f t="shared" si="203"/>
        <v>0</v>
      </c>
      <c r="Z514">
        <f t="shared" si="204"/>
        <v>0</v>
      </c>
      <c r="AA514">
        <f t="shared" si="205"/>
        <v>0</v>
      </c>
      <c r="AB514">
        <f t="shared" si="206"/>
        <v>0</v>
      </c>
      <c r="AC514">
        <f t="shared" si="207"/>
        <v>0</v>
      </c>
      <c r="AD514">
        <f t="shared" si="208"/>
        <v>1</v>
      </c>
      <c r="AE514">
        <f t="shared" si="209"/>
        <v>0</v>
      </c>
      <c r="AF514">
        <f t="shared" si="210"/>
        <v>0</v>
      </c>
      <c r="AG514">
        <f t="shared" si="211"/>
        <v>0</v>
      </c>
      <c r="AH514">
        <f t="shared" si="212"/>
        <v>0</v>
      </c>
      <c r="AI514">
        <f t="shared" si="213"/>
        <v>0</v>
      </c>
      <c r="AJ514">
        <f t="shared" si="214"/>
        <v>0</v>
      </c>
      <c r="AK514">
        <f t="shared" si="215"/>
        <v>1</v>
      </c>
      <c r="AL514">
        <f t="shared" si="216"/>
        <v>0</v>
      </c>
      <c r="AM514">
        <f t="shared" si="217"/>
        <v>0</v>
      </c>
      <c r="AN514">
        <f t="shared" si="218"/>
        <v>0</v>
      </c>
      <c r="AO514">
        <f t="shared" si="219"/>
        <v>1</v>
      </c>
      <c r="AP514">
        <f t="shared" si="220"/>
        <v>0</v>
      </c>
      <c r="AQ514">
        <f t="shared" si="221"/>
        <v>1</v>
      </c>
      <c r="AR514">
        <f t="shared" si="222"/>
        <v>0</v>
      </c>
      <c r="AS514">
        <f t="shared" si="223"/>
        <v>0</v>
      </c>
    </row>
    <row r="515" spans="2:45" x14ac:dyDescent="0.3">
      <c r="B515">
        <v>514</v>
      </c>
      <c r="C515" s="1">
        <v>41057</v>
      </c>
      <c r="D515">
        <v>2</v>
      </c>
      <c r="E515">
        <v>1</v>
      </c>
      <c r="F515">
        <v>5</v>
      </c>
      <c r="G515">
        <v>1</v>
      </c>
      <c r="H515">
        <v>1</v>
      </c>
      <c r="I515">
        <v>2557</v>
      </c>
      <c r="J515">
        <v>3486</v>
      </c>
      <c r="K515" s="8">
        <v>6043</v>
      </c>
      <c r="L515">
        <v>29.212499999999999</v>
      </c>
      <c r="M515">
        <v>33.965000000000003</v>
      </c>
      <c r="N515">
        <v>67.625</v>
      </c>
      <c r="O515">
        <v>13.166907</v>
      </c>
      <c r="P515">
        <v>1</v>
      </c>
      <c r="Q515">
        <v>0</v>
      </c>
      <c r="R515">
        <f t="shared" ref="R515:R578" si="224">IF($F515=1,1,0)</f>
        <v>0</v>
      </c>
      <c r="S515">
        <f t="shared" ref="S515:S578" si="225">IF($F515=2,1,0)</f>
        <v>0</v>
      </c>
      <c r="T515">
        <f t="shared" ref="T515:T578" si="226">IF($F515=3,1,0)</f>
        <v>0</v>
      </c>
      <c r="U515">
        <f t="shared" ref="U515:U578" si="227">IF($F515=4,1,0)</f>
        <v>0</v>
      </c>
      <c r="V515">
        <f t="shared" ref="V515:V578" si="228">IF($F515=5,1,0)</f>
        <v>1</v>
      </c>
      <c r="W515">
        <f t="shared" ref="W515:W578" si="229">IF($F515=6,1,0)</f>
        <v>0</v>
      </c>
      <c r="X515">
        <f t="shared" ref="X515:X578" si="230">IF($F515=7,1,0)</f>
        <v>0</v>
      </c>
      <c r="Y515">
        <f t="shared" ref="Y515:Y578" si="231">IF($F515=8,1,0)</f>
        <v>0</v>
      </c>
      <c r="Z515">
        <f t="shared" ref="Z515:Z578" si="232">IF($F515=9,1,0)</f>
        <v>0</v>
      </c>
      <c r="AA515">
        <f t="shared" ref="AA515:AA578" si="233">IF($F515=10,1,0)</f>
        <v>0</v>
      </c>
      <c r="AB515">
        <f t="shared" ref="AB515:AB578" si="234">IF($F515=11,1,0)</f>
        <v>0</v>
      </c>
      <c r="AC515">
        <f t="shared" ref="AC515:AC578" si="235">IF($F515=12,1,0)</f>
        <v>0</v>
      </c>
      <c r="AD515">
        <f t="shared" ref="AD515:AD578" si="236">IF($G515=0,1,0)</f>
        <v>0</v>
      </c>
      <c r="AE515">
        <f t="shared" ref="AE515:AE578" si="237">IF($G515=1,1,0)</f>
        <v>1</v>
      </c>
      <c r="AF515">
        <f t="shared" ref="AF515:AF578" si="238">IF($G515=2,1,0)</f>
        <v>0</v>
      </c>
      <c r="AG515">
        <f t="shared" ref="AG515:AG578" si="239">IF($G515=3,1,0)</f>
        <v>0</v>
      </c>
      <c r="AH515">
        <f t="shared" ref="AH515:AH578" si="240">IF($G515=4,1,0)</f>
        <v>0</v>
      </c>
      <c r="AI515">
        <f t="shared" ref="AI515:AI578" si="241">IF($G515=5,1,0)</f>
        <v>0</v>
      </c>
      <c r="AJ515">
        <f t="shared" ref="AJ515:AJ578" si="242">IF($G515=6,1,0)</f>
        <v>0</v>
      </c>
      <c r="AK515">
        <f t="shared" ref="AK515:AK578" si="243">IF($H515=1,1,0)</f>
        <v>1</v>
      </c>
      <c r="AL515">
        <f t="shared" ref="AL515:AL578" si="244">IF($H515=2,1,0)</f>
        <v>0</v>
      </c>
      <c r="AM515">
        <f t="shared" ref="AM515:AM578" si="245">IF($H515=3,1,0)</f>
        <v>0</v>
      </c>
      <c r="AN515">
        <f t="shared" ref="AN515:AN578" si="246">IF($E515=0,1,0)</f>
        <v>0</v>
      </c>
      <c r="AO515">
        <f t="shared" ref="AO515:AO578" si="247">IF($E515=1,1,0)</f>
        <v>1</v>
      </c>
      <c r="AP515">
        <f t="shared" ref="AP515:AP578" si="248">IF($D515=1,1,0)</f>
        <v>0</v>
      </c>
      <c r="AQ515">
        <f t="shared" ref="AQ515:AQ578" si="249">IF($D515=2,1,0)</f>
        <v>1</v>
      </c>
      <c r="AR515">
        <f t="shared" ref="AR515:AR578" si="250">IF($D515=3,1,0)</f>
        <v>0</v>
      </c>
      <c r="AS515">
        <f t="shared" ref="AS515:AS578" si="251">IF($D515=4,1,0)</f>
        <v>0</v>
      </c>
    </row>
    <row r="516" spans="2:45" x14ac:dyDescent="0.3">
      <c r="B516">
        <v>515</v>
      </c>
      <c r="C516" s="1">
        <v>41058</v>
      </c>
      <c r="D516">
        <v>2</v>
      </c>
      <c r="E516">
        <v>1</v>
      </c>
      <c r="F516">
        <v>5</v>
      </c>
      <c r="G516">
        <v>2</v>
      </c>
      <c r="H516">
        <v>1</v>
      </c>
      <c r="I516">
        <v>880</v>
      </c>
      <c r="J516">
        <v>4863</v>
      </c>
      <c r="K516" s="8">
        <v>5743</v>
      </c>
      <c r="L516">
        <v>29.622499999999999</v>
      </c>
      <c r="M516">
        <v>33.6496</v>
      </c>
      <c r="N516">
        <v>68.458299999999994</v>
      </c>
      <c r="O516">
        <v>19.791799999999999</v>
      </c>
      <c r="P516">
        <v>0</v>
      </c>
      <c r="Q516">
        <v>1</v>
      </c>
      <c r="R516">
        <f t="shared" si="224"/>
        <v>0</v>
      </c>
      <c r="S516">
        <f t="shared" si="225"/>
        <v>0</v>
      </c>
      <c r="T516">
        <f t="shared" si="226"/>
        <v>0</v>
      </c>
      <c r="U516">
        <f t="shared" si="227"/>
        <v>0</v>
      </c>
      <c r="V516">
        <f t="shared" si="228"/>
        <v>1</v>
      </c>
      <c r="W516">
        <f t="shared" si="229"/>
        <v>0</v>
      </c>
      <c r="X516">
        <f t="shared" si="230"/>
        <v>0</v>
      </c>
      <c r="Y516">
        <f t="shared" si="231"/>
        <v>0</v>
      </c>
      <c r="Z516">
        <f t="shared" si="232"/>
        <v>0</v>
      </c>
      <c r="AA516">
        <f t="shared" si="233"/>
        <v>0</v>
      </c>
      <c r="AB516">
        <f t="shared" si="234"/>
        <v>0</v>
      </c>
      <c r="AC516">
        <f t="shared" si="235"/>
        <v>0</v>
      </c>
      <c r="AD516">
        <f t="shared" si="236"/>
        <v>0</v>
      </c>
      <c r="AE516">
        <f t="shared" si="237"/>
        <v>0</v>
      </c>
      <c r="AF516">
        <f t="shared" si="238"/>
        <v>1</v>
      </c>
      <c r="AG516">
        <f t="shared" si="239"/>
        <v>0</v>
      </c>
      <c r="AH516">
        <f t="shared" si="240"/>
        <v>0</v>
      </c>
      <c r="AI516">
        <f t="shared" si="241"/>
        <v>0</v>
      </c>
      <c r="AJ516">
        <f t="shared" si="242"/>
        <v>0</v>
      </c>
      <c r="AK516">
        <f t="shared" si="243"/>
        <v>1</v>
      </c>
      <c r="AL516">
        <f t="shared" si="244"/>
        <v>0</v>
      </c>
      <c r="AM516">
        <f t="shared" si="245"/>
        <v>0</v>
      </c>
      <c r="AN516">
        <f t="shared" si="246"/>
        <v>0</v>
      </c>
      <c r="AO516">
        <f t="shared" si="247"/>
        <v>1</v>
      </c>
      <c r="AP516">
        <f t="shared" si="248"/>
        <v>0</v>
      </c>
      <c r="AQ516">
        <f t="shared" si="249"/>
        <v>1</v>
      </c>
      <c r="AR516">
        <f t="shared" si="250"/>
        <v>0</v>
      </c>
      <c r="AS516">
        <f t="shared" si="251"/>
        <v>0</v>
      </c>
    </row>
    <row r="517" spans="2:45" x14ac:dyDescent="0.3">
      <c r="B517">
        <v>516</v>
      </c>
      <c r="C517" s="1">
        <v>41059</v>
      </c>
      <c r="D517">
        <v>2</v>
      </c>
      <c r="E517">
        <v>1</v>
      </c>
      <c r="F517">
        <v>5</v>
      </c>
      <c r="G517">
        <v>3</v>
      </c>
      <c r="H517">
        <v>2</v>
      </c>
      <c r="I517">
        <v>745</v>
      </c>
      <c r="J517">
        <v>6110</v>
      </c>
      <c r="K517" s="8">
        <v>6855</v>
      </c>
      <c r="L517">
        <v>26.923347</v>
      </c>
      <c r="M517">
        <v>30.556450000000002</v>
      </c>
      <c r="N517">
        <v>67</v>
      </c>
      <c r="O517">
        <v>9.0000429999999998</v>
      </c>
      <c r="P517">
        <v>0</v>
      </c>
      <c r="Q517">
        <v>1</v>
      </c>
      <c r="R517">
        <f t="shared" si="224"/>
        <v>0</v>
      </c>
      <c r="S517">
        <f t="shared" si="225"/>
        <v>0</v>
      </c>
      <c r="T517">
        <f t="shared" si="226"/>
        <v>0</v>
      </c>
      <c r="U517">
        <f t="shared" si="227"/>
        <v>0</v>
      </c>
      <c r="V517">
        <f t="shared" si="228"/>
        <v>1</v>
      </c>
      <c r="W517">
        <f t="shared" si="229"/>
        <v>0</v>
      </c>
      <c r="X517">
        <f t="shared" si="230"/>
        <v>0</v>
      </c>
      <c r="Y517">
        <f t="shared" si="231"/>
        <v>0</v>
      </c>
      <c r="Z517">
        <f t="shared" si="232"/>
        <v>0</v>
      </c>
      <c r="AA517">
        <f t="shared" si="233"/>
        <v>0</v>
      </c>
      <c r="AB517">
        <f t="shared" si="234"/>
        <v>0</v>
      </c>
      <c r="AC517">
        <f t="shared" si="235"/>
        <v>0</v>
      </c>
      <c r="AD517">
        <f t="shared" si="236"/>
        <v>0</v>
      </c>
      <c r="AE517">
        <f t="shared" si="237"/>
        <v>0</v>
      </c>
      <c r="AF517">
        <f t="shared" si="238"/>
        <v>0</v>
      </c>
      <c r="AG517">
        <f t="shared" si="239"/>
        <v>1</v>
      </c>
      <c r="AH517">
        <f t="shared" si="240"/>
        <v>0</v>
      </c>
      <c r="AI517">
        <f t="shared" si="241"/>
        <v>0</v>
      </c>
      <c r="AJ517">
        <f t="shared" si="242"/>
        <v>0</v>
      </c>
      <c r="AK517">
        <f t="shared" si="243"/>
        <v>0</v>
      </c>
      <c r="AL517">
        <f t="shared" si="244"/>
        <v>1</v>
      </c>
      <c r="AM517">
        <f t="shared" si="245"/>
        <v>0</v>
      </c>
      <c r="AN517">
        <f t="shared" si="246"/>
        <v>0</v>
      </c>
      <c r="AO517">
        <f t="shared" si="247"/>
        <v>1</v>
      </c>
      <c r="AP517">
        <f t="shared" si="248"/>
        <v>0</v>
      </c>
      <c r="AQ517">
        <f t="shared" si="249"/>
        <v>1</v>
      </c>
      <c r="AR517">
        <f t="shared" si="250"/>
        <v>0</v>
      </c>
      <c r="AS517">
        <f t="shared" si="251"/>
        <v>0</v>
      </c>
    </row>
    <row r="518" spans="2:45" x14ac:dyDescent="0.3">
      <c r="B518">
        <v>517</v>
      </c>
      <c r="C518" s="1">
        <v>41060</v>
      </c>
      <c r="D518">
        <v>2</v>
      </c>
      <c r="E518">
        <v>1</v>
      </c>
      <c r="F518">
        <v>5</v>
      </c>
      <c r="G518">
        <v>4</v>
      </c>
      <c r="H518">
        <v>1</v>
      </c>
      <c r="I518">
        <v>1100</v>
      </c>
      <c r="J518">
        <v>6238</v>
      </c>
      <c r="K518" s="8">
        <v>7338</v>
      </c>
      <c r="L518">
        <v>27.88</v>
      </c>
      <c r="M518">
        <v>31.56645</v>
      </c>
      <c r="N518">
        <v>49.291699999999999</v>
      </c>
      <c r="O518">
        <v>13.083693</v>
      </c>
      <c r="P518">
        <v>0</v>
      </c>
      <c r="Q518">
        <v>1</v>
      </c>
      <c r="R518">
        <f t="shared" si="224"/>
        <v>0</v>
      </c>
      <c r="S518">
        <f t="shared" si="225"/>
        <v>0</v>
      </c>
      <c r="T518">
        <f t="shared" si="226"/>
        <v>0</v>
      </c>
      <c r="U518">
        <f t="shared" si="227"/>
        <v>0</v>
      </c>
      <c r="V518">
        <f t="shared" si="228"/>
        <v>1</v>
      </c>
      <c r="W518">
        <f t="shared" si="229"/>
        <v>0</v>
      </c>
      <c r="X518">
        <f t="shared" si="230"/>
        <v>0</v>
      </c>
      <c r="Y518">
        <f t="shared" si="231"/>
        <v>0</v>
      </c>
      <c r="Z518">
        <f t="shared" si="232"/>
        <v>0</v>
      </c>
      <c r="AA518">
        <f t="shared" si="233"/>
        <v>0</v>
      </c>
      <c r="AB518">
        <f t="shared" si="234"/>
        <v>0</v>
      </c>
      <c r="AC518">
        <f t="shared" si="235"/>
        <v>0</v>
      </c>
      <c r="AD518">
        <f t="shared" si="236"/>
        <v>0</v>
      </c>
      <c r="AE518">
        <f t="shared" si="237"/>
        <v>0</v>
      </c>
      <c r="AF518">
        <f t="shared" si="238"/>
        <v>0</v>
      </c>
      <c r="AG518">
        <f t="shared" si="239"/>
        <v>0</v>
      </c>
      <c r="AH518">
        <f t="shared" si="240"/>
        <v>1</v>
      </c>
      <c r="AI518">
        <f t="shared" si="241"/>
        <v>0</v>
      </c>
      <c r="AJ518">
        <f t="shared" si="242"/>
        <v>0</v>
      </c>
      <c r="AK518">
        <f t="shared" si="243"/>
        <v>1</v>
      </c>
      <c r="AL518">
        <f t="shared" si="244"/>
        <v>0</v>
      </c>
      <c r="AM518">
        <f t="shared" si="245"/>
        <v>0</v>
      </c>
      <c r="AN518">
        <f t="shared" si="246"/>
        <v>0</v>
      </c>
      <c r="AO518">
        <f t="shared" si="247"/>
        <v>1</v>
      </c>
      <c r="AP518">
        <f t="shared" si="248"/>
        <v>0</v>
      </c>
      <c r="AQ518">
        <f t="shared" si="249"/>
        <v>1</v>
      </c>
      <c r="AR518">
        <f t="shared" si="250"/>
        <v>0</v>
      </c>
      <c r="AS518">
        <f t="shared" si="251"/>
        <v>0</v>
      </c>
    </row>
    <row r="519" spans="2:45" x14ac:dyDescent="0.3">
      <c r="B519">
        <v>518</v>
      </c>
      <c r="C519" s="1">
        <v>41061</v>
      </c>
      <c r="D519">
        <v>2</v>
      </c>
      <c r="E519">
        <v>1</v>
      </c>
      <c r="F519">
        <v>6</v>
      </c>
      <c r="G519">
        <v>5</v>
      </c>
      <c r="H519">
        <v>2</v>
      </c>
      <c r="I519">
        <v>533</v>
      </c>
      <c r="J519">
        <v>3594</v>
      </c>
      <c r="K519" s="8">
        <v>4127</v>
      </c>
      <c r="L519">
        <v>26.820847000000001</v>
      </c>
      <c r="M519">
        <v>30.398099999999999</v>
      </c>
      <c r="N519">
        <v>75.541700000000006</v>
      </c>
      <c r="O519">
        <v>15.916721000000001</v>
      </c>
      <c r="P519">
        <v>0</v>
      </c>
      <c r="Q519">
        <v>1</v>
      </c>
      <c r="R519">
        <f t="shared" si="224"/>
        <v>0</v>
      </c>
      <c r="S519">
        <f t="shared" si="225"/>
        <v>0</v>
      </c>
      <c r="T519">
        <f t="shared" si="226"/>
        <v>0</v>
      </c>
      <c r="U519">
        <f t="shared" si="227"/>
        <v>0</v>
      </c>
      <c r="V519">
        <f t="shared" si="228"/>
        <v>0</v>
      </c>
      <c r="W519">
        <f t="shared" si="229"/>
        <v>1</v>
      </c>
      <c r="X519">
        <f t="shared" si="230"/>
        <v>0</v>
      </c>
      <c r="Y519">
        <f t="shared" si="231"/>
        <v>0</v>
      </c>
      <c r="Z519">
        <f t="shared" si="232"/>
        <v>0</v>
      </c>
      <c r="AA519">
        <f t="shared" si="233"/>
        <v>0</v>
      </c>
      <c r="AB519">
        <f t="shared" si="234"/>
        <v>0</v>
      </c>
      <c r="AC519">
        <f t="shared" si="235"/>
        <v>0</v>
      </c>
      <c r="AD519">
        <f t="shared" si="236"/>
        <v>0</v>
      </c>
      <c r="AE519">
        <f t="shared" si="237"/>
        <v>0</v>
      </c>
      <c r="AF519">
        <f t="shared" si="238"/>
        <v>0</v>
      </c>
      <c r="AG519">
        <f t="shared" si="239"/>
        <v>0</v>
      </c>
      <c r="AH519">
        <f t="shared" si="240"/>
        <v>0</v>
      </c>
      <c r="AI519">
        <f t="shared" si="241"/>
        <v>1</v>
      </c>
      <c r="AJ519">
        <f t="shared" si="242"/>
        <v>0</v>
      </c>
      <c r="AK519">
        <f t="shared" si="243"/>
        <v>0</v>
      </c>
      <c r="AL519">
        <f t="shared" si="244"/>
        <v>1</v>
      </c>
      <c r="AM519">
        <f t="shared" si="245"/>
        <v>0</v>
      </c>
      <c r="AN519">
        <f t="shared" si="246"/>
        <v>0</v>
      </c>
      <c r="AO519">
        <f t="shared" si="247"/>
        <v>1</v>
      </c>
      <c r="AP519">
        <f t="shared" si="248"/>
        <v>0</v>
      </c>
      <c r="AQ519">
        <f t="shared" si="249"/>
        <v>1</v>
      </c>
      <c r="AR519">
        <f t="shared" si="250"/>
        <v>0</v>
      </c>
      <c r="AS519">
        <f t="shared" si="251"/>
        <v>0</v>
      </c>
    </row>
    <row r="520" spans="2:45" x14ac:dyDescent="0.3">
      <c r="B520">
        <v>519</v>
      </c>
      <c r="C520" s="1">
        <v>41062</v>
      </c>
      <c r="D520">
        <v>2</v>
      </c>
      <c r="E520">
        <v>1</v>
      </c>
      <c r="F520">
        <v>6</v>
      </c>
      <c r="G520">
        <v>6</v>
      </c>
      <c r="H520">
        <v>1</v>
      </c>
      <c r="I520">
        <v>2795</v>
      </c>
      <c r="J520">
        <v>5325</v>
      </c>
      <c r="K520" s="8">
        <v>8120</v>
      </c>
      <c r="L520">
        <v>23.916653</v>
      </c>
      <c r="M520">
        <v>28.314399999999999</v>
      </c>
      <c r="N520">
        <v>54.916699999999999</v>
      </c>
      <c r="O520">
        <v>12.499654</v>
      </c>
      <c r="P520">
        <v>0</v>
      </c>
      <c r="Q520">
        <v>0</v>
      </c>
      <c r="R520">
        <f t="shared" si="224"/>
        <v>0</v>
      </c>
      <c r="S520">
        <f t="shared" si="225"/>
        <v>0</v>
      </c>
      <c r="T520">
        <f t="shared" si="226"/>
        <v>0</v>
      </c>
      <c r="U520">
        <f t="shared" si="227"/>
        <v>0</v>
      </c>
      <c r="V520">
        <f t="shared" si="228"/>
        <v>0</v>
      </c>
      <c r="W520">
        <f t="shared" si="229"/>
        <v>1</v>
      </c>
      <c r="X520">
        <f t="shared" si="230"/>
        <v>0</v>
      </c>
      <c r="Y520">
        <f t="shared" si="231"/>
        <v>0</v>
      </c>
      <c r="Z520">
        <f t="shared" si="232"/>
        <v>0</v>
      </c>
      <c r="AA520">
        <f t="shared" si="233"/>
        <v>0</v>
      </c>
      <c r="AB520">
        <f t="shared" si="234"/>
        <v>0</v>
      </c>
      <c r="AC520">
        <f t="shared" si="235"/>
        <v>0</v>
      </c>
      <c r="AD520">
        <f t="shared" si="236"/>
        <v>0</v>
      </c>
      <c r="AE520">
        <f t="shared" si="237"/>
        <v>0</v>
      </c>
      <c r="AF520">
        <f t="shared" si="238"/>
        <v>0</v>
      </c>
      <c r="AG520">
        <f t="shared" si="239"/>
        <v>0</v>
      </c>
      <c r="AH520">
        <f t="shared" si="240"/>
        <v>0</v>
      </c>
      <c r="AI520">
        <f t="shared" si="241"/>
        <v>0</v>
      </c>
      <c r="AJ520">
        <f t="shared" si="242"/>
        <v>1</v>
      </c>
      <c r="AK520">
        <f t="shared" si="243"/>
        <v>1</v>
      </c>
      <c r="AL520">
        <f t="shared" si="244"/>
        <v>0</v>
      </c>
      <c r="AM520">
        <f t="shared" si="245"/>
        <v>0</v>
      </c>
      <c r="AN520">
        <f t="shared" si="246"/>
        <v>0</v>
      </c>
      <c r="AO520">
        <f t="shared" si="247"/>
        <v>1</v>
      </c>
      <c r="AP520">
        <f t="shared" si="248"/>
        <v>0</v>
      </c>
      <c r="AQ520">
        <f t="shared" si="249"/>
        <v>1</v>
      </c>
      <c r="AR520">
        <f t="shared" si="250"/>
        <v>0</v>
      </c>
      <c r="AS520">
        <f t="shared" si="251"/>
        <v>0</v>
      </c>
    </row>
    <row r="521" spans="2:45" x14ac:dyDescent="0.3">
      <c r="B521">
        <v>520</v>
      </c>
      <c r="C521" s="1">
        <v>41063</v>
      </c>
      <c r="D521">
        <v>2</v>
      </c>
      <c r="E521">
        <v>1</v>
      </c>
      <c r="F521">
        <v>6</v>
      </c>
      <c r="G521">
        <v>0</v>
      </c>
      <c r="H521">
        <v>1</v>
      </c>
      <c r="I521">
        <v>2494</v>
      </c>
      <c r="J521">
        <v>5147</v>
      </c>
      <c r="K521" s="8">
        <v>7641</v>
      </c>
      <c r="L521">
        <v>24.702500000000001</v>
      </c>
      <c r="M521">
        <v>28.75665</v>
      </c>
      <c r="N521">
        <v>49.333300000000001</v>
      </c>
      <c r="O521">
        <v>12.333829</v>
      </c>
      <c r="P521">
        <v>0</v>
      </c>
      <c r="Q521">
        <v>0</v>
      </c>
      <c r="R521">
        <f t="shared" si="224"/>
        <v>0</v>
      </c>
      <c r="S521">
        <f t="shared" si="225"/>
        <v>0</v>
      </c>
      <c r="T521">
        <f t="shared" si="226"/>
        <v>0</v>
      </c>
      <c r="U521">
        <f t="shared" si="227"/>
        <v>0</v>
      </c>
      <c r="V521">
        <f t="shared" si="228"/>
        <v>0</v>
      </c>
      <c r="W521">
        <f t="shared" si="229"/>
        <v>1</v>
      </c>
      <c r="X521">
        <f t="shared" si="230"/>
        <v>0</v>
      </c>
      <c r="Y521">
        <f t="shared" si="231"/>
        <v>0</v>
      </c>
      <c r="Z521">
        <f t="shared" si="232"/>
        <v>0</v>
      </c>
      <c r="AA521">
        <f t="shared" si="233"/>
        <v>0</v>
      </c>
      <c r="AB521">
        <f t="shared" si="234"/>
        <v>0</v>
      </c>
      <c r="AC521">
        <f t="shared" si="235"/>
        <v>0</v>
      </c>
      <c r="AD521">
        <f t="shared" si="236"/>
        <v>1</v>
      </c>
      <c r="AE521">
        <f t="shared" si="237"/>
        <v>0</v>
      </c>
      <c r="AF521">
        <f t="shared" si="238"/>
        <v>0</v>
      </c>
      <c r="AG521">
        <f t="shared" si="239"/>
        <v>0</v>
      </c>
      <c r="AH521">
        <f t="shared" si="240"/>
        <v>0</v>
      </c>
      <c r="AI521">
        <f t="shared" si="241"/>
        <v>0</v>
      </c>
      <c r="AJ521">
        <f t="shared" si="242"/>
        <v>0</v>
      </c>
      <c r="AK521">
        <f t="shared" si="243"/>
        <v>1</v>
      </c>
      <c r="AL521">
        <f t="shared" si="244"/>
        <v>0</v>
      </c>
      <c r="AM521">
        <f t="shared" si="245"/>
        <v>0</v>
      </c>
      <c r="AN521">
        <f t="shared" si="246"/>
        <v>0</v>
      </c>
      <c r="AO521">
        <f t="shared" si="247"/>
        <v>1</v>
      </c>
      <c r="AP521">
        <f t="shared" si="248"/>
        <v>0</v>
      </c>
      <c r="AQ521">
        <f t="shared" si="249"/>
        <v>1</v>
      </c>
      <c r="AR521">
        <f t="shared" si="250"/>
        <v>0</v>
      </c>
      <c r="AS521">
        <f t="shared" si="251"/>
        <v>0</v>
      </c>
    </row>
    <row r="522" spans="2:45" x14ac:dyDescent="0.3">
      <c r="B522">
        <v>521</v>
      </c>
      <c r="C522" s="1">
        <v>41064</v>
      </c>
      <c r="D522">
        <v>2</v>
      </c>
      <c r="E522">
        <v>1</v>
      </c>
      <c r="F522">
        <v>6</v>
      </c>
      <c r="G522">
        <v>1</v>
      </c>
      <c r="H522">
        <v>1</v>
      </c>
      <c r="I522">
        <v>1071</v>
      </c>
      <c r="J522">
        <v>5927</v>
      </c>
      <c r="K522" s="8">
        <v>6998</v>
      </c>
      <c r="L522">
        <v>24.497499999999999</v>
      </c>
      <c r="M522">
        <v>28.914149999999999</v>
      </c>
      <c r="N522">
        <v>48.708300000000001</v>
      </c>
      <c r="O522">
        <v>19.083811000000001</v>
      </c>
      <c r="P522">
        <v>0</v>
      </c>
      <c r="Q522">
        <v>1</v>
      </c>
      <c r="R522">
        <f t="shared" si="224"/>
        <v>0</v>
      </c>
      <c r="S522">
        <f t="shared" si="225"/>
        <v>0</v>
      </c>
      <c r="T522">
        <f t="shared" si="226"/>
        <v>0</v>
      </c>
      <c r="U522">
        <f t="shared" si="227"/>
        <v>0</v>
      </c>
      <c r="V522">
        <f t="shared" si="228"/>
        <v>0</v>
      </c>
      <c r="W522">
        <f t="shared" si="229"/>
        <v>1</v>
      </c>
      <c r="X522">
        <f t="shared" si="230"/>
        <v>0</v>
      </c>
      <c r="Y522">
        <f t="shared" si="231"/>
        <v>0</v>
      </c>
      <c r="Z522">
        <f t="shared" si="232"/>
        <v>0</v>
      </c>
      <c r="AA522">
        <f t="shared" si="233"/>
        <v>0</v>
      </c>
      <c r="AB522">
        <f t="shared" si="234"/>
        <v>0</v>
      </c>
      <c r="AC522">
        <f t="shared" si="235"/>
        <v>0</v>
      </c>
      <c r="AD522">
        <f t="shared" si="236"/>
        <v>0</v>
      </c>
      <c r="AE522">
        <f t="shared" si="237"/>
        <v>1</v>
      </c>
      <c r="AF522">
        <f t="shared" si="238"/>
        <v>0</v>
      </c>
      <c r="AG522">
        <f t="shared" si="239"/>
        <v>0</v>
      </c>
      <c r="AH522">
        <f t="shared" si="240"/>
        <v>0</v>
      </c>
      <c r="AI522">
        <f t="shared" si="241"/>
        <v>0</v>
      </c>
      <c r="AJ522">
        <f t="shared" si="242"/>
        <v>0</v>
      </c>
      <c r="AK522">
        <f t="shared" si="243"/>
        <v>1</v>
      </c>
      <c r="AL522">
        <f t="shared" si="244"/>
        <v>0</v>
      </c>
      <c r="AM522">
        <f t="shared" si="245"/>
        <v>0</v>
      </c>
      <c r="AN522">
        <f t="shared" si="246"/>
        <v>0</v>
      </c>
      <c r="AO522">
        <f t="shared" si="247"/>
        <v>1</v>
      </c>
      <c r="AP522">
        <f t="shared" si="248"/>
        <v>0</v>
      </c>
      <c r="AQ522">
        <f t="shared" si="249"/>
        <v>1</v>
      </c>
      <c r="AR522">
        <f t="shared" si="250"/>
        <v>0</v>
      </c>
      <c r="AS522">
        <f t="shared" si="251"/>
        <v>0</v>
      </c>
    </row>
    <row r="523" spans="2:45" x14ac:dyDescent="0.3">
      <c r="B523">
        <v>522</v>
      </c>
      <c r="C523" s="1">
        <v>41065</v>
      </c>
      <c r="D523">
        <v>2</v>
      </c>
      <c r="E523">
        <v>1</v>
      </c>
      <c r="F523">
        <v>6</v>
      </c>
      <c r="G523">
        <v>2</v>
      </c>
      <c r="H523">
        <v>2</v>
      </c>
      <c r="I523">
        <v>968</v>
      </c>
      <c r="J523">
        <v>6033</v>
      </c>
      <c r="K523" s="8">
        <v>7001</v>
      </c>
      <c r="L523">
        <v>22.174153</v>
      </c>
      <c r="M523">
        <v>26.294599999999999</v>
      </c>
      <c r="N523">
        <v>61.333300000000001</v>
      </c>
      <c r="O523">
        <v>14.041525</v>
      </c>
      <c r="P523">
        <v>0</v>
      </c>
      <c r="Q523">
        <v>1</v>
      </c>
      <c r="R523">
        <f t="shared" si="224"/>
        <v>0</v>
      </c>
      <c r="S523">
        <f t="shared" si="225"/>
        <v>0</v>
      </c>
      <c r="T523">
        <f t="shared" si="226"/>
        <v>0</v>
      </c>
      <c r="U523">
        <f t="shared" si="227"/>
        <v>0</v>
      </c>
      <c r="V523">
        <f t="shared" si="228"/>
        <v>0</v>
      </c>
      <c r="W523">
        <f t="shared" si="229"/>
        <v>1</v>
      </c>
      <c r="X523">
        <f t="shared" si="230"/>
        <v>0</v>
      </c>
      <c r="Y523">
        <f t="shared" si="231"/>
        <v>0</v>
      </c>
      <c r="Z523">
        <f t="shared" si="232"/>
        <v>0</v>
      </c>
      <c r="AA523">
        <f t="shared" si="233"/>
        <v>0</v>
      </c>
      <c r="AB523">
        <f t="shared" si="234"/>
        <v>0</v>
      </c>
      <c r="AC523">
        <f t="shared" si="235"/>
        <v>0</v>
      </c>
      <c r="AD523">
        <f t="shared" si="236"/>
        <v>0</v>
      </c>
      <c r="AE523">
        <f t="shared" si="237"/>
        <v>0</v>
      </c>
      <c r="AF523">
        <f t="shared" si="238"/>
        <v>1</v>
      </c>
      <c r="AG523">
        <f t="shared" si="239"/>
        <v>0</v>
      </c>
      <c r="AH523">
        <f t="shared" si="240"/>
        <v>0</v>
      </c>
      <c r="AI523">
        <f t="shared" si="241"/>
        <v>0</v>
      </c>
      <c r="AJ523">
        <f t="shared" si="242"/>
        <v>0</v>
      </c>
      <c r="AK523">
        <f t="shared" si="243"/>
        <v>0</v>
      </c>
      <c r="AL523">
        <f t="shared" si="244"/>
        <v>1</v>
      </c>
      <c r="AM523">
        <f t="shared" si="245"/>
        <v>0</v>
      </c>
      <c r="AN523">
        <f t="shared" si="246"/>
        <v>0</v>
      </c>
      <c r="AO523">
        <f t="shared" si="247"/>
        <v>1</v>
      </c>
      <c r="AP523">
        <f t="shared" si="248"/>
        <v>0</v>
      </c>
      <c r="AQ523">
        <f t="shared" si="249"/>
        <v>1</v>
      </c>
      <c r="AR523">
        <f t="shared" si="250"/>
        <v>0</v>
      </c>
      <c r="AS523">
        <f t="shared" si="251"/>
        <v>0</v>
      </c>
    </row>
    <row r="524" spans="2:45" x14ac:dyDescent="0.3">
      <c r="B524">
        <v>523</v>
      </c>
      <c r="C524" s="1">
        <v>41066</v>
      </c>
      <c r="D524">
        <v>2</v>
      </c>
      <c r="E524">
        <v>1</v>
      </c>
      <c r="F524">
        <v>6</v>
      </c>
      <c r="G524">
        <v>3</v>
      </c>
      <c r="H524">
        <v>1</v>
      </c>
      <c r="I524">
        <v>1027</v>
      </c>
      <c r="J524">
        <v>6028</v>
      </c>
      <c r="K524" s="8">
        <v>7055</v>
      </c>
      <c r="L524">
        <v>22.720846999999999</v>
      </c>
      <c r="M524">
        <v>27.114599999999999</v>
      </c>
      <c r="N524">
        <v>61.125</v>
      </c>
      <c r="O524">
        <v>5.1673749999999998</v>
      </c>
      <c r="P524">
        <v>0</v>
      </c>
      <c r="Q524">
        <v>1</v>
      </c>
      <c r="R524">
        <f t="shared" si="224"/>
        <v>0</v>
      </c>
      <c r="S524">
        <f t="shared" si="225"/>
        <v>0</v>
      </c>
      <c r="T524">
        <f t="shared" si="226"/>
        <v>0</v>
      </c>
      <c r="U524">
        <f t="shared" si="227"/>
        <v>0</v>
      </c>
      <c r="V524">
        <f t="shared" si="228"/>
        <v>0</v>
      </c>
      <c r="W524">
        <f t="shared" si="229"/>
        <v>1</v>
      </c>
      <c r="X524">
        <f t="shared" si="230"/>
        <v>0</v>
      </c>
      <c r="Y524">
        <f t="shared" si="231"/>
        <v>0</v>
      </c>
      <c r="Z524">
        <f t="shared" si="232"/>
        <v>0</v>
      </c>
      <c r="AA524">
        <f t="shared" si="233"/>
        <v>0</v>
      </c>
      <c r="AB524">
        <f t="shared" si="234"/>
        <v>0</v>
      </c>
      <c r="AC524">
        <f t="shared" si="235"/>
        <v>0</v>
      </c>
      <c r="AD524">
        <f t="shared" si="236"/>
        <v>0</v>
      </c>
      <c r="AE524">
        <f t="shared" si="237"/>
        <v>0</v>
      </c>
      <c r="AF524">
        <f t="shared" si="238"/>
        <v>0</v>
      </c>
      <c r="AG524">
        <f t="shared" si="239"/>
        <v>1</v>
      </c>
      <c r="AH524">
        <f t="shared" si="240"/>
        <v>0</v>
      </c>
      <c r="AI524">
        <f t="shared" si="241"/>
        <v>0</v>
      </c>
      <c r="AJ524">
        <f t="shared" si="242"/>
        <v>0</v>
      </c>
      <c r="AK524">
        <f t="shared" si="243"/>
        <v>1</v>
      </c>
      <c r="AL524">
        <f t="shared" si="244"/>
        <v>0</v>
      </c>
      <c r="AM524">
        <f t="shared" si="245"/>
        <v>0</v>
      </c>
      <c r="AN524">
        <f t="shared" si="246"/>
        <v>0</v>
      </c>
      <c r="AO524">
        <f t="shared" si="247"/>
        <v>1</v>
      </c>
      <c r="AP524">
        <f t="shared" si="248"/>
        <v>0</v>
      </c>
      <c r="AQ524">
        <f t="shared" si="249"/>
        <v>1</v>
      </c>
      <c r="AR524">
        <f t="shared" si="250"/>
        <v>0</v>
      </c>
      <c r="AS524">
        <f t="shared" si="251"/>
        <v>0</v>
      </c>
    </row>
    <row r="525" spans="2:45" x14ac:dyDescent="0.3">
      <c r="B525">
        <v>524</v>
      </c>
      <c r="C525" s="1">
        <v>41067</v>
      </c>
      <c r="D525">
        <v>2</v>
      </c>
      <c r="E525">
        <v>1</v>
      </c>
      <c r="F525">
        <v>6</v>
      </c>
      <c r="G525">
        <v>4</v>
      </c>
      <c r="H525">
        <v>1</v>
      </c>
      <c r="I525">
        <v>1038</v>
      </c>
      <c r="J525">
        <v>6456</v>
      </c>
      <c r="K525" s="8">
        <v>7494</v>
      </c>
      <c r="L525">
        <v>24.702500000000001</v>
      </c>
      <c r="M525">
        <v>28.472100000000001</v>
      </c>
      <c r="N525">
        <v>56.708300000000001</v>
      </c>
      <c r="O525">
        <v>10.542450000000001</v>
      </c>
      <c r="P525">
        <v>0</v>
      </c>
      <c r="Q525">
        <v>1</v>
      </c>
      <c r="R525">
        <f t="shared" si="224"/>
        <v>0</v>
      </c>
      <c r="S525">
        <f t="shared" si="225"/>
        <v>0</v>
      </c>
      <c r="T525">
        <f t="shared" si="226"/>
        <v>0</v>
      </c>
      <c r="U525">
        <f t="shared" si="227"/>
        <v>0</v>
      </c>
      <c r="V525">
        <f t="shared" si="228"/>
        <v>0</v>
      </c>
      <c r="W525">
        <f t="shared" si="229"/>
        <v>1</v>
      </c>
      <c r="X525">
        <f t="shared" si="230"/>
        <v>0</v>
      </c>
      <c r="Y525">
        <f t="shared" si="231"/>
        <v>0</v>
      </c>
      <c r="Z525">
        <f t="shared" si="232"/>
        <v>0</v>
      </c>
      <c r="AA525">
        <f t="shared" si="233"/>
        <v>0</v>
      </c>
      <c r="AB525">
        <f t="shared" si="234"/>
        <v>0</v>
      </c>
      <c r="AC525">
        <f t="shared" si="235"/>
        <v>0</v>
      </c>
      <c r="AD525">
        <f t="shared" si="236"/>
        <v>0</v>
      </c>
      <c r="AE525">
        <f t="shared" si="237"/>
        <v>0</v>
      </c>
      <c r="AF525">
        <f t="shared" si="238"/>
        <v>0</v>
      </c>
      <c r="AG525">
        <f t="shared" si="239"/>
        <v>0</v>
      </c>
      <c r="AH525">
        <f t="shared" si="240"/>
        <v>1</v>
      </c>
      <c r="AI525">
        <f t="shared" si="241"/>
        <v>0</v>
      </c>
      <c r="AJ525">
        <f t="shared" si="242"/>
        <v>0</v>
      </c>
      <c r="AK525">
        <f t="shared" si="243"/>
        <v>1</v>
      </c>
      <c r="AL525">
        <f t="shared" si="244"/>
        <v>0</v>
      </c>
      <c r="AM525">
        <f t="shared" si="245"/>
        <v>0</v>
      </c>
      <c r="AN525">
        <f t="shared" si="246"/>
        <v>0</v>
      </c>
      <c r="AO525">
        <f t="shared" si="247"/>
        <v>1</v>
      </c>
      <c r="AP525">
        <f t="shared" si="248"/>
        <v>0</v>
      </c>
      <c r="AQ525">
        <f t="shared" si="249"/>
        <v>1</v>
      </c>
      <c r="AR525">
        <f t="shared" si="250"/>
        <v>0</v>
      </c>
      <c r="AS525">
        <f t="shared" si="251"/>
        <v>0</v>
      </c>
    </row>
    <row r="526" spans="2:45" x14ac:dyDescent="0.3">
      <c r="B526">
        <v>525</v>
      </c>
      <c r="C526" s="1">
        <v>41068</v>
      </c>
      <c r="D526">
        <v>2</v>
      </c>
      <c r="E526">
        <v>1</v>
      </c>
      <c r="F526">
        <v>6</v>
      </c>
      <c r="G526">
        <v>5</v>
      </c>
      <c r="H526">
        <v>1</v>
      </c>
      <c r="I526">
        <v>1488</v>
      </c>
      <c r="J526">
        <v>6248</v>
      </c>
      <c r="K526" s="8">
        <v>7736</v>
      </c>
      <c r="L526">
        <v>26.615846999999999</v>
      </c>
      <c r="M526">
        <v>29.8931</v>
      </c>
      <c r="N526">
        <v>46.791699999999999</v>
      </c>
      <c r="O526">
        <v>11.750660999999999</v>
      </c>
      <c r="P526">
        <v>0</v>
      </c>
      <c r="Q526">
        <v>1</v>
      </c>
      <c r="R526">
        <f t="shared" si="224"/>
        <v>0</v>
      </c>
      <c r="S526">
        <f t="shared" si="225"/>
        <v>0</v>
      </c>
      <c r="T526">
        <f t="shared" si="226"/>
        <v>0</v>
      </c>
      <c r="U526">
        <f t="shared" si="227"/>
        <v>0</v>
      </c>
      <c r="V526">
        <f t="shared" si="228"/>
        <v>0</v>
      </c>
      <c r="W526">
        <f t="shared" si="229"/>
        <v>1</v>
      </c>
      <c r="X526">
        <f t="shared" si="230"/>
        <v>0</v>
      </c>
      <c r="Y526">
        <f t="shared" si="231"/>
        <v>0</v>
      </c>
      <c r="Z526">
        <f t="shared" si="232"/>
        <v>0</v>
      </c>
      <c r="AA526">
        <f t="shared" si="233"/>
        <v>0</v>
      </c>
      <c r="AB526">
        <f t="shared" si="234"/>
        <v>0</v>
      </c>
      <c r="AC526">
        <f t="shared" si="235"/>
        <v>0</v>
      </c>
      <c r="AD526">
        <f t="shared" si="236"/>
        <v>0</v>
      </c>
      <c r="AE526">
        <f t="shared" si="237"/>
        <v>0</v>
      </c>
      <c r="AF526">
        <f t="shared" si="238"/>
        <v>0</v>
      </c>
      <c r="AG526">
        <f t="shared" si="239"/>
        <v>0</v>
      </c>
      <c r="AH526">
        <f t="shared" si="240"/>
        <v>0</v>
      </c>
      <c r="AI526">
        <f t="shared" si="241"/>
        <v>1</v>
      </c>
      <c r="AJ526">
        <f t="shared" si="242"/>
        <v>0</v>
      </c>
      <c r="AK526">
        <f t="shared" si="243"/>
        <v>1</v>
      </c>
      <c r="AL526">
        <f t="shared" si="244"/>
        <v>0</v>
      </c>
      <c r="AM526">
        <f t="shared" si="245"/>
        <v>0</v>
      </c>
      <c r="AN526">
        <f t="shared" si="246"/>
        <v>0</v>
      </c>
      <c r="AO526">
        <f t="shared" si="247"/>
        <v>1</v>
      </c>
      <c r="AP526">
        <f t="shared" si="248"/>
        <v>0</v>
      </c>
      <c r="AQ526">
        <f t="shared" si="249"/>
        <v>1</v>
      </c>
      <c r="AR526">
        <f t="shared" si="250"/>
        <v>0</v>
      </c>
      <c r="AS526">
        <f t="shared" si="251"/>
        <v>0</v>
      </c>
    </row>
    <row r="527" spans="2:45" x14ac:dyDescent="0.3">
      <c r="B527">
        <v>526</v>
      </c>
      <c r="C527" s="1">
        <v>41069</v>
      </c>
      <c r="D527">
        <v>2</v>
      </c>
      <c r="E527">
        <v>1</v>
      </c>
      <c r="F527">
        <v>6</v>
      </c>
      <c r="G527">
        <v>6</v>
      </c>
      <c r="H527">
        <v>1</v>
      </c>
      <c r="I527">
        <v>2708</v>
      </c>
      <c r="J527">
        <v>4790</v>
      </c>
      <c r="K527" s="8">
        <v>7498</v>
      </c>
      <c r="L527">
        <v>29.144152999999999</v>
      </c>
      <c r="M527">
        <v>32.418349999999997</v>
      </c>
      <c r="N527">
        <v>43.708300000000001</v>
      </c>
      <c r="O527">
        <v>9.6672290000000007</v>
      </c>
      <c r="P527">
        <v>0</v>
      </c>
      <c r="Q527">
        <v>0</v>
      </c>
      <c r="R527">
        <f t="shared" si="224"/>
        <v>0</v>
      </c>
      <c r="S527">
        <f t="shared" si="225"/>
        <v>0</v>
      </c>
      <c r="T527">
        <f t="shared" si="226"/>
        <v>0</v>
      </c>
      <c r="U527">
        <f t="shared" si="227"/>
        <v>0</v>
      </c>
      <c r="V527">
        <f t="shared" si="228"/>
        <v>0</v>
      </c>
      <c r="W527">
        <f t="shared" si="229"/>
        <v>1</v>
      </c>
      <c r="X527">
        <f t="shared" si="230"/>
        <v>0</v>
      </c>
      <c r="Y527">
        <f t="shared" si="231"/>
        <v>0</v>
      </c>
      <c r="Z527">
        <f t="shared" si="232"/>
        <v>0</v>
      </c>
      <c r="AA527">
        <f t="shared" si="233"/>
        <v>0</v>
      </c>
      <c r="AB527">
        <f t="shared" si="234"/>
        <v>0</v>
      </c>
      <c r="AC527">
        <f t="shared" si="235"/>
        <v>0</v>
      </c>
      <c r="AD527">
        <f t="shared" si="236"/>
        <v>0</v>
      </c>
      <c r="AE527">
        <f t="shared" si="237"/>
        <v>0</v>
      </c>
      <c r="AF527">
        <f t="shared" si="238"/>
        <v>0</v>
      </c>
      <c r="AG527">
        <f t="shared" si="239"/>
        <v>0</v>
      </c>
      <c r="AH527">
        <f t="shared" si="240"/>
        <v>0</v>
      </c>
      <c r="AI527">
        <f t="shared" si="241"/>
        <v>0</v>
      </c>
      <c r="AJ527">
        <f t="shared" si="242"/>
        <v>1</v>
      </c>
      <c r="AK527">
        <f t="shared" si="243"/>
        <v>1</v>
      </c>
      <c r="AL527">
        <f t="shared" si="244"/>
        <v>0</v>
      </c>
      <c r="AM527">
        <f t="shared" si="245"/>
        <v>0</v>
      </c>
      <c r="AN527">
        <f t="shared" si="246"/>
        <v>0</v>
      </c>
      <c r="AO527">
        <f t="shared" si="247"/>
        <v>1</v>
      </c>
      <c r="AP527">
        <f t="shared" si="248"/>
        <v>0</v>
      </c>
      <c r="AQ527">
        <f t="shared" si="249"/>
        <v>1</v>
      </c>
      <c r="AR527">
        <f t="shared" si="250"/>
        <v>0</v>
      </c>
      <c r="AS527">
        <f t="shared" si="251"/>
        <v>0</v>
      </c>
    </row>
    <row r="528" spans="2:45" x14ac:dyDescent="0.3">
      <c r="B528">
        <v>527</v>
      </c>
      <c r="C528" s="1">
        <v>41070</v>
      </c>
      <c r="D528">
        <v>2</v>
      </c>
      <c r="E528">
        <v>1</v>
      </c>
      <c r="F528">
        <v>6</v>
      </c>
      <c r="G528">
        <v>0</v>
      </c>
      <c r="H528">
        <v>1</v>
      </c>
      <c r="I528">
        <v>2224</v>
      </c>
      <c r="J528">
        <v>4374</v>
      </c>
      <c r="K528" s="8">
        <v>6598</v>
      </c>
      <c r="L528">
        <v>29.793347000000001</v>
      </c>
      <c r="M528">
        <v>33.175849999999997</v>
      </c>
      <c r="N528">
        <v>53.833300000000001</v>
      </c>
      <c r="O528">
        <v>8.9593070000000008</v>
      </c>
      <c r="P528">
        <v>0</v>
      </c>
      <c r="Q528">
        <v>0</v>
      </c>
      <c r="R528">
        <f t="shared" si="224"/>
        <v>0</v>
      </c>
      <c r="S528">
        <f t="shared" si="225"/>
        <v>0</v>
      </c>
      <c r="T528">
        <f t="shared" si="226"/>
        <v>0</v>
      </c>
      <c r="U528">
        <f t="shared" si="227"/>
        <v>0</v>
      </c>
      <c r="V528">
        <f t="shared" si="228"/>
        <v>0</v>
      </c>
      <c r="W528">
        <f t="shared" si="229"/>
        <v>1</v>
      </c>
      <c r="X528">
        <f t="shared" si="230"/>
        <v>0</v>
      </c>
      <c r="Y528">
        <f t="shared" si="231"/>
        <v>0</v>
      </c>
      <c r="Z528">
        <f t="shared" si="232"/>
        <v>0</v>
      </c>
      <c r="AA528">
        <f t="shared" si="233"/>
        <v>0</v>
      </c>
      <c r="AB528">
        <f t="shared" si="234"/>
        <v>0</v>
      </c>
      <c r="AC528">
        <f t="shared" si="235"/>
        <v>0</v>
      </c>
      <c r="AD528">
        <f t="shared" si="236"/>
        <v>1</v>
      </c>
      <c r="AE528">
        <f t="shared" si="237"/>
        <v>0</v>
      </c>
      <c r="AF528">
        <f t="shared" si="238"/>
        <v>0</v>
      </c>
      <c r="AG528">
        <f t="shared" si="239"/>
        <v>0</v>
      </c>
      <c r="AH528">
        <f t="shared" si="240"/>
        <v>0</v>
      </c>
      <c r="AI528">
        <f t="shared" si="241"/>
        <v>0</v>
      </c>
      <c r="AJ528">
        <f t="shared" si="242"/>
        <v>0</v>
      </c>
      <c r="AK528">
        <f t="shared" si="243"/>
        <v>1</v>
      </c>
      <c r="AL528">
        <f t="shared" si="244"/>
        <v>0</v>
      </c>
      <c r="AM528">
        <f t="shared" si="245"/>
        <v>0</v>
      </c>
      <c r="AN528">
        <f t="shared" si="246"/>
        <v>0</v>
      </c>
      <c r="AO528">
        <f t="shared" si="247"/>
        <v>1</v>
      </c>
      <c r="AP528">
        <f t="shared" si="248"/>
        <v>0</v>
      </c>
      <c r="AQ528">
        <f t="shared" si="249"/>
        <v>1</v>
      </c>
      <c r="AR528">
        <f t="shared" si="250"/>
        <v>0</v>
      </c>
      <c r="AS528">
        <f t="shared" si="251"/>
        <v>0</v>
      </c>
    </row>
    <row r="529" spans="2:45" x14ac:dyDescent="0.3">
      <c r="B529">
        <v>528</v>
      </c>
      <c r="C529" s="1">
        <v>41071</v>
      </c>
      <c r="D529">
        <v>2</v>
      </c>
      <c r="E529">
        <v>1</v>
      </c>
      <c r="F529">
        <v>6</v>
      </c>
      <c r="G529">
        <v>1</v>
      </c>
      <c r="H529">
        <v>2</v>
      </c>
      <c r="I529">
        <v>1017</v>
      </c>
      <c r="J529">
        <v>5647</v>
      </c>
      <c r="K529" s="8">
        <v>6664</v>
      </c>
      <c r="L529">
        <v>29.554152999999999</v>
      </c>
      <c r="M529">
        <v>32.986049999999999</v>
      </c>
      <c r="N529">
        <v>58.791699999999999</v>
      </c>
      <c r="O529">
        <v>13.916771000000001</v>
      </c>
      <c r="P529">
        <v>0</v>
      </c>
      <c r="Q529">
        <v>1</v>
      </c>
      <c r="R529">
        <f t="shared" si="224"/>
        <v>0</v>
      </c>
      <c r="S529">
        <f t="shared" si="225"/>
        <v>0</v>
      </c>
      <c r="T529">
        <f t="shared" si="226"/>
        <v>0</v>
      </c>
      <c r="U529">
        <f t="shared" si="227"/>
        <v>0</v>
      </c>
      <c r="V529">
        <f t="shared" si="228"/>
        <v>0</v>
      </c>
      <c r="W529">
        <f t="shared" si="229"/>
        <v>1</v>
      </c>
      <c r="X529">
        <f t="shared" si="230"/>
        <v>0</v>
      </c>
      <c r="Y529">
        <f t="shared" si="231"/>
        <v>0</v>
      </c>
      <c r="Z529">
        <f t="shared" si="232"/>
        <v>0</v>
      </c>
      <c r="AA529">
        <f t="shared" si="233"/>
        <v>0</v>
      </c>
      <c r="AB529">
        <f t="shared" si="234"/>
        <v>0</v>
      </c>
      <c r="AC529">
        <f t="shared" si="235"/>
        <v>0</v>
      </c>
      <c r="AD529">
        <f t="shared" si="236"/>
        <v>0</v>
      </c>
      <c r="AE529">
        <f t="shared" si="237"/>
        <v>1</v>
      </c>
      <c r="AF529">
        <f t="shared" si="238"/>
        <v>0</v>
      </c>
      <c r="AG529">
        <f t="shared" si="239"/>
        <v>0</v>
      </c>
      <c r="AH529">
        <f t="shared" si="240"/>
        <v>0</v>
      </c>
      <c r="AI529">
        <f t="shared" si="241"/>
        <v>0</v>
      </c>
      <c r="AJ529">
        <f t="shared" si="242"/>
        <v>0</v>
      </c>
      <c r="AK529">
        <f t="shared" si="243"/>
        <v>0</v>
      </c>
      <c r="AL529">
        <f t="shared" si="244"/>
        <v>1</v>
      </c>
      <c r="AM529">
        <f t="shared" si="245"/>
        <v>0</v>
      </c>
      <c r="AN529">
        <f t="shared" si="246"/>
        <v>0</v>
      </c>
      <c r="AO529">
        <f t="shared" si="247"/>
        <v>1</v>
      </c>
      <c r="AP529">
        <f t="shared" si="248"/>
        <v>0</v>
      </c>
      <c r="AQ529">
        <f t="shared" si="249"/>
        <v>1</v>
      </c>
      <c r="AR529">
        <f t="shared" si="250"/>
        <v>0</v>
      </c>
      <c r="AS529">
        <f t="shared" si="251"/>
        <v>0</v>
      </c>
    </row>
    <row r="530" spans="2:45" x14ac:dyDescent="0.3">
      <c r="B530">
        <v>529</v>
      </c>
      <c r="C530" s="1">
        <v>41072</v>
      </c>
      <c r="D530">
        <v>2</v>
      </c>
      <c r="E530">
        <v>1</v>
      </c>
      <c r="F530">
        <v>6</v>
      </c>
      <c r="G530">
        <v>2</v>
      </c>
      <c r="H530">
        <v>2</v>
      </c>
      <c r="I530">
        <v>477</v>
      </c>
      <c r="J530">
        <v>4495</v>
      </c>
      <c r="K530" s="8">
        <v>4972</v>
      </c>
      <c r="L530">
        <v>26.786653000000001</v>
      </c>
      <c r="M530">
        <v>29.893750000000001</v>
      </c>
      <c r="N530">
        <v>83.333299999999994</v>
      </c>
      <c r="O530">
        <v>14.374582</v>
      </c>
      <c r="P530">
        <v>0</v>
      </c>
      <c r="Q530">
        <v>1</v>
      </c>
      <c r="R530">
        <f t="shared" si="224"/>
        <v>0</v>
      </c>
      <c r="S530">
        <f t="shared" si="225"/>
        <v>0</v>
      </c>
      <c r="T530">
        <f t="shared" si="226"/>
        <v>0</v>
      </c>
      <c r="U530">
        <f t="shared" si="227"/>
        <v>0</v>
      </c>
      <c r="V530">
        <f t="shared" si="228"/>
        <v>0</v>
      </c>
      <c r="W530">
        <f t="shared" si="229"/>
        <v>1</v>
      </c>
      <c r="X530">
        <f t="shared" si="230"/>
        <v>0</v>
      </c>
      <c r="Y530">
        <f t="shared" si="231"/>
        <v>0</v>
      </c>
      <c r="Z530">
        <f t="shared" si="232"/>
        <v>0</v>
      </c>
      <c r="AA530">
        <f t="shared" si="233"/>
        <v>0</v>
      </c>
      <c r="AB530">
        <f t="shared" si="234"/>
        <v>0</v>
      </c>
      <c r="AC530">
        <f t="shared" si="235"/>
        <v>0</v>
      </c>
      <c r="AD530">
        <f t="shared" si="236"/>
        <v>0</v>
      </c>
      <c r="AE530">
        <f t="shared" si="237"/>
        <v>0</v>
      </c>
      <c r="AF530">
        <f t="shared" si="238"/>
        <v>1</v>
      </c>
      <c r="AG530">
        <f t="shared" si="239"/>
        <v>0</v>
      </c>
      <c r="AH530">
        <f t="shared" si="240"/>
        <v>0</v>
      </c>
      <c r="AI530">
        <f t="shared" si="241"/>
        <v>0</v>
      </c>
      <c r="AJ530">
        <f t="shared" si="242"/>
        <v>0</v>
      </c>
      <c r="AK530">
        <f t="shared" si="243"/>
        <v>0</v>
      </c>
      <c r="AL530">
        <f t="shared" si="244"/>
        <v>1</v>
      </c>
      <c r="AM530">
        <f t="shared" si="245"/>
        <v>0</v>
      </c>
      <c r="AN530">
        <f t="shared" si="246"/>
        <v>0</v>
      </c>
      <c r="AO530">
        <f t="shared" si="247"/>
        <v>1</v>
      </c>
      <c r="AP530">
        <f t="shared" si="248"/>
        <v>0</v>
      </c>
      <c r="AQ530">
        <f t="shared" si="249"/>
        <v>1</v>
      </c>
      <c r="AR530">
        <f t="shared" si="250"/>
        <v>0</v>
      </c>
      <c r="AS530">
        <f t="shared" si="251"/>
        <v>0</v>
      </c>
    </row>
    <row r="531" spans="2:45" x14ac:dyDescent="0.3">
      <c r="B531">
        <v>530</v>
      </c>
      <c r="C531" s="1">
        <v>41073</v>
      </c>
      <c r="D531">
        <v>2</v>
      </c>
      <c r="E531">
        <v>1</v>
      </c>
      <c r="F531">
        <v>6</v>
      </c>
      <c r="G531">
        <v>3</v>
      </c>
      <c r="H531">
        <v>1</v>
      </c>
      <c r="I531">
        <v>1173</v>
      </c>
      <c r="J531">
        <v>6248</v>
      </c>
      <c r="K531" s="8">
        <v>7421</v>
      </c>
      <c r="L531">
        <v>26.889153</v>
      </c>
      <c r="M531">
        <v>30.55585</v>
      </c>
      <c r="N531">
        <v>58.208300000000001</v>
      </c>
      <c r="O531">
        <v>22.999693000000001</v>
      </c>
      <c r="P531">
        <v>0</v>
      </c>
      <c r="Q531">
        <v>1</v>
      </c>
      <c r="R531">
        <f t="shared" si="224"/>
        <v>0</v>
      </c>
      <c r="S531">
        <f t="shared" si="225"/>
        <v>0</v>
      </c>
      <c r="T531">
        <f t="shared" si="226"/>
        <v>0</v>
      </c>
      <c r="U531">
        <f t="shared" si="227"/>
        <v>0</v>
      </c>
      <c r="V531">
        <f t="shared" si="228"/>
        <v>0</v>
      </c>
      <c r="W531">
        <f t="shared" si="229"/>
        <v>1</v>
      </c>
      <c r="X531">
        <f t="shared" si="230"/>
        <v>0</v>
      </c>
      <c r="Y531">
        <f t="shared" si="231"/>
        <v>0</v>
      </c>
      <c r="Z531">
        <f t="shared" si="232"/>
        <v>0</v>
      </c>
      <c r="AA531">
        <f t="shared" si="233"/>
        <v>0</v>
      </c>
      <c r="AB531">
        <f t="shared" si="234"/>
        <v>0</v>
      </c>
      <c r="AC531">
        <f t="shared" si="235"/>
        <v>0</v>
      </c>
      <c r="AD531">
        <f t="shared" si="236"/>
        <v>0</v>
      </c>
      <c r="AE531">
        <f t="shared" si="237"/>
        <v>0</v>
      </c>
      <c r="AF531">
        <f t="shared" si="238"/>
        <v>0</v>
      </c>
      <c r="AG531">
        <f t="shared" si="239"/>
        <v>1</v>
      </c>
      <c r="AH531">
        <f t="shared" si="240"/>
        <v>0</v>
      </c>
      <c r="AI531">
        <f t="shared" si="241"/>
        <v>0</v>
      </c>
      <c r="AJ531">
        <f t="shared" si="242"/>
        <v>0</v>
      </c>
      <c r="AK531">
        <f t="shared" si="243"/>
        <v>1</v>
      </c>
      <c r="AL531">
        <f t="shared" si="244"/>
        <v>0</v>
      </c>
      <c r="AM531">
        <f t="shared" si="245"/>
        <v>0</v>
      </c>
      <c r="AN531">
        <f t="shared" si="246"/>
        <v>0</v>
      </c>
      <c r="AO531">
        <f t="shared" si="247"/>
        <v>1</v>
      </c>
      <c r="AP531">
        <f t="shared" si="248"/>
        <v>0</v>
      </c>
      <c r="AQ531">
        <f t="shared" si="249"/>
        <v>1</v>
      </c>
      <c r="AR531">
        <f t="shared" si="250"/>
        <v>0</v>
      </c>
      <c r="AS531">
        <f t="shared" si="251"/>
        <v>0</v>
      </c>
    </row>
    <row r="532" spans="2:45" x14ac:dyDescent="0.3">
      <c r="B532">
        <v>531</v>
      </c>
      <c r="C532" s="1">
        <v>41074</v>
      </c>
      <c r="D532">
        <v>2</v>
      </c>
      <c r="E532">
        <v>1</v>
      </c>
      <c r="F532">
        <v>6</v>
      </c>
      <c r="G532">
        <v>4</v>
      </c>
      <c r="H532">
        <v>1</v>
      </c>
      <c r="I532">
        <v>1180</v>
      </c>
      <c r="J532">
        <v>6183</v>
      </c>
      <c r="K532" s="8">
        <v>7363</v>
      </c>
      <c r="L532">
        <v>26.581652999999999</v>
      </c>
      <c r="M532">
        <v>31.219149999999999</v>
      </c>
      <c r="N532">
        <v>56.958300000000001</v>
      </c>
      <c r="O532">
        <v>17.000111</v>
      </c>
      <c r="P532">
        <v>0</v>
      </c>
      <c r="Q532">
        <v>1</v>
      </c>
      <c r="R532">
        <f t="shared" si="224"/>
        <v>0</v>
      </c>
      <c r="S532">
        <f t="shared" si="225"/>
        <v>0</v>
      </c>
      <c r="T532">
        <f t="shared" si="226"/>
        <v>0</v>
      </c>
      <c r="U532">
        <f t="shared" si="227"/>
        <v>0</v>
      </c>
      <c r="V532">
        <f t="shared" si="228"/>
        <v>0</v>
      </c>
      <c r="W532">
        <f t="shared" si="229"/>
        <v>1</v>
      </c>
      <c r="X532">
        <f t="shared" si="230"/>
        <v>0</v>
      </c>
      <c r="Y532">
        <f t="shared" si="231"/>
        <v>0</v>
      </c>
      <c r="Z532">
        <f t="shared" si="232"/>
        <v>0</v>
      </c>
      <c r="AA532">
        <f t="shared" si="233"/>
        <v>0</v>
      </c>
      <c r="AB532">
        <f t="shared" si="234"/>
        <v>0</v>
      </c>
      <c r="AC532">
        <f t="shared" si="235"/>
        <v>0</v>
      </c>
      <c r="AD532">
        <f t="shared" si="236"/>
        <v>0</v>
      </c>
      <c r="AE532">
        <f t="shared" si="237"/>
        <v>0</v>
      </c>
      <c r="AF532">
        <f t="shared" si="238"/>
        <v>0</v>
      </c>
      <c r="AG532">
        <f t="shared" si="239"/>
        <v>0</v>
      </c>
      <c r="AH532">
        <f t="shared" si="240"/>
        <v>1</v>
      </c>
      <c r="AI532">
        <f t="shared" si="241"/>
        <v>0</v>
      </c>
      <c r="AJ532">
        <f t="shared" si="242"/>
        <v>0</v>
      </c>
      <c r="AK532">
        <f t="shared" si="243"/>
        <v>1</v>
      </c>
      <c r="AL532">
        <f t="shared" si="244"/>
        <v>0</v>
      </c>
      <c r="AM532">
        <f t="shared" si="245"/>
        <v>0</v>
      </c>
      <c r="AN532">
        <f t="shared" si="246"/>
        <v>0</v>
      </c>
      <c r="AO532">
        <f t="shared" si="247"/>
        <v>1</v>
      </c>
      <c r="AP532">
        <f t="shared" si="248"/>
        <v>0</v>
      </c>
      <c r="AQ532">
        <f t="shared" si="249"/>
        <v>1</v>
      </c>
      <c r="AR532">
        <f t="shared" si="250"/>
        <v>0</v>
      </c>
      <c r="AS532">
        <f t="shared" si="251"/>
        <v>0</v>
      </c>
    </row>
    <row r="533" spans="2:45" x14ac:dyDescent="0.3">
      <c r="B533">
        <v>532</v>
      </c>
      <c r="C533" s="1">
        <v>41075</v>
      </c>
      <c r="D533">
        <v>2</v>
      </c>
      <c r="E533">
        <v>1</v>
      </c>
      <c r="F533">
        <v>6</v>
      </c>
      <c r="G533">
        <v>5</v>
      </c>
      <c r="H533">
        <v>1</v>
      </c>
      <c r="I533">
        <v>1563</v>
      </c>
      <c r="J533">
        <v>6102</v>
      </c>
      <c r="K533" s="8">
        <v>7665</v>
      </c>
      <c r="L533">
        <v>26.205846999999999</v>
      </c>
      <c r="M533">
        <v>29.9877</v>
      </c>
      <c r="N533">
        <v>58.958300000000001</v>
      </c>
      <c r="O533">
        <v>11.833339</v>
      </c>
      <c r="P533">
        <v>0</v>
      </c>
      <c r="Q533">
        <v>1</v>
      </c>
      <c r="R533">
        <f t="shared" si="224"/>
        <v>0</v>
      </c>
      <c r="S533">
        <f t="shared" si="225"/>
        <v>0</v>
      </c>
      <c r="T533">
        <f t="shared" si="226"/>
        <v>0</v>
      </c>
      <c r="U533">
        <f t="shared" si="227"/>
        <v>0</v>
      </c>
      <c r="V533">
        <f t="shared" si="228"/>
        <v>0</v>
      </c>
      <c r="W533">
        <f t="shared" si="229"/>
        <v>1</v>
      </c>
      <c r="X533">
        <f t="shared" si="230"/>
        <v>0</v>
      </c>
      <c r="Y533">
        <f t="shared" si="231"/>
        <v>0</v>
      </c>
      <c r="Z533">
        <f t="shared" si="232"/>
        <v>0</v>
      </c>
      <c r="AA533">
        <f t="shared" si="233"/>
        <v>0</v>
      </c>
      <c r="AB533">
        <f t="shared" si="234"/>
        <v>0</v>
      </c>
      <c r="AC533">
        <f t="shared" si="235"/>
        <v>0</v>
      </c>
      <c r="AD533">
        <f t="shared" si="236"/>
        <v>0</v>
      </c>
      <c r="AE533">
        <f t="shared" si="237"/>
        <v>0</v>
      </c>
      <c r="AF533">
        <f t="shared" si="238"/>
        <v>0</v>
      </c>
      <c r="AG533">
        <f t="shared" si="239"/>
        <v>0</v>
      </c>
      <c r="AH533">
        <f t="shared" si="240"/>
        <v>0</v>
      </c>
      <c r="AI533">
        <f t="shared" si="241"/>
        <v>1</v>
      </c>
      <c r="AJ533">
        <f t="shared" si="242"/>
        <v>0</v>
      </c>
      <c r="AK533">
        <f t="shared" si="243"/>
        <v>1</v>
      </c>
      <c r="AL533">
        <f t="shared" si="244"/>
        <v>0</v>
      </c>
      <c r="AM533">
        <f t="shared" si="245"/>
        <v>0</v>
      </c>
      <c r="AN533">
        <f t="shared" si="246"/>
        <v>0</v>
      </c>
      <c r="AO533">
        <f t="shared" si="247"/>
        <v>1</v>
      </c>
      <c r="AP533">
        <f t="shared" si="248"/>
        <v>0</v>
      </c>
      <c r="AQ533">
        <f t="shared" si="249"/>
        <v>1</v>
      </c>
      <c r="AR533">
        <f t="shared" si="250"/>
        <v>0</v>
      </c>
      <c r="AS533">
        <f t="shared" si="251"/>
        <v>0</v>
      </c>
    </row>
    <row r="534" spans="2:45" x14ac:dyDescent="0.3">
      <c r="B534">
        <v>533</v>
      </c>
      <c r="C534" s="1">
        <v>41076</v>
      </c>
      <c r="D534">
        <v>2</v>
      </c>
      <c r="E534">
        <v>1</v>
      </c>
      <c r="F534">
        <v>6</v>
      </c>
      <c r="G534">
        <v>6</v>
      </c>
      <c r="H534">
        <v>1</v>
      </c>
      <c r="I534">
        <v>2963</v>
      </c>
      <c r="J534">
        <v>4739</v>
      </c>
      <c r="K534" s="8">
        <v>7702</v>
      </c>
      <c r="L534">
        <v>25.898347000000001</v>
      </c>
      <c r="M534">
        <v>29.735399999999998</v>
      </c>
      <c r="N534">
        <v>50.416699999999999</v>
      </c>
      <c r="O534">
        <v>11.166689</v>
      </c>
      <c r="P534">
        <v>0</v>
      </c>
      <c r="Q534">
        <v>0</v>
      </c>
      <c r="R534">
        <f t="shared" si="224"/>
        <v>0</v>
      </c>
      <c r="S534">
        <f t="shared" si="225"/>
        <v>0</v>
      </c>
      <c r="T534">
        <f t="shared" si="226"/>
        <v>0</v>
      </c>
      <c r="U534">
        <f t="shared" si="227"/>
        <v>0</v>
      </c>
      <c r="V534">
        <f t="shared" si="228"/>
        <v>0</v>
      </c>
      <c r="W534">
        <f t="shared" si="229"/>
        <v>1</v>
      </c>
      <c r="X534">
        <f t="shared" si="230"/>
        <v>0</v>
      </c>
      <c r="Y534">
        <f t="shared" si="231"/>
        <v>0</v>
      </c>
      <c r="Z534">
        <f t="shared" si="232"/>
        <v>0</v>
      </c>
      <c r="AA534">
        <f t="shared" si="233"/>
        <v>0</v>
      </c>
      <c r="AB534">
        <f t="shared" si="234"/>
        <v>0</v>
      </c>
      <c r="AC534">
        <f t="shared" si="235"/>
        <v>0</v>
      </c>
      <c r="AD534">
        <f t="shared" si="236"/>
        <v>0</v>
      </c>
      <c r="AE534">
        <f t="shared" si="237"/>
        <v>0</v>
      </c>
      <c r="AF534">
        <f t="shared" si="238"/>
        <v>0</v>
      </c>
      <c r="AG534">
        <f t="shared" si="239"/>
        <v>0</v>
      </c>
      <c r="AH534">
        <f t="shared" si="240"/>
        <v>0</v>
      </c>
      <c r="AI534">
        <f t="shared" si="241"/>
        <v>0</v>
      </c>
      <c r="AJ534">
        <f t="shared" si="242"/>
        <v>1</v>
      </c>
      <c r="AK534">
        <f t="shared" si="243"/>
        <v>1</v>
      </c>
      <c r="AL534">
        <f t="shared" si="244"/>
        <v>0</v>
      </c>
      <c r="AM534">
        <f t="shared" si="245"/>
        <v>0</v>
      </c>
      <c r="AN534">
        <f t="shared" si="246"/>
        <v>0</v>
      </c>
      <c r="AO534">
        <f t="shared" si="247"/>
        <v>1</v>
      </c>
      <c r="AP534">
        <f t="shared" si="248"/>
        <v>0</v>
      </c>
      <c r="AQ534">
        <f t="shared" si="249"/>
        <v>1</v>
      </c>
      <c r="AR534">
        <f t="shared" si="250"/>
        <v>0</v>
      </c>
      <c r="AS534">
        <f t="shared" si="251"/>
        <v>0</v>
      </c>
    </row>
    <row r="535" spans="2:45" x14ac:dyDescent="0.3">
      <c r="B535">
        <v>534</v>
      </c>
      <c r="C535" s="1">
        <v>41077</v>
      </c>
      <c r="D535">
        <v>2</v>
      </c>
      <c r="E535">
        <v>1</v>
      </c>
      <c r="F535">
        <v>6</v>
      </c>
      <c r="G535">
        <v>0</v>
      </c>
      <c r="H535">
        <v>1</v>
      </c>
      <c r="I535">
        <v>2634</v>
      </c>
      <c r="J535">
        <v>4344</v>
      </c>
      <c r="K535" s="8">
        <v>6978</v>
      </c>
      <c r="L535">
        <v>24.2925</v>
      </c>
      <c r="M535">
        <v>28.598749999999999</v>
      </c>
      <c r="N535">
        <v>59.875</v>
      </c>
      <c r="O535">
        <v>9.7085679999999996</v>
      </c>
      <c r="P535">
        <v>0</v>
      </c>
      <c r="Q535">
        <v>0</v>
      </c>
      <c r="R535">
        <f t="shared" si="224"/>
        <v>0</v>
      </c>
      <c r="S535">
        <f t="shared" si="225"/>
        <v>0</v>
      </c>
      <c r="T535">
        <f t="shared" si="226"/>
        <v>0</v>
      </c>
      <c r="U535">
        <f t="shared" si="227"/>
        <v>0</v>
      </c>
      <c r="V535">
        <f t="shared" si="228"/>
        <v>0</v>
      </c>
      <c r="W535">
        <f t="shared" si="229"/>
        <v>1</v>
      </c>
      <c r="X535">
        <f t="shared" si="230"/>
        <v>0</v>
      </c>
      <c r="Y535">
        <f t="shared" si="231"/>
        <v>0</v>
      </c>
      <c r="Z535">
        <f t="shared" si="232"/>
        <v>0</v>
      </c>
      <c r="AA535">
        <f t="shared" si="233"/>
        <v>0</v>
      </c>
      <c r="AB535">
        <f t="shared" si="234"/>
        <v>0</v>
      </c>
      <c r="AC535">
        <f t="shared" si="235"/>
        <v>0</v>
      </c>
      <c r="AD535">
        <f t="shared" si="236"/>
        <v>1</v>
      </c>
      <c r="AE535">
        <f t="shared" si="237"/>
        <v>0</v>
      </c>
      <c r="AF535">
        <f t="shared" si="238"/>
        <v>0</v>
      </c>
      <c r="AG535">
        <f t="shared" si="239"/>
        <v>0</v>
      </c>
      <c r="AH535">
        <f t="shared" si="240"/>
        <v>0</v>
      </c>
      <c r="AI535">
        <f t="shared" si="241"/>
        <v>0</v>
      </c>
      <c r="AJ535">
        <f t="shared" si="242"/>
        <v>0</v>
      </c>
      <c r="AK535">
        <f t="shared" si="243"/>
        <v>1</v>
      </c>
      <c r="AL535">
        <f t="shared" si="244"/>
        <v>0</v>
      </c>
      <c r="AM535">
        <f t="shared" si="245"/>
        <v>0</v>
      </c>
      <c r="AN535">
        <f t="shared" si="246"/>
        <v>0</v>
      </c>
      <c r="AO535">
        <f t="shared" si="247"/>
        <v>1</v>
      </c>
      <c r="AP535">
        <f t="shared" si="248"/>
        <v>0</v>
      </c>
      <c r="AQ535">
        <f t="shared" si="249"/>
        <v>1</v>
      </c>
      <c r="AR535">
        <f t="shared" si="250"/>
        <v>0</v>
      </c>
      <c r="AS535">
        <f t="shared" si="251"/>
        <v>0</v>
      </c>
    </row>
    <row r="536" spans="2:45" x14ac:dyDescent="0.3">
      <c r="B536">
        <v>535</v>
      </c>
      <c r="C536" s="1">
        <v>41078</v>
      </c>
      <c r="D536">
        <v>2</v>
      </c>
      <c r="E536">
        <v>1</v>
      </c>
      <c r="F536">
        <v>6</v>
      </c>
      <c r="G536">
        <v>1</v>
      </c>
      <c r="H536">
        <v>2</v>
      </c>
      <c r="I536">
        <v>653</v>
      </c>
      <c r="J536">
        <v>4446</v>
      </c>
      <c r="K536" s="8">
        <v>5099</v>
      </c>
      <c r="L536">
        <v>23.301653000000002</v>
      </c>
      <c r="M536">
        <v>27.242100000000001</v>
      </c>
      <c r="N536">
        <v>77.791700000000006</v>
      </c>
      <c r="O536">
        <v>11.707981999999999</v>
      </c>
      <c r="P536">
        <v>0</v>
      </c>
      <c r="Q536">
        <v>1</v>
      </c>
      <c r="R536">
        <f t="shared" si="224"/>
        <v>0</v>
      </c>
      <c r="S536">
        <f t="shared" si="225"/>
        <v>0</v>
      </c>
      <c r="T536">
        <f t="shared" si="226"/>
        <v>0</v>
      </c>
      <c r="U536">
        <f t="shared" si="227"/>
        <v>0</v>
      </c>
      <c r="V536">
        <f t="shared" si="228"/>
        <v>0</v>
      </c>
      <c r="W536">
        <f t="shared" si="229"/>
        <v>1</v>
      </c>
      <c r="X536">
        <f t="shared" si="230"/>
        <v>0</v>
      </c>
      <c r="Y536">
        <f t="shared" si="231"/>
        <v>0</v>
      </c>
      <c r="Z536">
        <f t="shared" si="232"/>
        <v>0</v>
      </c>
      <c r="AA536">
        <f t="shared" si="233"/>
        <v>0</v>
      </c>
      <c r="AB536">
        <f t="shared" si="234"/>
        <v>0</v>
      </c>
      <c r="AC536">
        <f t="shared" si="235"/>
        <v>0</v>
      </c>
      <c r="AD536">
        <f t="shared" si="236"/>
        <v>0</v>
      </c>
      <c r="AE536">
        <f t="shared" si="237"/>
        <v>1</v>
      </c>
      <c r="AF536">
        <f t="shared" si="238"/>
        <v>0</v>
      </c>
      <c r="AG536">
        <f t="shared" si="239"/>
        <v>0</v>
      </c>
      <c r="AH536">
        <f t="shared" si="240"/>
        <v>0</v>
      </c>
      <c r="AI536">
        <f t="shared" si="241"/>
        <v>0</v>
      </c>
      <c r="AJ536">
        <f t="shared" si="242"/>
        <v>0</v>
      </c>
      <c r="AK536">
        <f t="shared" si="243"/>
        <v>0</v>
      </c>
      <c r="AL536">
        <f t="shared" si="244"/>
        <v>1</v>
      </c>
      <c r="AM536">
        <f t="shared" si="245"/>
        <v>0</v>
      </c>
      <c r="AN536">
        <f t="shared" si="246"/>
        <v>0</v>
      </c>
      <c r="AO536">
        <f t="shared" si="247"/>
        <v>1</v>
      </c>
      <c r="AP536">
        <f t="shared" si="248"/>
        <v>0</v>
      </c>
      <c r="AQ536">
        <f t="shared" si="249"/>
        <v>1</v>
      </c>
      <c r="AR536">
        <f t="shared" si="250"/>
        <v>0</v>
      </c>
      <c r="AS536">
        <f t="shared" si="251"/>
        <v>0</v>
      </c>
    </row>
    <row r="537" spans="2:45" x14ac:dyDescent="0.3">
      <c r="B537">
        <v>536</v>
      </c>
      <c r="C537" s="1">
        <v>41079</v>
      </c>
      <c r="D537">
        <v>2</v>
      </c>
      <c r="E537">
        <v>1</v>
      </c>
      <c r="F537">
        <v>6</v>
      </c>
      <c r="G537">
        <v>2</v>
      </c>
      <c r="H537">
        <v>1</v>
      </c>
      <c r="I537">
        <v>968</v>
      </c>
      <c r="J537">
        <v>5857</v>
      </c>
      <c r="K537" s="8">
        <v>6825</v>
      </c>
      <c r="L537">
        <v>28.221653</v>
      </c>
      <c r="M537">
        <v>32.7346</v>
      </c>
      <c r="N537">
        <v>69</v>
      </c>
      <c r="O537">
        <v>9.9171390000000006</v>
      </c>
      <c r="P537">
        <v>0</v>
      </c>
      <c r="Q537">
        <v>1</v>
      </c>
      <c r="R537">
        <f t="shared" si="224"/>
        <v>0</v>
      </c>
      <c r="S537">
        <f t="shared" si="225"/>
        <v>0</v>
      </c>
      <c r="T537">
        <f t="shared" si="226"/>
        <v>0</v>
      </c>
      <c r="U537">
        <f t="shared" si="227"/>
        <v>0</v>
      </c>
      <c r="V537">
        <f t="shared" si="228"/>
        <v>0</v>
      </c>
      <c r="W537">
        <f t="shared" si="229"/>
        <v>1</v>
      </c>
      <c r="X537">
        <f t="shared" si="230"/>
        <v>0</v>
      </c>
      <c r="Y537">
        <f t="shared" si="231"/>
        <v>0</v>
      </c>
      <c r="Z537">
        <f t="shared" si="232"/>
        <v>0</v>
      </c>
      <c r="AA537">
        <f t="shared" si="233"/>
        <v>0</v>
      </c>
      <c r="AB537">
        <f t="shared" si="234"/>
        <v>0</v>
      </c>
      <c r="AC537">
        <f t="shared" si="235"/>
        <v>0</v>
      </c>
      <c r="AD537">
        <f t="shared" si="236"/>
        <v>0</v>
      </c>
      <c r="AE537">
        <f t="shared" si="237"/>
        <v>0</v>
      </c>
      <c r="AF537">
        <f t="shared" si="238"/>
        <v>1</v>
      </c>
      <c r="AG537">
        <f t="shared" si="239"/>
        <v>0</v>
      </c>
      <c r="AH537">
        <f t="shared" si="240"/>
        <v>0</v>
      </c>
      <c r="AI537">
        <f t="shared" si="241"/>
        <v>0</v>
      </c>
      <c r="AJ537">
        <f t="shared" si="242"/>
        <v>0</v>
      </c>
      <c r="AK537">
        <f t="shared" si="243"/>
        <v>1</v>
      </c>
      <c r="AL537">
        <f t="shared" si="244"/>
        <v>0</v>
      </c>
      <c r="AM537">
        <f t="shared" si="245"/>
        <v>0</v>
      </c>
      <c r="AN537">
        <f t="shared" si="246"/>
        <v>0</v>
      </c>
      <c r="AO537">
        <f t="shared" si="247"/>
        <v>1</v>
      </c>
      <c r="AP537">
        <f t="shared" si="248"/>
        <v>0</v>
      </c>
      <c r="AQ537">
        <f t="shared" si="249"/>
        <v>1</v>
      </c>
      <c r="AR537">
        <f t="shared" si="250"/>
        <v>0</v>
      </c>
      <c r="AS537">
        <f t="shared" si="251"/>
        <v>0</v>
      </c>
    </row>
    <row r="538" spans="2:45" x14ac:dyDescent="0.3">
      <c r="B538">
        <v>537</v>
      </c>
      <c r="C538" s="1">
        <v>41080</v>
      </c>
      <c r="D538">
        <v>2</v>
      </c>
      <c r="E538">
        <v>1</v>
      </c>
      <c r="F538">
        <v>6</v>
      </c>
      <c r="G538">
        <v>3</v>
      </c>
      <c r="H538">
        <v>1</v>
      </c>
      <c r="I538">
        <v>872</v>
      </c>
      <c r="J538">
        <v>5339</v>
      </c>
      <c r="K538" s="8">
        <v>6211</v>
      </c>
      <c r="L538">
        <v>32.082500000000003</v>
      </c>
      <c r="M538">
        <v>36.048749999999998</v>
      </c>
      <c r="N538">
        <v>59.208300000000001</v>
      </c>
      <c r="O538">
        <v>7.6254039999999996</v>
      </c>
      <c r="P538">
        <v>0</v>
      </c>
      <c r="Q538">
        <v>1</v>
      </c>
      <c r="R538">
        <f t="shared" si="224"/>
        <v>0</v>
      </c>
      <c r="S538">
        <f t="shared" si="225"/>
        <v>0</v>
      </c>
      <c r="T538">
        <f t="shared" si="226"/>
        <v>0</v>
      </c>
      <c r="U538">
        <f t="shared" si="227"/>
        <v>0</v>
      </c>
      <c r="V538">
        <f t="shared" si="228"/>
        <v>0</v>
      </c>
      <c r="W538">
        <f t="shared" si="229"/>
        <v>1</v>
      </c>
      <c r="X538">
        <f t="shared" si="230"/>
        <v>0</v>
      </c>
      <c r="Y538">
        <f t="shared" si="231"/>
        <v>0</v>
      </c>
      <c r="Z538">
        <f t="shared" si="232"/>
        <v>0</v>
      </c>
      <c r="AA538">
        <f t="shared" si="233"/>
        <v>0</v>
      </c>
      <c r="AB538">
        <f t="shared" si="234"/>
        <v>0</v>
      </c>
      <c r="AC538">
        <f t="shared" si="235"/>
        <v>0</v>
      </c>
      <c r="AD538">
        <f t="shared" si="236"/>
        <v>0</v>
      </c>
      <c r="AE538">
        <f t="shared" si="237"/>
        <v>0</v>
      </c>
      <c r="AF538">
        <f t="shared" si="238"/>
        <v>0</v>
      </c>
      <c r="AG538">
        <f t="shared" si="239"/>
        <v>1</v>
      </c>
      <c r="AH538">
        <f t="shared" si="240"/>
        <v>0</v>
      </c>
      <c r="AI538">
        <f t="shared" si="241"/>
        <v>0</v>
      </c>
      <c r="AJ538">
        <f t="shared" si="242"/>
        <v>0</v>
      </c>
      <c r="AK538">
        <f t="shared" si="243"/>
        <v>1</v>
      </c>
      <c r="AL538">
        <f t="shared" si="244"/>
        <v>0</v>
      </c>
      <c r="AM538">
        <f t="shared" si="245"/>
        <v>0</v>
      </c>
      <c r="AN538">
        <f t="shared" si="246"/>
        <v>0</v>
      </c>
      <c r="AO538">
        <f t="shared" si="247"/>
        <v>1</v>
      </c>
      <c r="AP538">
        <f t="shared" si="248"/>
        <v>0</v>
      </c>
      <c r="AQ538">
        <f t="shared" si="249"/>
        <v>1</v>
      </c>
      <c r="AR538">
        <f t="shared" si="250"/>
        <v>0</v>
      </c>
      <c r="AS538">
        <f t="shared" si="251"/>
        <v>0</v>
      </c>
    </row>
    <row r="539" spans="2:45" x14ac:dyDescent="0.3">
      <c r="B539">
        <v>538</v>
      </c>
      <c r="C539" s="1">
        <v>41081</v>
      </c>
      <c r="D539">
        <v>3</v>
      </c>
      <c r="E539">
        <v>1</v>
      </c>
      <c r="F539">
        <v>6</v>
      </c>
      <c r="G539">
        <v>4</v>
      </c>
      <c r="H539">
        <v>1</v>
      </c>
      <c r="I539">
        <v>778</v>
      </c>
      <c r="J539">
        <v>5127</v>
      </c>
      <c r="K539" s="8">
        <v>5905</v>
      </c>
      <c r="L539">
        <v>33.039152999999999</v>
      </c>
      <c r="M539">
        <v>37.627099999999999</v>
      </c>
      <c r="N539">
        <v>56.791699999999999</v>
      </c>
      <c r="O539">
        <v>7.9587289999999999</v>
      </c>
      <c r="P539">
        <v>0</v>
      </c>
      <c r="Q539">
        <v>1</v>
      </c>
      <c r="R539">
        <f t="shared" si="224"/>
        <v>0</v>
      </c>
      <c r="S539">
        <f t="shared" si="225"/>
        <v>0</v>
      </c>
      <c r="T539">
        <f t="shared" si="226"/>
        <v>0</v>
      </c>
      <c r="U539">
        <f t="shared" si="227"/>
        <v>0</v>
      </c>
      <c r="V539">
        <f t="shared" si="228"/>
        <v>0</v>
      </c>
      <c r="W539">
        <f t="shared" si="229"/>
        <v>1</v>
      </c>
      <c r="X539">
        <f t="shared" si="230"/>
        <v>0</v>
      </c>
      <c r="Y539">
        <f t="shared" si="231"/>
        <v>0</v>
      </c>
      <c r="Z539">
        <f t="shared" si="232"/>
        <v>0</v>
      </c>
      <c r="AA539">
        <f t="shared" si="233"/>
        <v>0</v>
      </c>
      <c r="AB539">
        <f t="shared" si="234"/>
        <v>0</v>
      </c>
      <c r="AC539">
        <f t="shared" si="235"/>
        <v>0</v>
      </c>
      <c r="AD539">
        <f t="shared" si="236"/>
        <v>0</v>
      </c>
      <c r="AE539">
        <f t="shared" si="237"/>
        <v>0</v>
      </c>
      <c r="AF539">
        <f t="shared" si="238"/>
        <v>0</v>
      </c>
      <c r="AG539">
        <f t="shared" si="239"/>
        <v>0</v>
      </c>
      <c r="AH539">
        <f t="shared" si="240"/>
        <v>1</v>
      </c>
      <c r="AI539">
        <f t="shared" si="241"/>
        <v>0</v>
      </c>
      <c r="AJ539">
        <f t="shared" si="242"/>
        <v>0</v>
      </c>
      <c r="AK539">
        <f t="shared" si="243"/>
        <v>1</v>
      </c>
      <c r="AL539">
        <f t="shared" si="244"/>
        <v>0</v>
      </c>
      <c r="AM539">
        <f t="shared" si="245"/>
        <v>0</v>
      </c>
      <c r="AN539">
        <f t="shared" si="246"/>
        <v>0</v>
      </c>
      <c r="AO539">
        <f t="shared" si="247"/>
        <v>1</v>
      </c>
      <c r="AP539">
        <f t="shared" si="248"/>
        <v>0</v>
      </c>
      <c r="AQ539">
        <f t="shared" si="249"/>
        <v>0</v>
      </c>
      <c r="AR539">
        <f t="shared" si="250"/>
        <v>1</v>
      </c>
      <c r="AS539">
        <f t="shared" si="251"/>
        <v>0</v>
      </c>
    </row>
    <row r="540" spans="2:45" x14ac:dyDescent="0.3">
      <c r="B540">
        <v>539</v>
      </c>
      <c r="C540" s="1">
        <v>41082</v>
      </c>
      <c r="D540">
        <v>3</v>
      </c>
      <c r="E540">
        <v>1</v>
      </c>
      <c r="F540">
        <v>6</v>
      </c>
      <c r="G540">
        <v>5</v>
      </c>
      <c r="H540">
        <v>1</v>
      </c>
      <c r="I540">
        <v>964</v>
      </c>
      <c r="J540">
        <v>4859</v>
      </c>
      <c r="K540" s="8">
        <v>5823</v>
      </c>
      <c r="L540">
        <v>31.877500000000001</v>
      </c>
      <c r="M540">
        <v>36.206049999999998</v>
      </c>
      <c r="N540">
        <v>57.375</v>
      </c>
      <c r="O540">
        <v>12.250413999999999</v>
      </c>
      <c r="P540">
        <v>0</v>
      </c>
      <c r="Q540">
        <v>1</v>
      </c>
      <c r="R540">
        <f t="shared" si="224"/>
        <v>0</v>
      </c>
      <c r="S540">
        <f t="shared" si="225"/>
        <v>0</v>
      </c>
      <c r="T540">
        <f t="shared" si="226"/>
        <v>0</v>
      </c>
      <c r="U540">
        <f t="shared" si="227"/>
        <v>0</v>
      </c>
      <c r="V540">
        <f t="shared" si="228"/>
        <v>0</v>
      </c>
      <c r="W540">
        <f t="shared" si="229"/>
        <v>1</v>
      </c>
      <c r="X540">
        <f t="shared" si="230"/>
        <v>0</v>
      </c>
      <c r="Y540">
        <f t="shared" si="231"/>
        <v>0</v>
      </c>
      <c r="Z540">
        <f t="shared" si="232"/>
        <v>0</v>
      </c>
      <c r="AA540">
        <f t="shared" si="233"/>
        <v>0</v>
      </c>
      <c r="AB540">
        <f t="shared" si="234"/>
        <v>0</v>
      </c>
      <c r="AC540">
        <f t="shared" si="235"/>
        <v>0</v>
      </c>
      <c r="AD540">
        <f t="shared" si="236"/>
        <v>0</v>
      </c>
      <c r="AE540">
        <f t="shared" si="237"/>
        <v>0</v>
      </c>
      <c r="AF540">
        <f t="shared" si="238"/>
        <v>0</v>
      </c>
      <c r="AG540">
        <f t="shared" si="239"/>
        <v>0</v>
      </c>
      <c r="AH540">
        <f t="shared" si="240"/>
        <v>0</v>
      </c>
      <c r="AI540">
        <f t="shared" si="241"/>
        <v>1</v>
      </c>
      <c r="AJ540">
        <f t="shared" si="242"/>
        <v>0</v>
      </c>
      <c r="AK540">
        <f t="shared" si="243"/>
        <v>1</v>
      </c>
      <c r="AL540">
        <f t="shared" si="244"/>
        <v>0</v>
      </c>
      <c r="AM540">
        <f t="shared" si="245"/>
        <v>0</v>
      </c>
      <c r="AN540">
        <f t="shared" si="246"/>
        <v>0</v>
      </c>
      <c r="AO540">
        <f t="shared" si="247"/>
        <v>1</v>
      </c>
      <c r="AP540">
        <f t="shared" si="248"/>
        <v>0</v>
      </c>
      <c r="AQ540">
        <f t="shared" si="249"/>
        <v>0</v>
      </c>
      <c r="AR540">
        <f t="shared" si="250"/>
        <v>1</v>
      </c>
      <c r="AS540">
        <f t="shared" si="251"/>
        <v>0</v>
      </c>
    </row>
    <row r="541" spans="2:45" x14ac:dyDescent="0.3">
      <c r="B541">
        <v>540</v>
      </c>
      <c r="C541" s="1">
        <v>41083</v>
      </c>
      <c r="D541">
        <v>3</v>
      </c>
      <c r="E541">
        <v>1</v>
      </c>
      <c r="F541">
        <v>6</v>
      </c>
      <c r="G541">
        <v>6</v>
      </c>
      <c r="H541">
        <v>1</v>
      </c>
      <c r="I541">
        <v>2657</v>
      </c>
      <c r="J541">
        <v>4801</v>
      </c>
      <c r="K541" s="8">
        <v>7458</v>
      </c>
      <c r="L541">
        <v>29.998346999999999</v>
      </c>
      <c r="M541">
        <v>32.639600000000002</v>
      </c>
      <c r="N541">
        <v>53.458300000000001</v>
      </c>
      <c r="O541">
        <v>12.041307</v>
      </c>
      <c r="P541">
        <v>0</v>
      </c>
      <c r="Q541">
        <v>0</v>
      </c>
      <c r="R541">
        <f t="shared" si="224"/>
        <v>0</v>
      </c>
      <c r="S541">
        <f t="shared" si="225"/>
        <v>0</v>
      </c>
      <c r="T541">
        <f t="shared" si="226"/>
        <v>0</v>
      </c>
      <c r="U541">
        <f t="shared" si="227"/>
        <v>0</v>
      </c>
      <c r="V541">
        <f t="shared" si="228"/>
        <v>0</v>
      </c>
      <c r="W541">
        <f t="shared" si="229"/>
        <v>1</v>
      </c>
      <c r="X541">
        <f t="shared" si="230"/>
        <v>0</v>
      </c>
      <c r="Y541">
        <f t="shared" si="231"/>
        <v>0</v>
      </c>
      <c r="Z541">
        <f t="shared" si="232"/>
        <v>0</v>
      </c>
      <c r="AA541">
        <f t="shared" si="233"/>
        <v>0</v>
      </c>
      <c r="AB541">
        <f t="shared" si="234"/>
        <v>0</v>
      </c>
      <c r="AC541">
        <f t="shared" si="235"/>
        <v>0</v>
      </c>
      <c r="AD541">
        <f t="shared" si="236"/>
        <v>0</v>
      </c>
      <c r="AE541">
        <f t="shared" si="237"/>
        <v>0</v>
      </c>
      <c r="AF541">
        <f t="shared" si="238"/>
        <v>0</v>
      </c>
      <c r="AG541">
        <f t="shared" si="239"/>
        <v>0</v>
      </c>
      <c r="AH541">
        <f t="shared" si="240"/>
        <v>0</v>
      </c>
      <c r="AI541">
        <f t="shared" si="241"/>
        <v>0</v>
      </c>
      <c r="AJ541">
        <f t="shared" si="242"/>
        <v>1</v>
      </c>
      <c r="AK541">
        <f t="shared" si="243"/>
        <v>1</v>
      </c>
      <c r="AL541">
        <f t="shared" si="244"/>
        <v>0</v>
      </c>
      <c r="AM541">
        <f t="shared" si="245"/>
        <v>0</v>
      </c>
      <c r="AN541">
        <f t="shared" si="246"/>
        <v>0</v>
      </c>
      <c r="AO541">
        <f t="shared" si="247"/>
        <v>1</v>
      </c>
      <c r="AP541">
        <f t="shared" si="248"/>
        <v>0</v>
      </c>
      <c r="AQ541">
        <f t="shared" si="249"/>
        <v>0</v>
      </c>
      <c r="AR541">
        <f t="shared" si="250"/>
        <v>1</v>
      </c>
      <c r="AS541">
        <f t="shared" si="251"/>
        <v>0</v>
      </c>
    </row>
    <row r="542" spans="2:45" x14ac:dyDescent="0.3">
      <c r="B542">
        <v>541</v>
      </c>
      <c r="C542" s="1">
        <v>41084</v>
      </c>
      <c r="D542">
        <v>3</v>
      </c>
      <c r="E542">
        <v>1</v>
      </c>
      <c r="F542">
        <v>6</v>
      </c>
      <c r="G542">
        <v>0</v>
      </c>
      <c r="H542">
        <v>1</v>
      </c>
      <c r="I542">
        <v>2551</v>
      </c>
      <c r="J542">
        <v>4340</v>
      </c>
      <c r="K542" s="8">
        <v>6891</v>
      </c>
      <c r="L542">
        <v>30.476652999999999</v>
      </c>
      <c r="M542">
        <v>33.712699999999998</v>
      </c>
      <c r="N542">
        <v>47.916699999999999</v>
      </c>
      <c r="O542">
        <v>9.7501750000000005</v>
      </c>
      <c r="P542">
        <v>0</v>
      </c>
      <c r="Q542">
        <v>0</v>
      </c>
      <c r="R542">
        <f t="shared" si="224"/>
        <v>0</v>
      </c>
      <c r="S542">
        <f t="shared" si="225"/>
        <v>0</v>
      </c>
      <c r="T542">
        <f t="shared" si="226"/>
        <v>0</v>
      </c>
      <c r="U542">
        <f t="shared" si="227"/>
        <v>0</v>
      </c>
      <c r="V542">
        <f t="shared" si="228"/>
        <v>0</v>
      </c>
      <c r="W542">
        <f t="shared" si="229"/>
        <v>1</v>
      </c>
      <c r="X542">
        <f t="shared" si="230"/>
        <v>0</v>
      </c>
      <c r="Y542">
        <f t="shared" si="231"/>
        <v>0</v>
      </c>
      <c r="Z542">
        <f t="shared" si="232"/>
        <v>0</v>
      </c>
      <c r="AA542">
        <f t="shared" si="233"/>
        <v>0</v>
      </c>
      <c r="AB542">
        <f t="shared" si="234"/>
        <v>0</v>
      </c>
      <c r="AC542">
        <f t="shared" si="235"/>
        <v>0</v>
      </c>
      <c r="AD542">
        <f t="shared" si="236"/>
        <v>1</v>
      </c>
      <c r="AE542">
        <f t="shared" si="237"/>
        <v>0</v>
      </c>
      <c r="AF542">
        <f t="shared" si="238"/>
        <v>0</v>
      </c>
      <c r="AG542">
        <f t="shared" si="239"/>
        <v>0</v>
      </c>
      <c r="AH542">
        <f t="shared" si="240"/>
        <v>0</v>
      </c>
      <c r="AI542">
        <f t="shared" si="241"/>
        <v>0</v>
      </c>
      <c r="AJ542">
        <f t="shared" si="242"/>
        <v>0</v>
      </c>
      <c r="AK542">
        <f t="shared" si="243"/>
        <v>1</v>
      </c>
      <c r="AL542">
        <f t="shared" si="244"/>
        <v>0</v>
      </c>
      <c r="AM542">
        <f t="shared" si="245"/>
        <v>0</v>
      </c>
      <c r="AN542">
        <f t="shared" si="246"/>
        <v>0</v>
      </c>
      <c r="AO542">
        <f t="shared" si="247"/>
        <v>1</v>
      </c>
      <c r="AP542">
        <f t="shared" si="248"/>
        <v>0</v>
      </c>
      <c r="AQ542">
        <f t="shared" si="249"/>
        <v>0</v>
      </c>
      <c r="AR542">
        <f t="shared" si="250"/>
        <v>1</v>
      </c>
      <c r="AS542">
        <f t="shared" si="251"/>
        <v>0</v>
      </c>
    </row>
    <row r="543" spans="2:45" x14ac:dyDescent="0.3">
      <c r="B543">
        <v>542</v>
      </c>
      <c r="C543" s="1">
        <v>41085</v>
      </c>
      <c r="D543">
        <v>3</v>
      </c>
      <c r="E543">
        <v>1</v>
      </c>
      <c r="F543">
        <v>6</v>
      </c>
      <c r="G543">
        <v>1</v>
      </c>
      <c r="H543">
        <v>1</v>
      </c>
      <c r="I543">
        <v>1139</v>
      </c>
      <c r="J543">
        <v>5640</v>
      </c>
      <c r="K543" s="8">
        <v>6779</v>
      </c>
      <c r="L543">
        <v>29.349153000000001</v>
      </c>
      <c r="M543">
        <v>32.702100000000002</v>
      </c>
      <c r="N543">
        <v>50.416699999999999</v>
      </c>
      <c r="O543">
        <v>20.125661000000001</v>
      </c>
      <c r="P543">
        <v>0</v>
      </c>
      <c r="Q543">
        <v>1</v>
      </c>
      <c r="R543">
        <f t="shared" si="224"/>
        <v>0</v>
      </c>
      <c r="S543">
        <f t="shared" si="225"/>
        <v>0</v>
      </c>
      <c r="T543">
        <f t="shared" si="226"/>
        <v>0</v>
      </c>
      <c r="U543">
        <f t="shared" si="227"/>
        <v>0</v>
      </c>
      <c r="V543">
        <f t="shared" si="228"/>
        <v>0</v>
      </c>
      <c r="W543">
        <f t="shared" si="229"/>
        <v>1</v>
      </c>
      <c r="X543">
        <f t="shared" si="230"/>
        <v>0</v>
      </c>
      <c r="Y543">
        <f t="shared" si="231"/>
        <v>0</v>
      </c>
      <c r="Z543">
        <f t="shared" si="232"/>
        <v>0</v>
      </c>
      <c r="AA543">
        <f t="shared" si="233"/>
        <v>0</v>
      </c>
      <c r="AB543">
        <f t="shared" si="234"/>
        <v>0</v>
      </c>
      <c r="AC543">
        <f t="shared" si="235"/>
        <v>0</v>
      </c>
      <c r="AD543">
        <f t="shared" si="236"/>
        <v>0</v>
      </c>
      <c r="AE543">
        <f t="shared" si="237"/>
        <v>1</v>
      </c>
      <c r="AF543">
        <f t="shared" si="238"/>
        <v>0</v>
      </c>
      <c r="AG543">
        <f t="shared" si="239"/>
        <v>0</v>
      </c>
      <c r="AH543">
        <f t="shared" si="240"/>
        <v>0</v>
      </c>
      <c r="AI543">
        <f t="shared" si="241"/>
        <v>0</v>
      </c>
      <c r="AJ543">
        <f t="shared" si="242"/>
        <v>0</v>
      </c>
      <c r="AK543">
        <f t="shared" si="243"/>
        <v>1</v>
      </c>
      <c r="AL543">
        <f t="shared" si="244"/>
        <v>0</v>
      </c>
      <c r="AM543">
        <f t="shared" si="245"/>
        <v>0</v>
      </c>
      <c r="AN543">
        <f t="shared" si="246"/>
        <v>0</v>
      </c>
      <c r="AO543">
        <f t="shared" si="247"/>
        <v>1</v>
      </c>
      <c r="AP543">
        <f t="shared" si="248"/>
        <v>0</v>
      </c>
      <c r="AQ543">
        <f t="shared" si="249"/>
        <v>0</v>
      </c>
      <c r="AR543">
        <f t="shared" si="250"/>
        <v>1</v>
      </c>
      <c r="AS543">
        <f t="shared" si="251"/>
        <v>0</v>
      </c>
    </row>
    <row r="544" spans="2:45" x14ac:dyDescent="0.3">
      <c r="B544">
        <v>543</v>
      </c>
      <c r="C544" s="1">
        <v>41086</v>
      </c>
      <c r="D544">
        <v>3</v>
      </c>
      <c r="E544">
        <v>1</v>
      </c>
      <c r="F544">
        <v>6</v>
      </c>
      <c r="G544">
        <v>2</v>
      </c>
      <c r="H544">
        <v>1</v>
      </c>
      <c r="I544">
        <v>1077</v>
      </c>
      <c r="J544">
        <v>6365</v>
      </c>
      <c r="K544" s="8">
        <v>7442</v>
      </c>
      <c r="L544">
        <v>25.864153000000002</v>
      </c>
      <c r="M544">
        <v>29.735199999999999</v>
      </c>
      <c r="N544">
        <v>37.333300000000001</v>
      </c>
      <c r="O544">
        <v>23.292014000000002</v>
      </c>
      <c r="P544">
        <v>0</v>
      </c>
      <c r="Q544">
        <v>1</v>
      </c>
      <c r="R544">
        <f t="shared" si="224"/>
        <v>0</v>
      </c>
      <c r="S544">
        <f t="shared" si="225"/>
        <v>0</v>
      </c>
      <c r="T544">
        <f t="shared" si="226"/>
        <v>0</v>
      </c>
      <c r="U544">
        <f t="shared" si="227"/>
        <v>0</v>
      </c>
      <c r="V544">
        <f t="shared" si="228"/>
        <v>0</v>
      </c>
      <c r="W544">
        <f t="shared" si="229"/>
        <v>1</v>
      </c>
      <c r="X544">
        <f t="shared" si="230"/>
        <v>0</v>
      </c>
      <c r="Y544">
        <f t="shared" si="231"/>
        <v>0</v>
      </c>
      <c r="Z544">
        <f t="shared" si="232"/>
        <v>0</v>
      </c>
      <c r="AA544">
        <f t="shared" si="233"/>
        <v>0</v>
      </c>
      <c r="AB544">
        <f t="shared" si="234"/>
        <v>0</v>
      </c>
      <c r="AC544">
        <f t="shared" si="235"/>
        <v>0</v>
      </c>
      <c r="AD544">
        <f t="shared" si="236"/>
        <v>0</v>
      </c>
      <c r="AE544">
        <f t="shared" si="237"/>
        <v>0</v>
      </c>
      <c r="AF544">
        <f t="shared" si="238"/>
        <v>1</v>
      </c>
      <c r="AG544">
        <f t="shared" si="239"/>
        <v>0</v>
      </c>
      <c r="AH544">
        <f t="shared" si="240"/>
        <v>0</v>
      </c>
      <c r="AI544">
        <f t="shared" si="241"/>
        <v>0</v>
      </c>
      <c r="AJ544">
        <f t="shared" si="242"/>
        <v>0</v>
      </c>
      <c r="AK544">
        <f t="shared" si="243"/>
        <v>1</v>
      </c>
      <c r="AL544">
        <f t="shared" si="244"/>
        <v>0</v>
      </c>
      <c r="AM544">
        <f t="shared" si="245"/>
        <v>0</v>
      </c>
      <c r="AN544">
        <f t="shared" si="246"/>
        <v>0</v>
      </c>
      <c r="AO544">
        <f t="shared" si="247"/>
        <v>1</v>
      </c>
      <c r="AP544">
        <f t="shared" si="248"/>
        <v>0</v>
      </c>
      <c r="AQ544">
        <f t="shared" si="249"/>
        <v>0</v>
      </c>
      <c r="AR544">
        <f t="shared" si="250"/>
        <v>1</v>
      </c>
      <c r="AS544">
        <f t="shared" si="251"/>
        <v>0</v>
      </c>
    </row>
    <row r="545" spans="2:45" x14ac:dyDescent="0.3">
      <c r="B545">
        <v>544</v>
      </c>
      <c r="C545" s="1">
        <v>41087</v>
      </c>
      <c r="D545">
        <v>3</v>
      </c>
      <c r="E545">
        <v>1</v>
      </c>
      <c r="F545">
        <v>6</v>
      </c>
      <c r="G545">
        <v>3</v>
      </c>
      <c r="H545">
        <v>1</v>
      </c>
      <c r="I545">
        <v>1077</v>
      </c>
      <c r="J545">
        <v>6258</v>
      </c>
      <c r="K545" s="8">
        <v>7335</v>
      </c>
      <c r="L545">
        <v>28.5975</v>
      </c>
      <c r="M545">
        <v>32.0396</v>
      </c>
      <c r="N545">
        <v>36</v>
      </c>
      <c r="O545">
        <v>18.208925000000001</v>
      </c>
      <c r="P545">
        <v>0</v>
      </c>
      <c r="Q545">
        <v>1</v>
      </c>
      <c r="R545">
        <f t="shared" si="224"/>
        <v>0</v>
      </c>
      <c r="S545">
        <f t="shared" si="225"/>
        <v>0</v>
      </c>
      <c r="T545">
        <f t="shared" si="226"/>
        <v>0</v>
      </c>
      <c r="U545">
        <f t="shared" si="227"/>
        <v>0</v>
      </c>
      <c r="V545">
        <f t="shared" si="228"/>
        <v>0</v>
      </c>
      <c r="W545">
        <f t="shared" si="229"/>
        <v>1</v>
      </c>
      <c r="X545">
        <f t="shared" si="230"/>
        <v>0</v>
      </c>
      <c r="Y545">
        <f t="shared" si="231"/>
        <v>0</v>
      </c>
      <c r="Z545">
        <f t="shared" si="232"/>
        <v>0</v>
      </c>
      <c r="AA545">
        <f t="shared" si="233"/>
        <v>0</v>
      </c>
      <c r="AB545">
        <f t="shared" si="234"/>
        <v>0</v>
      </c>
      <c r="AC545">
        <f t="shared" si="235"/>
        <v>0</v>
      </c>
      <c r="AD545">
        <f t="shared" si="236"/>
        <v>0</v>
      </c>
      <c r="AE545">
        <f t="shared" si="237"/>
        <v>0</v>
      </c>
      <c r="AF545">
        <f t="shared" si="238"/>
        <v>0</v>
      </c>
      <c r="AG545">
        <f t="shared" si="239"/>
        <v>1</v>
      </c>
      <c r="AH545">
        <f t="shared" si="240"/>
        <v>0</v>
      </c>
      <c r="AI545">
        <f t="shared" si="241"/>
        <v>0</v>
      </c>
      <c r="AJ545">
        <f t="shared" si="242"/>
        <v>0</v>
      </c>
      <c r="AK545">
        <f t="shared" si="243"/>
        <v>1</v>
      </c>
      <c r="AL545">
        <f t="shared" si="244"/>
        <v>0</v>
      </c>
      <c r="AM545">
        <f t="shared" si="245"/>
        <v>0</v>
      </c>
      <c r="AN545">
        <f t="shared" si="246"/>
        <v>0</v>
      </c>
      <c r="AO545">
        <f t="shared" si="247"/>
        <v>1</v>
      </c>
      <c r="AP545">
        <f t="shared" si="248"/>
        <v>0</v>
      </c>
      <c r="AQ545">
        <f t="shared" si="249"/>
        <v>0</v>
      </c>
      <c r="AR545">
        <f t="shared" si="250"/>
        <v>1</v>
      </c>
      <c r="AS545">
        <f t="shared" si="251"/>
        <v>0</v>
      </c>
    </row>
    <row r="546" spans="2:45" x14ac:dyDescent="0.3">
      <c r="B546">
        <v>545</v>
      </c>
      <c r="C546" s="1">
        <v>41088</v>
      </c>
      <c r="D546">
        <v>3</v>
      </c>
      <c r="E546">
        <v>1</v>
      </c>
      <c r="F546">
        <v>6</v>
      </c>
      <c r="G546">
        <v>4</v>
      </c>
      <c r="H546">
        <v>1</v>
      </c>
      <c r="I546">
        <v>921</v>
      </c>
      <c r="J546">
        <v>5958</v>
      </c>
      <c r="K546" s="8">
        <v>6879</v>
      </c>
      <c r="L546">
        <v>30.715847</v>
      </c>
      <c r="M546">
        <v>33.775599999999997</v>
      </c>
      <c r="N546">
        <v>42.25</v>
      </c>
      <c r="O546">
        <v>11.50055</v>
      </c>
      <c r="P546">
        <v>0</v>
      </c>
      <c r="Q546">
        <v>1</v>
      </c>
      <c r="R546">
        <f t="shared" si="224"/>
        <v>0</v>
      </c>
      <c r="S546">
        <f t="shared" si="225"/>
        <v>0</v>
      </c>
      <c r="T546">
        <f t="shared" si="226"/>
        <v>0</v>
      </c>
      <c r="U546">
        <f t="shared" si="227"/>
        <v>0</v>
      </c>
      <c r="V546">
        <f t="shared" si="228"/>
        <v>0</v>
      </c>
      <c r="W546">
        <f t="shared" si="229"/>
        <v>1</v>
      </c>
      <c r="X546">
        <f t="shared" si="230"/>
        <v>0</v>
      </c>
      <c r="Y546">
        <f t="shared" si="231"/>
        <v>0</v>
      </c>
      <c r="Z546">
        <f t="shared" si="232"/>
        <v>0</v>
      </c>
      <c r="AA546">
        <f t="shared" si="233"/>
        <v>0</v>
      </c>
      <c r="AB546">
        <f t="shared" si="234"/>
        <v>0</v>
      </c>
      <c r="AC546">
        <f t="shared" si="235"/>
        <v>0</v>
      </c>
      <c r="AD546">
        <f t="shared" si="236"/>
        <v>0</v>
      </c>
      <c r="AE546">
        <f t="shared" si="237"/>
        <v>0</v>
      </c>
      <c r="AF546">
        <f t="shared" si="238"/>
        <v>0</v>
      </c>
      <c r="AG546">
        <f t="shared" si="239"/>
        <v>0</v>
      </c>
      <c r="AH546">
        <f t="shared" si="240"/>
        <v>1</v>
      </c>
      <c r="AI546">
        <f t="shared" si="241"/>
        <v>0</v>
      </c>
      <c r="AJ546">
        <f t="shared" si="242"/>
        <v>0</v>
      </c>
      <c r="AK546">
        <f t="shared" si="243"/>
        <v>1</v>
      </c>
      <c r="AL546">
        <f t="shared" si="244"/>
        <v>0</v>
      </c>
      <c r="AM546">
        <f t="shared" si="245"/>
        <v>0</v>
      </c>
      <c r="AN546">
        <f t="shared" si="246"/>
        <v>0</v>
      </c>
      <c r="AO546">
        <f t="shared" si="247"/>
        <v>1</v>
      </c>
      <c r="AP546">
        <f t="shared" si="248"/>
        <v>0</v>
      </c>
      <c r="AQ546">
        <f t="shared" si="249"/>
        <v>0</v>
      </c>
      <c r="AR546">
        <f t="shared" si="250"/>
        <v>1</v>
      </c>
      <c r="AS546">
        <f t="shared" si="251"/>
        <v>0</v>
      </c>
    </row>
    <row r="547" spans="2:45" x14ac:dyDescent="0.3">
      <c r="B547">
        <v>546</v>
      </c>
      <c r="C547" s="1">
        <v>41089</v>
      </c>
      <c r="D547">
        <v>3</v>
      </c>
      <c r="E547">
        <v>1</v>
      </c>
      <c r="F547">
        <v>6</v>
      </c>
      <c r="G547">
        <v>5</v>
      </c>
      <c r="H547">
        <v>1</v>
      </c>
      <c r="I547">
        <v>829</v>
      </c>
      <c r="J547">
        <v>4634</v>
      </c>
      <c r="K547" s="8">
        <v>5463</v>
      </c>
      <c r="L547">
        <v>34.200847000000003</v>
      </c>
      <c r="M547">
        <v>39.330649999999999</v>
      </c>
      <c r="N547">
        <v>48.875</v>
      </c>
      <c r="O547">
        <v>11.082939</v>
      </c>
      <c r="P547">
        <v>0</v>
      </c>
      <c r="Q547">
        <v>1</v>
      </c>
      <c r="R547">
        <f t="shared" si="224"/>
        <v>0</v>
      </c>
      <c r="S547">
        <f t="shared" si="225"/>
        <v>0</v>
      </c>
      <c r="T547">
        <f t="shared" si="226"/>
        <v>0</v>
      </c>
      <c r="U547">
        <f t="shared" si="227"/>
        <v>0</v>
      </c>
      <c r="V547">
        <f t="shared" si="228"/>
        <v>0</v>
      </c>
      <c r="W547">
        <f t="shared" si="229"/>
        <v>1</v>
      </c>
      <c r="X547">
        <f t="shared" si="230"/>
        <v>0</v>
      </c>
      <c r="Y547">
        <f t="shared" si="231"/>
        <v>0</v>
      </c>
      <c r="Z547">
        <f t="shared" si="232"/>
        <v>0</v>
      </c>
      <c r="AA547">
        <f t="shared" si="233"/>
        <v>0</v>
      </c>
      <c r="AB547">
        <f t="shared" si="234"/>
        <v>0</v>
      </c>
      <c r="AC547">
        <f t="shared" si="235"/>
        <v>0</v>
      </c>
      <c r="AD547">
        <f t="shared" si="236"/>
        <v>0</v>
      </c>
      <c r="AE547">
        <f t="shared" si="237"/>
        <v>0</v>
      </c>
      <c r="AF547">
        <f t="shared" si="238"/>
        <v>0</v>
      </c>
      <c r="AG547">
        <f t="shared" si="239"/>
        <v>0</v>
      </c>
      <c r="AH547">
        <f t="shared" si="240"/>
        <v>0</v>
      </c>
      <c r="AI547">
        <f t="shared" si="241"/>
        <v>1</v>
      </c>
      <c r="AJ547">
        <f t="shared" si="242"/>
        <v>0</v>
      </c>
      <c r="AK547">
        <f t="shared" si="243"/>
        <v>1</v>
      </c>
      <c r="AL547">
        <f t="shared" si="244"/>
        <v>0</v>
      </c>
      <c r="AM547">
        <f t="shared" si="245"/>
        <v>0</v>
      </c>
      <c r="AN547">
        <f t="shared" si="246"/>
        <v>0</v>
      </c>
      <c r="AO547">
        <f t="shared" si="247"/>
        <v>1</v>
      </c>
      <c r="AP547">
        <f t="shared" si="248"/>
        <v>0</v>
      </c>
      <c r="AQ547">
        <f t="shared" si="249"/>
        <v>0</v>
      </c>
      <c r="AR547">
        <f t="shared" si="250"/>
        <v>1</v>
      </c>
      <c r="AS547">
        <f t="shared" si="251"/>
        <v>0</v>
      </c>
    </row>
    <row r="548" spans="2:45" x14ac:dyDescent="0.3">
      <c r="B548">
        <v>547</v>
      </c>
      <c r="C548" s="1">
        <v>41090</v>
      </c>
      <c r="D548">
        <v>3</v>
      </c>
      <c r="E548">
        <v>1</v>
      </c>
      <c r="F548">
        <v>6</v>
      </c>
      <c r="G548">
        <v>6</v>
      </c>
      <c r="H548">
        <v>1</v>
      </c>
      <c r="I548">
        <v>1455</v>
      </c>
      <c r="J548">
        <v>4232</v>
      </c>
      <c r="K548" s="8">
        <v>5687</v>
      </c>
      <c r="L548">
        <v>31.364999999999998</v>
      </c>
      <c r="M548">
        <v>34.375399999999999</v>
      </c>
      <c r="N548">
        <v>60.125</v>
      </c>
      <c r="O548">
        <v>10.791757</v>
      </c>
      <c r="P548">
        <v>0</v>
      </c>
      <c r="Q548">
        <v>0</v>
      </c>
      <c r="R548">
        <f t="shared" si="224"/>
        <v>0</v>
      </c>
      <c r="S548">
        <f t="shared" si="225"/>
        <v>0</v>
      </c>
      <c r="T548">
        <f t="shared" si="226"/>
        <v>0</v>
      </c>
      <c r="U548">
        <f t="shared" si="227"/>
        <v>0</v>
      </c>
      <c r="V548">
        <f t="shared" si="228"/>
        <v>0</v>
      </c>
      <c r="W548">
        <f t="shared" si="229"/>
        <v>1</v>
      </c>
      <c r="X548">
        <f t="shared" si="230"/>
        <v>0</v>
      </c>
      <c r="Y548">
        <f t="shared" si="231"/>
        <v>0</v>
      </c>
      <c r="Z548">
        <f t="shared" si="232"/>
        <v>0</v>
      </c>
      <c r="AA548">
        <f t="shared" si="233"/>
        <v>0</v>
      </c>
      <c r="AB548">
        <f t="shared" si="234"/>
        <v>0</v>
      </c>
      <c r="AC548">
        <f t="shared" si="235"/>
        <v>0</v>
      </c>
      <c r="AD548">
        <f t="shared" si="236"/>
        <v>0</v>
      </c>
      <c r="AE548">
        <f t="shared" si="237"/>
        <v>0</v>
      </c>
      <c r="AF548">
        <f t="shared" si="238"/>
        <v>0</v>
      </c>
      <c r="AG548">
        <f t="shared" si="239"/>
        <v>0</v>
      </c>
      <c r="AH548">
        <f t="shared" si="240"/>
        <v>0</v>
      </c>
      <c r="AI548">
        <f t="shared" si="241"/>
        <v>0</v>
      </c>
      <c r="AJ548">
        <f t="shared" si="242"/>
        <v>1</v>
      </c>
      <c r="AK548">
        <f t="shared" si="243"/>
        <v>1</v>
      </c>
      <c r="AL548">
        <f t="shared" si="244"/>
        <v>0</v>
      </c>
      <c r="AM548">
        <f t="shared" si="245"/>
        <v>0</v>
      </c>
      <c r="AN548">
        <f t="shared" si="246"/>
        <v>0</v>
      </c>
      <c r="AO548">
        <f t="shared" si="247"/>
        <v>1</v>
      </c>
      <c r="AP548">
        <f t="shared" si="248"/>
        <v>0</v>
      </c>
      <c r="AQ548">
        <f t="shared" si="249"/>
        <v>0</v>
      </c>
      <c r="AR548">
        <f t="shared" si="250"/>
        <v>1</v>
      </c>
      <c r="AS548">
        <f t="shared" si="251"/>
        <v>0</v>
      </c>
    </row>
    <row r="549" spans="2:45" x14ac:dyDescent="0.3">
      <c r="B549">
        <v>548</v>
      </c>
      <c r="C549" s="1">
        <v>41091</v>
      </c>
      <c r="D549">
        <v>3</v>
      </c>
      <c r="E549">
        <v>1</v>
      </c>
      <c r="F549">
        <v>7</v>
      </c>
      <c r="G549">
        <v>0</v>
      </c>
      <c r="H549">
        <v>1</v>
      </c>
      <c r="I549">
        <v>1421</v>
      </c>
      <c r="J549">
        <v>4110</v>
      </c>
      <c r="K549" s="8">
        <v>5531</v>
      </c>
      <c r="L549">
        <v>33.449153000000003</v>
      </c>
      <c r="M549">
        <v>37.53145</v>
      </c>
      <c r="N549">
        <v>51.875</v>
      </c>
      <c r="O549">
        <v>11.291442999999999</v>
      </c>
      <c r="P549">
        <v>0</v>
      </c>
      <c r="Q549">
        <v>0</v>
      </c>
      <c r="R549">
        <f t="shared" si="224"/>
        <v>0</v>
      </c>
      <c r="S549">
        <f t="shared" si="225"/>
        <v>0</v>
      </c>
      <c r="T549">
        <f t="shared" si="226"/>
        <v>0</v>
      </c>
      <c r="U549">
        <f t="shared" si="227"/>
        <v>0</v>
      </c>
      <c r="V549">
        <f t="shared" si="228"/>
        <v>0</v>
      </c>
      <c r="W549">
        <f t="shared" si="229"/>
        <v>0</v>
      </c>
      <c r="X549">
        <f t="shared" si="230"/>
        <v>1</v>
      </c>
      <c r="Y549">
        <f t="shared" si="231"/>
        <v>0</v>
      </c>
      <c r="Z549">
        <f t="shared" si="232"/>
        <v>0</v>
      </c>
      <c r="AA549">
        <f t="shared" si="233"/>
        <v>0</v>
      </c>
      <c r="AB549">
        <f t="shared" si="234"/>
        <v>0</v>
      </c>
      <c r="AC549">
        <f t="shared" si="235"/>
        <v>0</v>
      </c>
      <c r="AD549">
        <f t="shared" si="236"/>
        <v>1</v>
      </c>
      <c r="AE549">
        <f t="shared" si="237"/>
        <v>0</v>
      </c>
      <c r="AF549">
        <f t="shared" si="238"/>
        <v>0</v>
      </c>
      <c r="AG549">
        <f t="shared" si="239"/>
        <v>0</v>
      </c>
      <c r="AH549">
        <f t="shared" si="240"/>
        <v>0</v>
      </c>
      <c r="AI549">
        <f t="shared" si="241"/>
        <v>0</v>
      </c>
      <c r="AJ549">
        <f t="shared" si="242"/>
        <v>0</v>
      </c>
      <c r="AK549">
        <f t="shared" si="243"/>
        <v>1</v>
      </c>
      <c r="AL549">
        <f t="shared" si="244"/>
        <v>0</v>
      </c>
      <c r="AM549">
        <f t="shared" si="245"/>
        <v>0</v>
      </c>
      <c r="AN549">
        <f t="shared" si="246"/>
        <v>0</v>
      </c>
      <c r="AO549">
        <f t="shared" si="247"/>
        <v>1</v>
      </c>
      <c r="AP549">
        <f t="shared" si="248"/>
        <v>0</v>
      </c>
      <c r="AQ549">
        <f t="shared" si="249"/>
        <v>0</v>
      </c>
      <c r="AR549">
        <f t="shared" si="250"/>
        <v>1</v>
      </c>
      <c r="AS549">
        <f t="shared" si="251"/>
        <v>0</v>
      </c>
    </row>
    <row r="550" spans="2:45" x14ac:dyDescent="0.3">
      <c r="B550">
        <v>549</v>
      </c>
      <c r="C550" s="1">
        <v>41092</v>
      </c>
      <c r="D550">
        <v>3</v>
      </c>
      <c r="E550">
        <v>1</v>
      </c>
      <c r="F550">
        <v>7</v>
      </c>
      <c r="G550">
        <v>1</v>
      </c>
      <c r="H550">
        <v>1</v>
      </c>
      <c r="I550">
        <v>904</v>
      </c>
      <c r="J550">
        <v>5323</v>
      </c>
      <c r="K550" s="8">
        <v>6227</v>
      </c>
      <c r="L550">
        <v>32.048347</v>
      </c>
      <c r="M550">
        <v>35.101900000000001</v>
      </c>
      <c r="N550">
        <v>44.708300000000001</v>
      </c>
      <c r="O550">
        <v>13.082889</v>
      </c>
      <c r="P550">
        <v>0</v>
      </c>
      <c r="Q550">
        <v>1</v>
      </c>
      <c r="R550">
        <f t="shared" si="224"/>
        <v>0</v>
      </c>
      <c r="S550">
        <f t="shared" si="225"/>
        <v>0</v>
      </c>
      <c r="T550">
        <f t="shared" si="226"/>
        <v>0</v>
      </c>
      <c r="U550">
        <f t="shared" si="227"/>
        <v>0</v>
      </c>
      <c r="V550">
        <f t="shared" si="228"/>
        <v>0</v>
      </c>
      <c r="W550">
        <f t="shared" si="229"/>
        <v>0</v>
      </c>
      <c r="X550">
        <f t="shared" si="230"/>
        <v>1</v>
      </c>
      <c r="Y550">
        <f t="shared" si="231"/>
        <v>0</v>
      </c>
      <c r="Z550">
        <f t="shared" si="232"/>
        <v>0</v>
      </c>
      <c r="AA550">
        <f t="shared" si="233"/>
        <v>0</v>
      </c>
      <c r="AB550">
        <f t="shared" si="234"/>
        <v>0</v>
      </c>
      <c r="AC550">
        <f t="shared" si="235"/>
        <v>0</v>
      </c>
      <c r="AD550">
        <f t="shared" si="236"/>
        <v>0</v>
      </c>
      <c r="AE550">
        <f t="shared" si="237"/>
        <v>1</v>
      </c>
      <c r="AF550">
        <f t="shared" si="238"/>
        <v>0</v>
      </c>
      <c r="AG550">
        <f t="shared" si="239"/>
        <v>0</v>
      </c>
      <c r="AH550">
        <f t="shared" si="240"/>
        <v>0</v>
      </c>
      <c r="AI550">
        <f t="shared" si="241"/>
        <v>0</v>
      </c>
      <c r="AJ550">
        <f t="shared" si="242"/>
        <v>0</v>
      </c>
      <c r="AK550">
        <f t="shared" si="243"/>
        <v>1</v>
      </c>
      <c r="AL550">
        <f t="shared" si="244"/>
        <v>0</v>
      </c>
      <c r="AM550">
        <f t="shared" si="245"/>
        <v>0</v>
      </c>
      <c r="AN550">
        <f t="shared" si="246"/>
        <v>0</v>
      </c>
      <c r="AO550">
        <f t="shared" si="247"/>
        <v>1</v>
      </c>
      <c r="AP550">
        <f t="shared" si="248"/>
        <v>0</v>
      </c>
      <c r="AQ550">
        <f t="shared" si="249"/>
        <v>0</v>
      </c>
      <c r="AR550">
        <f t="shared" si="250"/>
        <v>1</v>
      </c>
      <c r="AS550">
        <f t="shared" si="251"/>
        <v>0</v>
      </c>
    </row>
    <row r="551" spans="2:45" x14ac:dyDescent="0.3">
      <c r="B551">
        <v>550</v>
      </c>
      <c r="C551" s="1">
        <v>41093</v>
      </c>
      <c r="D551">
        <v>3</v>
      </c>
      <c r="E551">
        <v>1</v>
      </c>
      <c r="F551">
        <v>7</v>
      </c>
      <c r="G551">
        <v>2</v>
      </c>
      <c r="H551">
        <v>1</v>
      </c>
      <c r="I551">
        <v>1052</v>
      </c>
      <c r="J551">
        <v>5608</v>
      </c>
      <c r="K551" s="8">
        <v>6660</v>
      </c>
      <c r="L551">
        <v>32.014153</v>
      </c>
      <c r="M551">
        <v>35.1325</v>
      </c>
      <c r="N551">
        <v>49.208300000000001</v>
      </c>
      <c r="O551">
        <v>8.4578790000000001</v>
      </c>
      <c r="P551">
        <v>0</v>
      </c>
      <c r="Q551">
        <v>1</v>
      </c>
      <c r="R551">
        <f t="shared" si="224"/>
        <v>0</v>
      </c>
      <c r="S551">
        <f t="shared" si="225"/>
        <v>0</v>
      </c>
      <c r="T551">
        <f t="shared" si="226"/>
        <v>0</v>
      </c>
      <c r="U551">
        <f t="shared" si="227"/>
        <v>0</v>
      </c>
      <c r="V551">
        <f t="shared" si="228"/>
        <v>0</v>
      </c>
      <c r="W551">
        <f t="shared" si="229"/>
        <v>0</v>
      </c>
      <c r="X551">
        <f t="shared" si="230"/>
        <v>1</v>
      </c>
      <c r="Y551">
        <f t="shared" si="231"/>
        <v>0</v>
      </c>
      <c r="Z551">
        <f t="shared" si="232"/>
        <v>0</v>
      </c>
      <c r="AA551">
        <f t="shared" si="233"/>
        <v>0</v>
      </c>
      <c r="AB551">
        <f t="shared" si="234"/>
        <v>0</v>
      </c>
      <c r="AC551">
        <f t="shared" si="235"/>
        <v>0</v>
      </c>
      <c r="AD551">
        <f t="shared" si="236"/>
        <v>0</v>
      </c>
      <c r="AE551">
        <f t="shared" si="237"/>
        <v>0</v>
      </c>
      <c r="AF551">
        <f t="shared" si="238"/>
        <v>1</v>
      </c>
      <c r="AG551">
        <f t="shared" si="239"/>
        <v>0</v>
      </c>
      <c r="AH551">
        <f t="shared" si="240"/>
        <v>0</v>
      </c>
      <c r="AI551">
        <f t="shared" si="241"/>
        <v>0</v>
      </c>
      <c r="AJ551">
        <f t="shared" si="242"/>
        <v>0</v>
      </c>
      <c r="AK551">
        <f t="shared" si="243"/>
        <v>1</v>
      </c>
      <c r="AL551">
        <f t="shared" si="244"/>
        <v>0</v>
      </c>
      <c r="AM551">
        <f t="shared" si="245"/>
        <v>0</v>
      </c>
      <c r="AN551">
        <f t="shared" si="246"/>
        <v>0</v>
      </c>
      <c r="AO551">
        <f t="shared" si="247"/>
        <v>1</v>
      </c>
      <c r="AP551">
        <f t="shared" si="248"/>
        <v>0</v>
      </c>
      <c r="AQ551">
        <f t="shared" si="249"/>
        <v>0</v>
      </c>
      <c r="AR551">
        <f t="shared" si="250"/>
        <v>1</v>
      </c>
      <c r="AS551">
        <f t="shared" si="251"/>
        <v>0</v>
      </c>
    </row>
    <row r="552" spans="2:45" x14ac:dyDescent="0.3">
      <c r="B552">
        <v>551</v>
      </c>
      <c r="C552" s="1">
        <v>41094</v>
      </c>
      <c r="D552">
        <v>3</v>
      </c>
      <c r="E552">
        <v>1</v>
      </c>
      <c r="F552">
        <v>7</v>
      </c>
      <c r="G552">
        <v>3</v>
      </c>
      <c r="H552">
        <v>1</v>
      </c>
      <c r="I552">
        <v>2562</v>
      </c>
      <c r="J552">
        <v>4841</v>
      </c>
      <c r="K552" s="8">
        <v>7403</v>
      </c>
      <c r="L552">
        <v>32.355846999999997</v>
      </c>
      <c r="M552">
        <v>36.616849999999999</v>
      </c>
      <c r="N552">
        <v>53.875</v>
      </c>
      <c r="O552">
        <v>9.0416500000000006</v>
      </c>
      <c r="P552">
        <v>1</v>
      </c>
      <c r="Q552">
        <v>0</v>
      </c>
      <c r="R552">
        <f t="shared" si="224"/>
        <v>0</v>
      </c>
      <c r="S552">
        <f t="shared" si="225"/>
        <v>0</v>
      </c>
      <c r="T552">
        <f t="shared" si="226"/>
        <v>0</v>
      </c>
      <c r="U552">
        <f t="shared" si="227"/>
        <v>0</v>
      </c>
      <c r="V552">
        <f t="shared" si="228"/>
        <v>0</v>
      </c>
      <c r="W552">
        <f t="shared" si="229"/>
        <v>0</v>
      </c>
      <c r="X552">
        <f t="shared" si="230"/>
        <v>1</v>
      </c>
      <c r="Y552">
        <f t="shared" si="231"/>
        <v>0</v>
      </c>
      <c r="Z552">
        <f t="shared" si="232"/>
        <v>0</v>
      </c>
      <c r="AA552">
        <f t="shared" si="233"/>
        <v>0</v>
      </c>
      <c r="AB552">
        <f t="shared" si="234"/>
        <v>0</v>
      </c>
      <c r="AC552">
        <f t="shared" si="235"/>
        <v>0</v>
      </c>
      <c r="AD552">
        <f t="shared" si="236"/>
        <v>0</v>
      </c>
      <c r="AE552">
        <f t="shared" si="237"/>
        <v>0</v>
      </c>
      <c r="AF552">
        <f t="shared" si="238"/>
        <v>0</v>
      </c>
      <c r="AG552">
        <f t="shared" si="239"/>
        <v>1</v>
      </c>
      <c r="AH552">
        <f t="shared" si="240"/>
        <v>0</v>
      </c>
      <c r="AI552">
        <f t="shared" si="241"/>
        <v>0</v>
      </c>
      <c r="AJ552">
        <f t="shared" si="242"/>
        <v>0</v>
      </c>
      <c r="AK552">
        <f t="shared" si="243"/>
        <v>1</v>
      </c>
      <c r="AL552">
        <f t="shared" si="244"/>
        <v>0</v>
      </c>
      <c r="AM552">
        <f t="shared" si="245"/>
        <v>0</v>
      </c>
      <c r="AN552">
        <f t="shared" si="246"/>
        <v>0</v>
      </c>
      <c r="AO552">
        <f t="shared" si="247"/>
        <v>1</v>
      </c>
      <c r="AP552">
        <f t="shared" si="248"/>
        <v>0</v>
      </c>
      <c r="AQ552">
        <f t="shared" si="249"/>
        <v>0</v>
      </c>
      <c r="AR552">
        <f t="shared" si="250"/>
        <v>1</v>
      </c>
      <c r="AS552">
        <f t="shared" si="251"/>
        <v>0</v>
      </c>
    </row>
    <row r="553" spans="2:45" x14ac:dyDescent="0.3">
      <c r="B553">
        <v>552</v>
      </c>
      <c r="C553" s="1">
        <v>41095</v>
      </c>
      <c r="D553">
        <v>3</v>
      </c>
      <c r="E553">
        <v>1</v>
      </c>
      <c r="F553">
        <v>7</v>
      </c>
      <c r="G553">
        <v>4</v>
      </c>
      <c r="H553">
        <v>1</v>
      </c>
      <c r="I553">
        <v>1405</v>
      </c>
      <c r="J553">
        <v>4836</v>
      </c>
      <c r="K553" s="8">
        <v>6241</v>
      </c>
      <c r="L553">
        <v>33.927500000000002</v>
      </c>
      <c r="M553">
        <v>38.068350000000002</v>
      </c>
      <c r="N553">
        <v>45.791699999999999</v>
      </c>
      <c r="O553">
        <v>12.999943</v>
      </c>
      <c r="P553">
        <v>0</v>
      </c>
      <c r="Q553">
        <v>1</v>
      </c>
      <c r="R553">
        <f t="shared" si="224"/>
        <v>0</v>
      </c>
      <c r="S553">
        <f t="shared" si="225"/>
        <v>0</v>
      </c>
      <c r="T553">
        <f t="shared" si="226"/>
        <v>0</v>
      </c>
      <c r="U553">
        <f t="shared" si="227"/>
        <v>0</v>
      </c>
      <c r="V553">
        <f t="shared" si="228"/>
        <v>0</v>
      </c>
      <c r="W553">
        <f t="shared" si="229"/>
        <v>0</v>
      </c>
      <c r="X553">
        <f t="shared" si="230"/>
        <v>1</v>
      </c>
      <c r="Y553">
        <f t="shared" si="231"/>
        <v>0</v>
      </c>
      <c r="Z553">
        <f t="shared" si="232"/>
        <v>0</v>
      </c>
      <c r="AA553">
        <f t="shared" si="233"/>
        <v>0</v>
      </c>
      <c r="AB553">
        <f t="shared" si="234"/>
        <v>0</v>
      </c>
      <c r="AC553">
        <f t="shared" si="235"/>
        <v>0</v>
      </c>
      <c r="AD553">
        <f t="shared" si="236"/>
        <v>0</v>
      </c>
      <c r="AE553">
        <f t="shared" si="237"/>
        <v>0</v>
      </c>
      <c r="AF553">
        <f t="shared" si="238"/>
        <v>0</v>
      </c>
      <c r="AG553">
        <f t="shared" si="239"/>
        <v>0</v>
      </c>
      <c r="AH553">
        <f t="shared" si="240"/>
        <v>1</v>
      </c>
      <c r="AI553">
        <f t="shared" si="241"/>
        <v>0</v>
      </c>
      <c r="AJ553">
        <f t="shared" si="242"/>
        <v>0</v>
      </c>
      <c r="AK553">
        <f t="shared" si="243"/>
        <v>1</v>
      </c>
      <c r="AL553">
        <f t="shared" si="244"/>
        <v>0</v>
      </c>
      <c r="AM553">
        <f t="shared" si="245"/>
        <v>0</v>
      </c>
      <c r="AN553">
        <f t="shared" si="246"/>
        <v>0</v>
      </c>
      <c r="AO553">
        <f t="shared" si="247"/>
        <v>1</v>
      </c>
      <c r="AP553">
        <f t="shared" si="248"/>
        <v>0</v>
      </c>
      <c r="AQ553">
        <f t="shared" si="249"/>
        <v>0</v>
      </c>
      <c r="AR553">
        <f t="shared" si="250"/>
        <v>1</v>
      </c>
      <c r="AS553">
        <f t="shared" si="251"/>
        <v>0</v>
      </c>
    </row>
    <row r="554" spans="2:45" x14ac:dyDescent="0.3">
      <c r="B554">
        <v>553</v>
      </c>
      <c r="C554" s="1">
        <v>41096</v>
      </c>
      <c r="D554">
        <v>3</v>
      </c>
      <c r="E554">
        <v>1</v>
      </c>
      <c r="F554">
        <v>7</v>
      </c>
      <c r="G554">
        <v>5</v>
      </c>
      <c r="H554">
        <v>1</v>
      </c>
      <c r="I554">
        <v>1366</v>
      </c>
      <c r="J554">
        <v>4841</v>
      </c>
      <c r="K554" s="8">
        <v>6207</v>
      </c>
      <c r="L554">
        <v>33.961652999999998</v>
      </c>
      <c r="M554">
        <v>37.626649999999998</v>
      </c>
      <c r="N554">
        <v>45.083300000000001</v>
      </c>
      <c r="O554">
        <v>9.7915139999999994</v>
      </c>
      <c r="P554">
        <v>0</v>
      </c>
      <c r="Q554">
        <v>1</v>
      </c>
      <c r="R554">
        <f t="shared" si="224"/>
        <v>0</v>
      </c>
      <c r="S554">
        <f t="shared" si="225"/>
        <v>0</v>
      </c>
      <c r="T554">
        <f t="shared" si="226"/>
        <v>0</v>
      </c>
      <c r="U554">
        <f t="shared" si="227"/>
        <v>0</v>
      </c>
      <c r="V554">
        <f t="shared" si="228"/>
        <v>0</v>
      </c>
      <c r="W554">
        <f t="shared" si="229"/>
        <v>0</v>
      </c>
      <c r="X554">
        <f t="shared" si="230"/>
        <v>1</v>
      </c>
      <c r="Y554">
        <f t="shared" si="231"/>
        <v>0</v>
      </c>
      <c r="Z554">
        <f t="shared" si="232"/>
        <v>0</v>
      </c>
      <c r="AA554">
        <f t="shared" si="233"/>
        <v>0</v>
      </c>
      <c r="AB554">
        <f t="shared" si="234"/>
        <v>0</v>
      </c>
      <c r="AC554">
        <f t="shared" si="235"/>
        <v>0</v>
      </c>
      <c r="AD554">
        <f t="shared" si="236"/>
        <v>0</v>
      </c>
      <c r="AE554">
        <f t="shared" si="237"/>
        <v>0</v>
      </c>
      <c r="AF554">
        <f t="shared" si="238"/>
        <v>0</v>
      </c>
      <c r="AG554">
        <f t="shared" si="239"/>
        <v>0</v>
      </c>
      <c r="AH554">
        <f t="shared" si="240"/>
        <v>0</v>
      </c>
      <c r="AI554">
        <f t="shared" si="241"/>
        <v>1</v>
      </c>
      <c r="AJ554">
        <f t="shared" si="242"/>
        <v>0</v>
      </c>
      <c r="AK554">
        <f t="shared" si="243"/>
        <v>1</v>
      </c>
      <c r="AL554">
        <f t="shared" si="244"/>
        <v>0</v>
      </c>
      <c r="AM554">
        <f t="shared" si="245"/>
        <v>0</v>
      </c>
      <c r="AN554">
        <f t="shared" si="246"/>
        <v>0</v>
      </c>
      <c r="AO554">
        <f t="shared" si="247"/>
        <v>1</v>
      </c>
      <c r="AP554">
        <f t="shared" si="248"/>
        <v>0</v>
      </c>
      <c r="AQ554">
        <f t="shared" si="249"/>
        <v>0</v>
      </c>
      <c r="AR554">
        <f t="shared" si="250"/>
        <v>1</v>
      </c>
      <c r="AS554">
        <f t="shared" si="251"/>
        <v>0</v>
      </c>
    </row>
    <row r="555" spans="2:45" x14ac:dyDescent="0.3">
      <c r="B555">
        <v>554</v>
      </c>
      <c r="C555" s="1">
        <v>41097</v>
      </c>
      <c r="D555">
        <v>3</v>
      </c>
      <c r="E555">
        <v>1</v>
      </c>
      <c r="F555">
        <v>7</v>
      </c>
      <c r="G555">
        <v>6</v>
      </c>
      <c r="H555">
        <v>1</v>
      </c>
      <c r="I555">
        <v>1448</v>
      </c>
      <c r="J555">
        <v>3392</v>
      </c>
      <c r="K555" s="8">
        <v>4840</v>
      </c>
      <c r="L555">
        <v>35.328347000000001</v>
      </c>
      <c r="M555">
        <v>40.245649999999998</v>
      </c>
      <c r="N555">
        <v>49.208300000000001</v>
      </c>
      <c r="O555">
        <v>10.958118000000001</v>
      </c>
      <c r="P555">
        <v>0</v>
      </c>
      <c r="Q555">
        <v>0</v>
      </c>
      <c r="R555">
        <f t="shared" si="224"/>
        <v>0</v>
      </c>
      <c r="S555">
        <f t="shared" si="225"/>
        <v>0</v>
      </c>
      <c r="T555">
        <f t="shared" si="226"/>
        <v>0</v>
      </c>
      <c r="U555">
        <f t="shared" si="227"/>
        <v>0</v>
      </c>
      <c r="V555">
        <f t="shared" si="228"/>
        <v>0</v>
      </c>
      <c r="W555">
        <f t="shared" si="229"/>
        <v>0</v>
      </c>
      <c r="X555">
        <f t="shared" si="230"/>
        <v>1</v>
      </c>
      <c r="Y555">
        <f t="shared" si="231"/>
        <v>0</v>
      </c>
      <c r="Z555">
        <f t="shared" si="232"/>
        <v>0</v>
      </c>
      <c r="AA555">
        <f t="shared" si="233"/>
        <v>0</v>
      </c>
      <c r="AB555">
        <f t="shared" si="234"/>
        <v>0</v>
      </c>
      <c r="AC555">
        <f t="shared" si="235"/>
        <v>0</v>
      </c>
      <c r="AD555">
        <f t="shared" si="236"/>
        <v>0</v>
      </c>
      <c r="AE555">
        <f t="shared" si="237"/>
        <v>0</v>
      </c>
      <c r="AF555">
        <f t="shared" si="238"/>
        <v>0</v>
      </c>
      <c r="AG555">
        <f t="shared" si="239"/>
        <v>0</v>
      </c>
      <c r="AH555">
        <f t="shared" si="240"/>
        <v>0</v>
      </c>
      <c r="AI555">
        <f t="shared" si="241"/>
        <v>0</v>
      </c>
      <c r="AJ555">
        <f t="shared" si="242"/>
        <v>1</v>
      </c>
      <c r="AK555">
        <f t="shared" si="243"/>
        <v>1</v>
      </c>
      <c r="AL555">
        <f t="shared" si="244"/>
        <v>0</v>
      </c>
      <c r="AM555">
        <f t="shared" si="245"/>
        <v>0</v>
      </c>
      <c r="AN555">
        <f t="shared" si="246"/>
        <v>0</v>
      </c>
      <c r="AO555">
        <f t="shared" si="247"/>
        <v>1</v>
      </c>
      <c r="AP555">
        <f t="shared" si="248"/>
        <v>0</v>
      </c>
      <c r="AQ555">
        <f t="shared" si="249"/>
        <v>0</v>
      </c>
      <c r="AR555">
        <f t="shared" si="250"/>
        <v>1</v>
      </c>
      <c r="AS555">
        <f t="shared" si="251"/>
        <v>0</v>
      </c>
    </row>
    <row r="556" spans="2:45" x14ac:dyDescent="0.3">
      <c r="B556">
        <v>555</v>
      </c>
      <c r="C556" s="1">
        <v>41098</v>
      </c>
      <c r="D556">
        <v>3</v>
      </c>
      <c r="E556">
        <v>1</v>
      </c>
      <c r="F556">
        <v>7</v>
      </c>
      <c r="G556">
        <v>0</v>
      </c>
      <c r="H556">
        <v>1</v>
      </c>
      <c r="I556">
        <v>1203</v>
      </c>
      <c r="J556">
        <v>3469</v>
      </c>
      <c r="K556" s="8">
        <v>4672</v>
      </c>
      <c r="L556">
        <v>33.722499999999997</v>
      </c>
      <c r="M556">
        <v>39.519799999999996</v>
      </c>
      <c r="N556">
        <v>57.375</v>
      </c>
      <c r="O556">
        <v>8.4171429999999994</v>
      </c>
      <c r="P556">
        <v>0</v>
      </c>
      <c r="Q556">
        <v>0</v>
      </c>
      <c r="R556">
        <f t="shared" si="224"/>
        <v>0</v>
      </c>
      <c r="S556">
        <f t="shared" si="225"/>
        <v>0</v>
      </c>
      <c r="T556">
        <f t="shared" si="226"/>
        <v>0</v>
      </c>
      <c r="U556">
        <f t="shared" si="227"/>
        <v>0</v>
      </c>
      <c r="V556">
        <f t="shared" si="228"/>
        <v>0</v>
      </c>
      <c r="W556">
        <f t="shared" si="229"/>
        <v>0</v>
      </c>
      <c r="X556">
        <f t="shared" si="230"/>
        <v>1</v>
      </c>
      <c r="Y556">
        <f t="shared" si="231"/>
        <v>0</v>
      </c>
      <c r="Z556">
        <f t="shared" si="232"/>
        <v>0</v>
      </c>
      <c r="AA556">
        <f t="shared" si="233"/>
        <v>0</v>
      </c>
      <c r="AB556">
        <f t="shared" si="234"/>
        <v>0</v>
      </c>
      <c r="AC556">
        <f t="shared" si="235"/>
        <v>0</v>
      </c>
      <c r="AD556">
        <f t="shared" si="236"/>
        <v>1</v>
      </c>
      <c r="AE556">
        <f t="shared" si="237"/>
        <v>0</v>
      </c>
      <c r="AF556">
        <f t="shared" si="238"/>
        <v>0</v>
      </c>
      <c r="AG556">
        <f t="shared" si="239"/>
        <v>0</v>
      </c>
      <c r="AH556">
        <f t="shared" si="240"/>
        <v>0</v>
      </c>
      <c r="AI556">
        <f t="shared" si="241"/>
        <v>0</v>
      </c>
      <c r="AJ556">
        <f t="shared" si="242"/>
        <v>0</v>
      </c>
      <c r="AK556">
        <f t="shared" si="243"/>
        <v>1</v>
      </c>
      <c r="AL556">
        <f t="shared" si="244"/>
        <v>0</v>
      </c>
      <c r="AM556">
        <f t="shared" si="245"/>
        <v>0</v>
      </c>
      <c r="AN556">
        <f t="shared" si="246"/>
        <v>0</v>
      </c>
      <c r="AO556">
        <f t="shared" si="247"/>
        <v>1</v>
      </c>
      <c r="AP556">
        <f t="shared" si="248"/>
        <v>0</v>
      </c>
      <c r="AQ556">
        <f t="shared" si="249"/>
        <v>0</v>
      </c>
      <c r="AR556">
        <f t="shared" si="250"/>
        <v>1</v>
      </c>
      <c r="AS556">
        <f t="shared" si="251"/>
        <v>0</v>
      </c>
    </row>
    <row r="557" spans="2:45" x14ac:dyDescent="0.3">
      <c r="B557">
        <v>556</v>
      </c>
      <c r="C557" s="1">
        <v>41099</v>
      </c>
      <c r="D557">
        <v>3</v>
      </c>
      <c r="E557">
        <v>1</v>
      </c>
      <c r="F557">
        <v>7</v>
      </c>
      <c r="G557">
        <v>1</v>
      </c>
      <c r="H557">
        <v>2</v>
      </c>
      <c r="I557">
        <v>998</v>
      </c>
      <c r="J557">
        <v>5571</v>
      </c>
      <c r="K557" s="8">
        <v>6569</v>
      </c>
      <c r="L557">
        <v>29.144152999999999</v>
      </c>
      <c r="M557">
        <v>32.7027</v>
      </c>
      <c r="N557">
        <v>68.333299999999994</v>
      </c>
      <c r="O557">
        <v>12.125325</v>
      </c>
      <c r="P557">
        <v>0</v>
      </c>
      <c r="Q557">
        <v>1</v>
      </c>
      <c r="R557">
        <f t="shared" si="224"/>
        <v>0</v>
      </c>
      <c r="S557">
        <f t="shared" si="225"/>
        <v>0</v>
      </c>
      <c r="T557">
        <f t="shared" si="226"/>
        <v>0</v>
      </c>
      <c r="U557">
        <f t="shared" si="227"/>
        <v>0</v>
      </c>
      <c r="V557">
        <f t="shared" si="228"/>
        <v>0</v>
      </c>
      <c r="W557">
        <f t="shared" si="229"/>
        <v>0</v>
      </c>
      <c r="X557">
        <f t="shared" si="230"/>
        <v>1</v>
      </c>
      <c r="Y557">
        <f t="shared" si="231"/>
        <v>0</v>
      </c>
      <c r="Z557">
        <f t="shared" si="232"/>
        <v>0</v>
      </c>
      <c r="AA557">
        <f t="shared" si="233"/>
        <v>0</v>
      </c>
      <c r="AB557">
        <f t="shared" si="234"/>
        <v>0</v>
      </c>
      <c r="AC557">
        <f t="shared" si="235"/>
        <v>0</v>
      </c>
      <c r="AD557">
        <f t="shared" si="236"/>
        <v>0</v>
      </c>
      <c r="AE557">
        <f t="shared" si="237"/>
        <v>1</v>
      </c>
      <c r="AF557">
        <f t="shared" si="238"/>
        <v>0</v>
      </c>
      <c r="AG557">
        <f t="shared" si="239"/>
        <v>0</v>
      </c>
      <c r="AH557">
        <f t="shared" si="240"/>
        <v>0</v>
      </c>
      <c r="AI557">
        <f t="shared" si="241"/>
        <v>0</v>
      </c>
      <c r="AJ557">
        <f t="shared" si="242"/>
        <v>0</v>
      </c>
      <c r="AK557">
        <f t="shared" si="243"/>
        <v>0</v>
      </c>
      <c r="AL557">
        <f t="shared" si="244"/>
        <v>1</v>
      </c>
      <c r="AM557">
        <f t="shared" si="245"/>
        <v>0</v>
      </c>
      <c r="AN557">
        <f t="shared" si="246"/>
        <v>0</v>
      </c>
      <c r="AO557">
        <f t="shared" si="247"/>
        <v>1</v>
      </c>
      <c r="AP557">
        <f t="shared" si="248"/>
        <v>0</v>
      </c>
      <c r="AQ557">
        <f t="shared" si="249"/>
        <v>0</v>
      </c>
      <c r="AR557">
        <f t="shared" si="250"/>
        <v>1</v>
      </c>
      <c r="AS557">
        <f t="shared" si="251"/>
        <v>0</v>
      </c>
    </row>
    <row r="558" spans="2:45" x14ac:dyDescent="0.3">
      <c r="B558">
        <v>557</v>
      </c>
      <c r="C558" s="1">
        <v>41100</v>
      </c>
      <c r="D558">
        <v>3</v>
      </c>
      <c r="E558">
        <v>1</v>
      </c>
      <c r="F558">
        <v>7</v>
      </c>
      <c r="G558">
        <v>2</v>
      </c>
      <c r="H558">
        <v>2</v>
      </c>
      <c r="I558">
        <v>954</v>
      </c>
      <c r="J558">
        <v>5336</v>
      </c>
      <c r="K558" s="8">
        <v>6290</v>
      </c>
      <c r="L558">
        <v>29.554152999999999</v>
      </c>
      <c r="M558">
        <v>33.239800000000002</v>
      </c>
      <c r="N558">
        <v>66.75</v>
      </c>
      <c r="O558">
        <v>10.166378999999999</v>
      </c>
      <c r="P558">
        <v>0</v>
      </c>
      <c r="Q558">
        <v>1</v>
      </c>
      <c r="R558">
        <f t="shared" si="224"/>
        <v>0</v>
      </c>
      <c r="S558">
        <f t="shared" si="225"/>
        <v>0</v>
      </c>
      <c r="T558">
        <f t="shared" si="226"/>
        <v>0</v>
      </c>
      <c r="U558">
        <f t="shared" si="227"/>
        <v>0</v>
      </c>
      <c r="V558">
        <f t="shared" si="228"/>
        <v>0</v>
      </c>
      <c r="W558">
        <f t="shared" si="229"/>
        <v>0</v>
      </c>
      <c r="X558">
        <f t="shared" si="230"/>
        <v>1</v>
      </c>
      <c r="Y558">
        <f t="shared" si="231"/>
        <v>0</v>
      </c>
      <c r="Z558">
        <f t="shared" si="232"/>
        <v>0</v>
      </c>
      <c r="AA558">
        <f t="shared" si="233"/>
        <v>0</v>
      </c>
      <c r="AB558">
        <f t="shared" si="234"/>
        <v>0</v>
      </c>
      <c r="AC558">
        <f t="shared" si="235"/>
        <v>0</v>
      </c>
      <c r="AD558">
        <f t="shared" si="236"/>
        <v>0</v>
      </c>
      <c r="AE558">
        <f t="shared" si="237"/>
        <v>0</v>
      </c>
      <c r="AF558">
        <f t="shared" si="238"/>
        <v>1</v>
      </c>
      <c r="AG558">
        <f t="shared" si="239"/>
        <v>0</v>
      </c>
      <c r="AH558">
        <f t="shared" si="240"/>
        <v>0</v>
      </c>
      <c r="AI558">
        <f t="shared" si="241"/>
        <v>0</v>
      </c>
      <c r="AJ558">
        <f t="shared" si="242"/>
        <v>0</v>
      </c>
      <c r="AK558">
        <f t="shared" si="243"/>
        <v>0</v>
      </c>
      <c r="AL558">
        <f t="shared" si="244"/>
        <v>1</v>
      </c>
      <c r="AM558">
        <f t="shared" si="245"/>
        <v>0</v>
      </c>
      <c r="AN558">
        <f t="shared" si="246"/>
        <v>0</v>
      </c>
      <c r="AO558">
        <f t="shared" si="247"/>
        <v>1</v>
      </c>
      <c r="AP558">
        <f t="shared" si="248"/>
        <v>0</v>
      </c>
      <c r="AQ558">
        <f t="shared" si="249"/>
        <v>0</v>
      </c>
      <c r="AR558">
        <f t="shared" si="250"/>
        <v>1</v>
      </c>
      <c r="AS558">
        <f t="shared" si="251"/>
        <v>0</v>
      </c>
    </row>
    <row r="559" spans="2:45" x14ac:dyDescent="0.3">
      <c r="B559">
        <v>558</v>
      </c>
      <c r="C559" s="1">
        <v>41101</v>
      </c>
      <c r="D559">
        <v>3</v>
      </c>
      <c r="E559">
        <v>1</v>
      </c>
      <c r="F559">
        <v>7</v>
      </c>
      <c r="G559">
        <v>3</v>
      </c>
      <c r="H559">
        <v>1</v>
      </c>
      <c r="I559">
        <v>975</v>
      </c>
      <c r="J559">
        <v>6289</v>
      </c>
      <c r="K559" s="8">
        <v>7264</v>
      </c>
      <c r="L559">
        <v>29.383347000000001</v>
      </c>
      <c r="M559">
        <v>32.513550000000002</v>
      </c>
      <c r="N559">
        <v>63.333300000000001</v>
      </c>
      <c r="O559">
        <v>10.166111000000001</v>
      </c>
      <c r="P559">
        <v>0</v>
      </c>
      <c r="Q559">
        <v>1</v>
      </c>
      <c r="R559">
        <f t="shared" si="224"/>
        <v>0</v>
      </c>
      <c r="S559">
        <f t="shared" si="225"/>
        <v>0</v>
      </c>
      <c r="T559">
        <f t="shared" si="226"/>
        <v>0</v>
      </c>
      <c r="U559">
        <f t="shared" si="227"/>
        <v>0</v>
      </c>
      <c r="V559">
        <f t="shared" si="228"/>
        <v>0</v>
      </c>
      <c r="W559">
        <f t="shared" si="229"/>
        <v>0</v>
      </c>
      <c r="X559">
        <f t="shared" si="230"/>
        <v>1</v>
      </c>
      <c r="Y559">
        <f t="shared" si="231"/>
        <v>0</v>
      </c>
      <c r="Z559">
        <f t="shared" si="232"/>
        <v>0</v>
      </c>
      <c r="AA559">
        <f t="shared" si="233"/>
        <v>0</v>
      </c>
      <c r="AB559">
        <f t="shared" si="234"/>
        <v>0</v>
      </c>
      <c r="AC559">
        <f t="shared" si="235"/>
        <v>0</v>
      </c>
      <c r="AD559">
        <f t="shared" si="236"/>
        <v>0</v>
      </c>
      <c r="AE559">
        <f t="shared" si="237"/>
        <v>0</v>
      </c>
      <c r="AF559">
        <f t="shared" si="238"/>
        <v>0</v>
      </c>
      <c r="AG559">
        <f t="shared" si="239"/>
        <v>1</v>
      </c>
      <c r="AH559">
        <f t="shared" si="240"/>
        <v>0</v>
      </c>
      <c r="AI559">
        <f t="shared" si="241"/>
        <v>0</v>
      </c>
      <c r="AJ559">
        <f t="shared" si="242"/>
        <v>0</v>
      </c>
      <c r="AK559">
        <f t="shared" si="243"/>
        <v>1</v>
      </c>
      <c r="AL559">
        <f t="shared" si="244"/>
        <v>0</v>
      </c>
      <c r="AM559">
        <f t="shared" si="245"/>
        <v>0</v>
      </c>
      <c r="AN559">
        <f t="shared" si="246"/>
        <v>0</v>
      </c>
      <c r="AO559">
        <f t="shared" si="247"/>
        <v>1</v>
      </c>
      <c r="AP559">
        <f t="shared" si="248"/>
        <v>0</v>
      </c>
      <c r="AQ559">
        <f t="shared" si="249"/>
        <v>0</v>
      </c>
      <c r="AR559">
        <f t="shared" si="250"/>
        <v>1</v>
      </c>
      <c r="AS559">
        <f t="shared" si="251"/>
        <v>0</v>
      </c>
    </row>
    <row r="560" spans="2:45" x14ac:dyDescent="0.3">
      <c r="B560">
        <v>559</v>
      </c>
      <c r="C560" s="1">
        <v>41102</v>
      </c>
      <c r="D560">
        <v>3</v>
      </c>
      <c r="E560">
        <v>1</v>
      </c>
      <c r="F560">
        <v>7</v>
      </c>
      <c r="G560">
        <v>4</v>
      </c>
      <c r="H560">
        <v>1</v>
      </c>
      <c r="I560">
        <v>1032</v>
      </c>
      <c r="J560">
        <v>6414</v>
      </c>
      <c r="K560" s="8">
        <v>7446</v>
      </c>
      <c r="L560">
        <v>29.349153000000001</v>
      </c>
      <c r="M560">
        <v>32.73415</v>
      </c>
      <c r="N560">
        <v>52.958300000000001</v>
      </c>
      <c r="O560">
        <v>9.8339250000000007</v>
      </c>
      <c r="P560">
        <v>0</v>
      </c>
      <c r="Q560">
        <v>1</v>
      </c>
      <c r="R560">
        <f t="shared" si="224"/>
        <v>0</v>
      </c>
      <c r="S560">
        <f t="shared" si="225"/>
        <v>0</v>
      </c>
      <c r="T560">
        <f t="shared" si="226"/>
        <v>0</v>
      </c>
      <c r="U560">
        <f t="shared" si="227"/>
        <v>0</v>
      </c>
      <c r="V560">
        <f t="shared" si="228"/>
        <v>0</v>
      </c>
      <c r="W560">
        <f t="shared" si="229"/>
        <v>0</v>
      </c>
      <c r="X560">
        <f t="shared" si="230"/>
        <v>1</v>
      </c>
      <c r="Y560">
        <f t="shared" si="231"/>
        <v>0</v>
      </c>
      <c r="Z560">
        <f t="shared" si="232"/>
        <v>0</v>
      </c>
      <c r="AA560">
        <f t="shared" si="233"/>
        <v>0</v>
      </c>
      <c r="AB560">
        <f t="shared" si="234"/>
        <v>0</v>
      </c>
      <c r="AC560">
        <f t="shared" si="235"/>
        <v>0</v>
      </c>
      <c r="AD560">
        <f t="shared" si="236"/>
        <v>0</v>
      </c>
      <c r="AE560">
        <f t="shared" si="237"/>
        <v>0</v>
      </c>
      <c r="AF560">
        <f t="shared" si="238"/>
        <v>0</v>
      </c>
      <c r="AG560">
        <f t="shared" si="239"/>
        <v>0</v>
      </c>
      <c r="AH560">
        <f t="shared" si="240"/>
        <v>1</v>
      </c>
      <c r="AI560">
        <f t="shared" si="241"/>
        <v>0</v>
      </c>
      <c r="AJ560">
        <f t="shared" si="242"/>
        <v>0</v>
      </c>
      <c r="AK560">
        <f t="shared" si="243"/>
        <v>1</v>
      </c>
      <c r="AL560">
        <f t="shared" si="244"/>
        <v>0</v>
      </c>
      <c r="AM560">
        <f t="shared" si="245"/>
        <v>0</v>
      </c>
      <c r="AN560">
        <f t="shared" si="246"/>
        <v>0</v>
      </c>
      <c r="AO560">
        <f t="shared" si="247"/>
        <v>1</v>
      </c>
      <c r="AP560">
        <f t="shared" si="248"/>
        <v>0</v>
      </c>
      <c r="AQ560">
        <f t="shared" si="249"/>
        <v>0</v>
      </c>
      <c r="AR560">
        <f t="shared" si="250"/>
        <v>1</v>
      </c>
      <c r="AS560">
        <f t="shared" si="251"/>
        <v>0</v>
      </c>
    </row>
    <row r="561" spans="2:45" x14ac:dyDescent="0.3">
      <c r="B561">
        <v>560</v>
      </c>
      <c r="C561" s="1">
        <v>41103</v>
      </c>
      <c r="D561">
        <v>3</v>
      </c>
      <c r="E561">
        <v>1</v>
      </c>
      <c r="F561">
        <v>7</v>
      </c>
      <c r="G561">
        <v>5</v>
      </c>
      <c r="H561">
        <v>2</v>
      </c>
      <c r="I561">
        <v>1511</v>
      </c>
      <c r="J561">
        <v>5988</v>
      </c>
      <c r="K561" s="8">
        <v>7499</v>
      </c>
      <c r="L561">
        <v>29.998346999999999</v>
      </c>
      <c r="M561">
        <v>33.396650000000001</v>
      </c>
      <c r="N561">
        <v>48.583300000000001</v>
      </c>
      <c r="O561">
        <v>5.4169499999999999</v>
      </c>
      <c r="P561">
        <v>0</v>
      </c>
      <c r="Q561">
        <v>1</v>
      </c>
      <c r="R561">
        <f t="shared" si="224"/>
        <v>0</v>
      </c>
      <c r="S561">
        <f t="shared" si="225"/>
        <v>0</v>
      </c>
      <c r="T561">
        <f t="shared" si="226"/>
        <v>0</v>
      </c>
      <c r="U561">
        <f t="shared" si="227"/>
        <v>0</v>
      </c>
      <c r="V561">
        <f t="shared" si="228"/>
        <v>0</v>
      </c>
      <c r="W561">
        <f t="shared" si="229"/>
        <v>0</v>
      </c>
      <c r="X561">
        <f t="shared" si="230"/>
        <v>1</v>
      </c>
      <c r="Y561">
        <f t="shared" si="231"/>
        <v>0</v>
      </c>
      <c r="Z561">
        <f t="shared" si="232"/>
        <v>0</v>
      </c>
      <c r="AA561">
        <f t="shared" si="233"/>
        <v>0</v>
      </c>
      <c r="AB561">
        <f t="shared" si="234"/>
        <v>0</v>
      </c>
      <c r="AC561">
        <f t="shared" si="235"/>
        <v>0</v>
      </c>
      <c r="AD561">
        <f t="shared" si="236"/>
        <v>0</v>
      </c>
      <c r="AE561">
        <f t="shared" si="237"/>
        <v>0</v>
      </c>
      <c r="AF561">
        <f t="shared" si="238"/>
        <v>0</v>
      </c>
      <c r="AG561">
        <f t="shared" si="239"/>
        <v>0</v>
      </c>
      <c r="AH561">
        <f t="shared" si="240"/>
        <v>0</v>
      </c>
      <c r="AI561">
        <f t="shared" si="241"/>
        <v>1</v>
      </c>
      <c r="AJ561">
        <f t="shared" si="242"/>
        <v>0</v>
      </c>
      <c r="AK561">
        <f t="shared" si="243"/>
        <v>0</v>
      </c>
      <c r="AL561">
        <f t="shared" si="244"/>
        <v>1</v>
      </c>
      <c r="AM561">
        <f t="shared" si="245"/>
        <v>0</v>
      </c>
      <c r="AN561">
        <f t="shared" si="246"/>
        <v>0</v>
      </c>
      <c r="AO561">
        <f t="shared" si="247"/>
        <v>1</v>
      </c>
      <c r="AP561">
        <f t="shared" si="248"/>
        <v>0</v>
      </c>
      <c r="AQ561">
        <f t="shared" si="249"/>
        <v>0</v>
      </c>
      <c r="AR561">
        <f t="shared" si="250"/>
        <v>1</v>
      </c>
      <c r="AS561">
        <f t="shared" si="251"/>
        <v>0</v>
      </c>
    </row>
    <row r="562" spans="2:45" x14ac:dyDescent="0.3">
      <c r="B562">
        <v>561</v>
      </c>
      <c r="C562" s="1">
        <v>41104</v>
      </c>
      <c r="D562">
        <v>3</v>
      </c>
      <c r="E562">
        <v>1</v>
      </c>
      <c r="F562">
        <v>7</v>
      </c>
      <c r="G562">
        <v>6</v>
      </c>
      <c r="H562">
        <v>2</v>
      </c>
      <c r="I562">
        <v>2355</v>
      </c>
      <c r="J562">
        <v>4614</v>
      </c>
      <c r="K562" s="8">
        <v>6969</v>
      </c>
      <c r="L562">
        <v>28.836652999999998</v>
      </c>
      <c r="M562">
        <v>33.302100000000003</v>
      </c>
      <c r="N562">
        <v>69.916700000000006</v>
      </c>
      <c r="O562">
        <v>9.626493</v>
      </c>
      <c r="P562">
        <v>0</v>
      </c>
      <c r="Q562">
        <v>0</v>
      </c>
      <c r="R562">
        <f t="shared" si="224"/>
        <v>0</v>
      </c>
      <c r="S562">
        <f t="shared" si="225"/>
        <v>0</v>
      </c>
      <c r="T562">
        <f t="shared" si="226"/>
        <v>0</v>
      </c>
      <c r="U562">
        <f t="shared" si="227"/>
        <v>0</v>
      </c>
      <c r="V562">
        <f t="shared" si="228"/>
        <v>0</v>
      </c>
      <c r="W562">
        <f t="shared" si="229"/>
        <v>0</v>
      </c>
      <c r="X562">
        <f t="shared" si="230"/>
        <v>1</v>
      </c>
      <c r="Y562">
        <f t="shared" si="231"/>
        <v>0</v>
      </c>
      <c r="Z562">
        <f t="shared" si="232"/>
        <v>0</v>
      </c>
      <c r="AA562">
        <f t="shared" si="233"/>
        <v>0</v>
      </c>
      <c r="AB562">
        <f t="shared" si="234"/>
        <v>0</v>
      </c>
      <c r="AC562">
        <f t="shared" si="235"/>
        <v>0</v>
      </c>
      <c r="AD562">
        <f t="shared" si="236"/>
        <v>0</v>
      </c>
      <c r="AE562">
        <f t="shared" si="237"/>
        <v>0</v>
      </c>
      <c r="AF562">
        <f t="shared" si="238"/>
        <v>0</v>
      </c>
      <c r="AG562">
        <f t="shared" si="239"/>
        <v>0</v>
      </c>
      <c r="AH562">
        <f t="shared" si="240"/>
        <v>0</v>
      </c>
      <c r="AI562">
        <f t="shared" si="241"/>
        <v>0</v>
      </c>
      <c r="AJ562">
        <f t="shared" si="242"/>
        <v>1</v>
      </c>
      <c r="AK562">
        <f t="shared" si="243"/>
        <v>0</v>
      </c>
      <c r="AL562">
        <f t="shared" si="244"/>
        <v>1</v>
      </c>
      <c r="AM562">
        <f t="shared" si="245"/>
        <v>0</v>
      </c>
      <c r="AN562">
        <f t="shared" si="246"/>
        <v>0</v>
      </c>
      <c r="AO562">
        <f t="shared" si="247"/>
        <v>1</v>
      </c>
      <c r="AP562">
        <f t="shared" si="248"/>
        <v>0</v>
      </c>
      <c r="AQ562">
        <f t="shared" si="249"/>
        <v>0</v>
      </c>
      <c r="AR562">
        <f t="shared" si="250"/>
        <v>1</v>
      </c>
      <c r="AS562">
        <f t="shared" si="251"/>
        <v>0</v>
      </c>
    </row>
    <row r="563" spans="2:45" x14ac:dyDescent="0.3">
      <c r="B563">
        <v>562</v>
      </c>
      <c r="C563" s="1">
        <v>41105</v>
      </c>
      <c r="D563">
        <v>3</v>
      </c>
      <c r="E563">
        <v>1</v>
      </c>
      <c r="F563">
        <v>7</v>
      </c>
      <c r="G563">
        <v>0</v>
      </c>
      <c r="H563">
        <v>1</v>
      </c>
      <c r="I563">
        <v>1920</v>
      </c>
      <c r="J563">
        <v>4111</v>
      </c>
      <c r="K563" s="8">
        <v>6031</v>
      </c>
      <c r="L563">
        <v>30.579153000000002</v>
      </c>
      <c r="M563">
        <v>35.259799999999998</v>
      </c>
      <c r="N563">
        <v>71.791700000000006</v>
      </c>
      <c r="O563">
        <v>11.166689</v>
      </c>
      <c r="P563">
        <v>0</v>
      </c>
      <c r="Q563">
        <v>0</v>
      </c>
      <c r="R563">
        <f t="shared" si="224"/>
        <v>0</v>
      </c>
      <c r="S563">
        <f t="shared" si="225"/>
        <v>0</v>
      </c>
      <c r="T563">
        <f t="shared" si="226"/>
        <v>0</v>
      </c>
      <c r="U563">
        <f t="shared" si="227"/>
        <v>0</v>
      </c>
      <c r="V563">
        <f t="shared" si="228"/>
        <v>0</v>
      </c>
      <c r="W563">
        <f t="shared" si="229"/>
        <v>0</v>
      </c>
      <c r="X563">
        <f t="shared" si="230"/>
        <v>1</v>
      </c>
      <c r="Y563">
        <f t="shared" si="231"/>
        <v>0</v>
      </c>
      <c r="Z563">
        <f t="shared" si="232"/>
        <v>0</v>
      </c>
      <c r="AA563">
        <f t="shared" si="233"/>
        <v>0</v>
      </c>
      <c r="AB563">
        <f t="shared" si="234"/>
        <v>0</v>
      </c>
      <c r="AC563">
        <f t="shared" si="235"/>
        <v>0</v>
      </c>
      <c r="AD563">
        <f t="shared" si="236"/>
        <v>1</v>
      </c>
      <c r="AE563">
        <f t="shared" si="237"/>
        <v>0</v>
      </c>
      <c r="AF563">
        <f t="shared" si="238"/>
        <v>0</v>
      </c>
      <c r="AG563">
        <f t="shared" si="239"/>
        <v>0</v>
      </c>
      <c r="AH563">
        <f t="shared" si="240"/>
        <v>0</v>
      </c>
      <c r="AI563">
        <f t="shared" si="241"/>
        <v>0</v>
      </c>
      <c r="AJ563">
        <f t="shared" si="242"/>
        <v>0</v>
      </c>
      <c r="AK563">
        <f t="shared" si="243"/>
        <v>1</v>
      </c>
      <c r="AL563">
        <f t="shared" si="244"/>
        <v>0</v>
      </c>
      <c r="AM563">
        <f t="shared" si="245"/>
        <v>0</v>
      </c>
      <c r="AN563">
        <f t="shared" si="246"/>
        <v>0</v>
      </c>
      <c r="AO563">
        <f t="shared" si="247"/>
        <v>1</v>
      </c>
      <c r="AP563">
        <f t="shared" si="248"/>
        <v>0</v>
      </c>
      <c r="AQ563">
        <f t="shared" si="249"/>
        <v>0</v>
      </c>
      <c r="AR563">
        <f t="shared" si="250"/>
        <v>1</v>
      </c>
      <c r="AS563">
        <f t="shared" si="251"/>
        <v>0</v>
      </c>
    </row>
    <row r="564" spans="2:45" x14ac:dyDescent="0.3">
      <c r="B564">
        <v>563</v>
      </c>
      <c r="C564" s="1">
        <v>41106</v>
      </c>
      <c r="D564">
        <v>3</v>
      </c>
      <c r="E564">
        <v>1</v>
      </c>
      <c r="F564">
        <v>7</v>
      </c>
      <c r="G564">
        <v>1</v>
      </c>
      <c r="H564">
        <v>1</v>
      </c>
      <c r="I564">
        <v>1088</v>
      </c>
      <c r="J564">
        <v>5742</v>
      </c>
      <c r="K564" s="8">
        <v>6830</v>
      </c>
      <c r="L564">
        <v>31.296652999999999</v>
      </c>
      <c r="M564">
        <v>36.206249999999997</v>
      </c>
      <c r="N564">
        <v>64.5</v>
      </c>
      <c r="O564">
        <v>11.000529</v>
      </c>
      <c r="P564">
        <v>0</v>
      </c>
      <c r="Q564">
        <v>1</v>
      </c>
      <c r="R564">
        <f t="shared" si="224"/>
        <v>0</v>
      </c>
      <c r="S564">
        <f t="shared" si="225"/>
        <v>0</v>
      </c>
      <c r="T564">
        <f t="shared" si="226"/>
        <v>0</v>
      </c>
      <c r="U564">
        <f t="shared" si="227"/>
        <v>0</v>
      </c>
      <c r="V564">
        <f t="shared" si="228"/>
        <v>0</v>
      </c>
      <c r="W564">
        <f t="shared" si="229"/>
        <v>0</v>
      </c>
      <c r="X564">
        <f t="shared" si="230"/>
        <v>1</v>
      </c>
      <c r="Y564">
        <f t="shared" si="231"/>
        <v>0</v>
      </c>
      <c r="Z564">
        <f t="shared" si="232"/>
        <v>0</v>
      </c>
      <c r="AA564">
        <f t="shared" si="233"/>
        <v>0</v>
      </c>
      <c r="AB564">
        <f t="shared" si="234"/>
        <v>0</v>
      </c>
      <c r="AC564">
        <f t="shared" si="235"/>
        <v>0</v>
      </c>
      <c r="AD564">
        <f t="shared" si="236"/>
        <v>0</v>
      </c>
      <c r="AE564">
        <f t="shared" si="237"/>
        <v>1</v>
      </c>
      <c r="AF564">
        <f t="shared" si="238"/>
        <v>0</v>
      </c>
      <c r="AG564">
        <f t="shared" si="239"/>
        <v>0</v>
      </c>
      <c r="AH564">
        <f t="shared" si="240"/>
        <v>0</v>
      </c>
      <c r="AI564">
        <f t="shared" si="241"/>
        <v>0</v>
      </c>
      <c r="AJ564">
        <f t="shared" si="242"/>
        <v>0</v>
      </c>
      <c r="AK564">
        <f t="shared" si="243"/>
        <v>1</v>
      </c>
      <c r="AL564">
        <f t="shared" si="244"/>
        <v>0</v>
      </c>
      <c r="AM564">
        <f t="shared" si="245"/>
        <v>0</v>
      </c>
      <c r="AN564">
        <f t="shared" si="246"/>
        <v>0</v>
      </c>
      <c r="AO564">
        <f t="shared" si="247"/>
        <v>1</v>
      </c>
      <c r="AP564">
        <f t="shared" si="248"/>
        <v>0</v>
      </c>
      <c r="AQ564">
        <f t="shared" si="249"/>
        <v>0</v>
      </c>
      <c r="AR564">
        <f t="shared" si="250"/>
        <v>1</v>
      </c>
      <c r="AS564">
        <f t="shared" si="251"/>
        <v>0</v>
      </c>
    </row>
    <row r="565" spans="2:45" x14ac:dyDescent="0.3">
      <c r="B565">
        <v>564</v>
      </c>
      <c r="C565" s="1">
        <v>41107</v>
      </c>
      <c r="D565">
        <v>3</v>
      </c>
      <c r="E565">
        <v>1</v>
      </c>
      <c r="F565">
        <v>7</v>
      </c>
      <c r="G565">
        <v>2</v>
      </c>
      <c r="H565">
        <v>1</v>
      </c>
      <c r="I565">
        <v>921</v>
      </c>
      <c r="J565">
        <v>5865</v>
      </c>
      <c r="K565" s="8">
        <v>6786</v>
      </c>
      <c r="L565">
        <v>33.551653000000002</v>
      </c>
      <c r="M565">
        <v>37.784149999999997</v>
      </c>
      <c r="N565">
        <v>50.583300000000001</v>
      </c>
      <c r="O565">
        <v>7.6667430000000003</v>
      </c>
      <c r="P565">
        <v>0</v>
      </c>
      <c r="Q565">
        <v>1</v>
      </c>
      <c r="R565">
        <f t="shared" si="224"/>
        <v>0</v>
      </c>
      <c r="S565">
        <f t="shared" si="225"/>
        <v>0</v>
      </c>
      <c r="T565">
        <f t="shared" si="226"/>
        <v>0</v>
      </c>
      <c r="U565">
        <f t="shared" si="227"/>
        <v>0</v>
      </c>
      <c r="V565">
        <f t="shared" si="228"/>
        <v>0</v>
      </c>
      <c r="W565">
        <f t="shared" si="229"/>
        <v>0</v>
      </c>
      <c r="X565">
        <f t="shared" si="230"/>
        <v>1</v>
      </c>
      <c r="Y565">
        <f t="shared" si="231"/>
        <v>0</v>
      </c>
      <c r="Z565">
        <f t="shared" si="232"/>
        <v>0</v>
      </c>
      <c r="AA565">
        <f t="shared" si="233"/>
        <v>0</v>
      </c>
      <c r="AB565">
        <f t="shared" si="234"/>
        <v>0</v>
      </c>
      <c r="AC565">
        <f t="shared" si="235"/>
        <v>0</v>
      </c>
      <c r="AD565">
        <f t="shared" si="236"/>
        <v>0</v>
      </c>
      <c r="AE565">
        <f t="shared" si="237"/>
        <v>0</v>
      </c>
      <c r="AF565">
        <f t="shared" si="238"/>
        <v>1</v>
      </c>
      <c r="AG565">
        <f t="shared" si="239"/>
        <v>0</v>
      </c>
      <c r="AH565">
        <f t="shared" si="240"/>
        <v>0</v>
      </c>
      <c r="AI565">
        <f t="shared" si="241"/>
        <v>0</v>
      </c>
      <c r="AJ565">
        <f t="shared" si="242"/>
        <v>0</v>
      </c>
      <c r="AK565">
        <f t="shared" si="243"/>
        <v>1</v>
      </c>
      <c r="AL565">
        <f t="shared" si="244"/>
        <v>0</v>
      </c>
      <c r="AM565">
        <f t="shared" si="245"/>
        <v>0</v>
      </c>
      <c r="AN565">
        <f t="shared" si="246"/>
        <v>0</v>
      </c>
      <c r="AO565">
        <f t="shared" si="247"/>
        <v>1</v>
      </c>
      <c r="AP565">
        <f t="shared" si="248"/>
        <v>0</v>
      </c>
      <c r="AQ565">
        <f t="shared" si="249"/>
        <v>0</v>
      </c>
      <c r="AR565">
        <f t="shared" si="250"/>
        <v>1</v>
      </c>
      <c r="AS565">
        <f t="shared" si="251"/>
        <v>0</v>
      </c>
    </row>
    <row r="566" spans="2:45" x14ac:dyDescent="0.3">
      <c r="B566">
        <v>565</v>
      </c>
      <c r="C566" s="1">
        <v>41108</v>
      </c>
      <c r="D566">
        <v>3</v>
      </c>
      <c r="E566">
        <v>1</v>
      </c>
      <c r="F566">
        <v>7</v>
      </c>
      <c r="G566">
        <v>3</v>
      </c>
      <c r="H566">
        <v>1</v>
      </c>
      <c r="I566">
        <v>799</v>
      </c>
      <c r="J566">
        <v>4914</v>
      </c>
      <c r="K566" s="8">
        <v>5713</v>
      </c>
      <c r="L566">
        <v>32.526653000000003</v>
      </c>
      <c r="M566">
        <v>37.279150000000001</v>
      </c>
      <c r="N566">
        <v>57.708300000000001</v>
      </c>
      <c r="O566">
        <v>9.2086140000000007</v>
      </c>
      <c r="P566">
        <v>0</v>
      </c>
      <c r="Q566">
        <v>1</v>
      </c>
      <c r="R566">
        <f t="shared" si="224"/>
        <v>0</v>
      </c>
      <c r="S566">
        <f t="shared" si="225"/>
        <v>0</v>
      </c>
      <c r="T566">
        <f t="shared" si="226"/>
        <v>0</v>
      </c>
      <c r="U566">
        <f t="shared" si="227"/>
        <v>0</v>
      </c>
      <c r="V566">
        <f t="shared" si="228"/>
        <v>0</v>
      </c>
      <c r="W566">
        <f t="shared" si="229"/>
        <v>0</v>
      </c>
      <c r="X566">
        <f t="shared" si="230"/>
        <v>1</v>
      </c>
      <c r="Y566">
        <f t="shared" si="231"/>
        <v>0</v>
      </c>
      <c r="Z566">
        <f t="shared" si="232"/>
        <v>0</v>
      </c>
      <c r="AA566">
        <f t="shared" si="233"/>
        <v>0</v>
      </c>
      <c r="AB566">
        <f t="shared" si="234"/>
        <v>0</v>
      </c>
      <c r="AC566">
        <f t="shared" si="235"/>
        <v>0</v>
      </c>
      <c r="AD566">
        <f t="shared" si="236"/>
        <v>0</v>
      </c>
      <c r="AE566">
        <f t="shared" si="237"/>
        <v>0</v>
      </c>
      <c r="AF566">
        <f t="shared" si="238"/>
        <v>0</v>
      </c>
      <c r="AG566">
        <f t="shared" si="239"/>
        <v>1</v>
      </c>
      <c r="AH566">
        <f t="shared" si="240"/>
        <v>0</v>
      </c>
      <c r="AI566">
        <f t="shared" si="241"/>
        <v>0</v>
      </c>
      <c r="AJ566">
        <f t="shared" si="242"/>
        <v>0</v>
      </c>
      <c r="AK566">
        <f t="shared" si="243"/>
        <v>1</v>
      </c>
      <c r="AL566">
        <f t="shared" si="244"/>
        <v>0</v>
      </c>
      <c r="AM566">
        <f t="shared" si="245"/>
        <v>0</v>
      </c>
      <c r="AN566">
        <f t="shared" si="246"/>
        <v>0</v>
      </c>
      <c r="AO566">
        <f t="shared" si="247"/>
        <v>1</v>
      </c>
      <c r="AP566">
        <f t="shared" si="248"/>
        <v>0</v>
      </c>
      <c r="AQ566">
        <f t="shared" si="249"/>
        <v>0</v>
      </c>
      <c r="AR566">
        <f t="shared" si="250"/>
        <v>1</v>
      </c>
      <c r="AS566">
        <f t="shared" si="251"/>
        <v>0</v>
      </c>
    </row>
    <row r="567" spans="2:45" x14ac:dyDescent="0.3">
      <c r="B567">
        <v>566</v>
      </c>
      <c r="C567" s="1">
        <v>41109</v>
      </c>
      <c r="D567">
        <v>3</v>
      </c>
      <c r="E567">
        <v>1</v>
      </c>
      <c r="F567">
        <v>7</v>
      </c>
      <c r="G567">
        <v>4</v>
      </c>
      <c r="H567">
        <v>1</v>
      </c>
      <c r="I567">
        <v>888</v>
      </c>
      <c r="J567">
        <v>5703</v>
      </c>
      <c r="K567" s="8">
        <v>6591</v>
      </c>
      <c r="L567">
        <v>31.57</v>
      </c>
      <c r="M567">
        <v>35.732100000000003</v>
      </c>
      <c r="N567">
        <v>60.041699999999999</v>
      </c>
      <c r="O567">
        <v>11.083743</v>
      </c>
      <c r="P567">
        <v>0</v>
      </c>
      <c r="Q567">
        <v>1</v>
      </c>
      <c r="R567">
        <f t="shared" si="224"/>
        <v>0</v>
      </c>
      <c r="S567">
        <f t="shared" si="225"/>
        <v>0</v>
      </c>
      <c r="T567">
        <f t="shared" si="226"/>
        <v>0</v>
      </c>
      <c r="U567">
        <f t="shared" si="227"/>
        <v>0</v>
      </c>
      <c r="V567">
        <f t="shared" si="228"/>
        <v>0</v>
      </c>
      <c r="W567">
        <f t="shared" si="229"/>
        <v>0</v>
      </c>
      <c r="X567">
        <f t="shared" si="230"/>
        <v>1</v>
      </c>
      <c r="Y567">
        <f t="shared" si="231"/>
        <v>0</v>
      </c>
      <c r="Z567">
        <f t="shared" si="232"/>
        <v>0</v>
      </c>
      <c r="AA567">
        <f t="shared" si="233"/>
        <v>0</v>
      </c>
      <c r="AB567">
        <f t="shared" si="234"/>
        <v>0</v>
      </c>
      <c r="AC567">
        <f t="shared" si="235"/>
        <v>0</v>
      </c>
      <c r="AD567">
        <f t="shared" si="236"/>
        <v>0</v>
      </c>
      <c r="AE567">
        <f t="shared" si="237"/>
        <v>0</v>
      </c>
      <c r="AF567">
        <f t="shared" si="238"/>
        <v>0</v>
      </c>
      <c r="AG567">
        <f t="shared" si="239"/>
        <v>0</v>
      </c>
      <c r="AH567">
        <f t="shared" si="240"/>
        <v>1</v>
      </c>
      <c r="AI567">
        <f t="shared" si="241"/>
        <v>0</v>
      </c>
      <c r="AJ567">
        <f t="shared" si="242"/>
        <v>0</v>
      </c>
      <c r="AK567">
        <f t="shared" si="243"/>
        <v>1</v>
      </c>
      <c r="AL567">
        <f t="shared" si="244"/>
        <v>0</v>
      </c>
      <c r="AM567">
        <f t="shared" si="245"/>
        <v>0</v>
      </c>
      <c r="AN567">
        <f t="shared" si="246"/>
        <v>0</v>
      </c>
      <c r="AO567">
        <f t="shared" si="247"/>
        <v>1</v>
      </c>
      <c r="AP567">
        <f t="shared" si="248"/>
        <v>0</v>
      </c>
      <c r="AQ567">
        <f t="shared" si="249"/>
        <v>0</v>
      </c>
      <c r="AR567">
        <f t="shared" si="250"/>
        <v>1</v>
      </c>
      <c r="AS567">
        <f t="shared" si="251"/>
        <v>0</v>
      </c>
    </row>
    <row r="568" spans="2:45" x14ac:dyDescent="0.3">
      <c r="B568">
        <v>567</v>
      </c>
      <c r="C568" s="1">
        <v>41110</v>
      </c>
      <c r="D568">
        <v>3</v>
      </c>
      <c r="E568">
        <v>1</v>
      </c>
      <c r="F568">
        <v>7</v>
      </c>
      <c r="G568">
        <v>5</v>
      </c>
      <c r="H568">
        <v>2</v>
      </c>
      <c r="I568">
        <v>747</v>
      </c>
      <c r="J568">
        <v>5123</v>
      </c>
      <c r="K568" s="8">
        <v>5870</v>
      </c>
      <c r="L568">
        <v>27.299153</v>
      </c>
      <c r="M568">
        <v>30.651250000000001</v>
      </c>
      <c r="N568">
        <v>84.416700000000006</v>
      </c>
      <c r="O568">
        <v>14.000788999999999</v>
      </c>
      <c r="P568">
        <v>0</v>
      </c>
      <c r="Q568">
        <v>1</v>
      </c>
      <c r="R568">
        <f t="shared" si="224"/>
        <v>0</v>
      </c>
      <c r="S568">
        <f t="shared" si="225"/>
        <v>0</v>
      </c>
      <c r="T568">
        <f t="shared" si="226"/>
        <v>0</v>
      </c>
      <c r="U568">
        <f t="shared" si="227"/>
        <v>0</v>
      </c>
      <c r="V568">
        <f t="shared" si="228"/>
        <v>0</v>
      </c>
      <c r="W568">
        <f t="shared" si="229"/>
        <v>0</v>
      </c>
      <c r="X568">
        <f t="shared" si="230"/>
        <v>1</v>
      </c>
      <c r="Y568">
        <f t="shared" si="231"/>
        <v>0</v>
      </c>
      <c r="Z568">
        <f t="shared" si="232"/>
        <v>0</v>
      </c>
      <c r="AA568">
        <f t="shared" si="233"/>
        <v>0</v>
      </c>
      <c r="AB568">
        <f t="shared" si="234"/>
        <v>0</v>
      </c>
      <c r="AC568">
        <f t="shared" si="235"/>
        <v>0</v>
      </c>
      <c r="AD568">
        <f t="shared" si="236"/>
        <v>0</v>
      </c>
      <c r="AE568">
        <f t="shared" si="237"/>
        <v>0</v>
      </c>
      <c r="AF568">
        <f t="shared" si="238"/>
        <v>0</v>
      </c>
      <c r="AG568">
        <f t="shared" si="239"/>
        <v>0</v>
      </c>
      <c r="AH568">
        <f t="shared" si="240"/>
        <v>0</v>
      </c>
      <c r="AI568">
        <f t="shared" si="241"/>
        <v>1</v>
      </c>
      <c r="AJ568">
        <f t="shared" si="242"/>
        <v>0</v>
      </c>
      <c r="AK568">
        <f t="shared" si="243"/>
        <v>0</v>
      </c>
      <c r="AL568">
        <f t="shared" si="244"/>
        <v>1</v>
      </c>
      <c r="AM568">
        <f t="shared" si="245"/>
        <v>0</v>
      </c>
      <c r="AN568">
        <f t="shared" si="246"/>
        <v>0</v>
      </c>
      <c r="AO568">
        <f t="shared" si="247"/>
        <v>1</v>
      </c>
      <c r="AP568">
        <f t="shared" si="248"/>
        <v>0</v>
      </c>
      <c r="AQ568">
        <f t="shared" si="249"/>
        <v>0</v>
      </c>
      <c r="AR568">
        <f t="shared" si="250"/>
        <v>1</v>
      </c>
      <c r="AS568">
        <f t="shared" si="251"/>
        <v>0</v>
      </c>
    </row>
    <row r="569" spans="2:45" x14ac:dyDescent="0.3">
      <c r="B569">
        <v>568</v>
      </c>
      <c r="C569" s="1">
        <v>41111</v>
      </c>
      <c r="D569">
        <v>3</v>
      </c>
      <c r="E569">
        <v>1</v>
      </c>
      <c r="F569">
        <v>7</v>
      </c>
      <c r="G569">
        <v>6</v>
      </c>
      <c r="H569">
        <v>3</v>
      </c>
      <c r="I569">
        <v>1264</v>
      </c>
      <c r="J569">
        <v>3195</v>
      </c>
      <c r="K569" s="8">
        <v>4459</v>
      </c>
      <c r="L569">
        <v>24.429152999999999</v>
      </c>
      <c r="M569">
        <v>27.4956</v>
      </c>
      <c r="N569">
        <v>86.541700000000006</v>
      </c>
      <c r="O569">
        <v>14.2911</v>
      </c>
      <c r="P569">
        <v>0</v>
      </c>
      <c r="Q569">
        <v>0</v>
      </c>
      <c r="R569">
        <f t="shared" si="224"/>
        <v>0</v>
      </c>
      <c r="S569">
        <f t="shared" si="225"/>
        <v>0</v>
      </c>
      <c r="T569">
        <f t="shared" si="226"/>
        <v>0</v>
      </c>
      <c r="U569">
        <f t="shared" si="227"/>
        <v>0</v>
      </c>
      <c r="V569">
        <f t="shared" si="228"/>
        <v>0</v>
      </c>
      <c r="W569">
        <f t="shared" si="229"/>
        <v>0</v>
      </c>
      <c r="X569">
        <f t="shared" si="230"/>
        <v>1</v>
      </c>
      <c r="Y569">
        <f t="shared" si="231"/>
        <v>0</v>
      </c>
      <c r="Z569">
        <f t="shared" si="232"/>
        <v>0</v>
      </c>
      <c r="AA569">
        <f t="shared" si="233"/>
        <v>0</v>
      </c>
      <c r="AB569">
        <f t="shared" si="234"/>
        <v>0</v>
      </c>
      <c r="AC569">
        <f t="shared" si="235"/>
        <v>0</v>
      </c>
      <c r="AD569">
        <f t="shared" si="236"/>
        <v>0</v>
      </c>
      <c r="AE569">
        <f t="shared" si="237"/>
        <v>0</v>
      </c>
      <c r="AF569">
        <f t="shared" si="238"/>
        <v>0</v>
      </c>
      <c r="AG569">
        <f t="shared" si="239"/>
        <v>0</v>
      </c>
      <c r="AH569">
        <f t="shared" si="240"/>
        <v>0</v>
      </c>
      <c r="AI569">
        <f t="shared" si="241"/>
        <v>0</v>
      </c>
      <c r="AJ569">
        <f t="shared" si="242"/>
        <v>1</v>
      </c>
      <c r="AK569">
        <f t="shared" si="243"/>
        <v>0</v>
      </c>
      <c r="AL569">
        <f t="shared" si="244"/>
        <v>0</v>
      </c>
      <c r="AM569">
        <f t="shared" si="245"/>
        <v>1</v>
      </c>
      <c r="AN569">
        <f t="shared" si="246"/>
        <v>0</v>
      </c>
      <c r="AO569">
        <f t="shared" si="247"/>
        <v>1</v>
      </c>
      <c r="AP569">
        <f t="shared" si="248"/>
        <v>0</v>
      </c>
      <c r="AQ569">
        <f t="shared" si="249"/>
        <v>0</v>
      </c>
      <c r="AR569">
        <f t="shared" si="250"/>
        <v>1</v>
      </c>
      <c r="AS569">
        <f t="shared" si="251"/>
        <v>0</v>
      </c>
    </row>
    <row r="570" spans="2:45" x14ac:dyDescent="0.3">
      <c r="B570">
        <v>569</v>
      </c>
      <c r="C570" s="1">
        <v>41112</v>
      </c>
      <c r="D570">
        <v>3</v>
      </c>
      <c r="E570">
        <v>1</v>
      </c>
      <c r="F570">
        <v>7</v>
      </c>
      <c r="G570">
        <v>0</v>
      </c>
      <c r="H570">
        <v>2</v>
      </c>
      <c r="I570">
        <v>2544</v>
      </c>
      <c r="J570">
        <v>4866</v>
      </c>
      <c r="K570" s="8">
        <v>7410</v>
      </c>
      <c r="L570">
        <v>27.3675</v>
      </c>
      <c r="M570">
        <v>31.15625</v>
      </c>
      <c r="N570">
        <v>76.25</v>
      </c>
      <c r="O570">
        <v>6.2926935999999998</v>
      </c>
      <c r="P570">
        <v>0</v>
      </c>
      <c r="Q570">
        <v>0</v>
      </c>
      <c r="R570">
        <f t="shared" si="224"/>
        <v>0</v>
      </c>
      <c r="S570">
        <f t="shared" si="225"/>
        <v>0</v>
      </c>
      <c r="T570">
        <f t="shared" si="226"/>
        <v>0</v>
      </c>
      <c r="U570">
        <f t="shared" si="227"/>
        <v>0</v>
      </c>
      <c r="V570">
        <f t="shared" si="228"/>
        <v>0</v>
      </c>
      <c r="W570">
        <f t="shared" si="229"/>
        <v>0</v>
      </c>
      <c r="X570">
        <f t="shared" si="230"/>
        <v>1</v>
      </c>
      <c r="Y570">
        <f t="shared" si="231"/>
        <v>0</v>
      </c>
      <c r="Z570">
        <f t="shared" si="232"/>
        <v>0</v>
      </c>
      <c r="AA570">
        <f t="shared" si="233"/>
        <v>0</v>
      </c>
      <c r="AB570">
        <f t="shared" si="234"/>
        <v>0</v>
      </c>
      <c r="AC570">
        <f t="shared" si="235"/>
        <v>0</v>
      </c>
      <c r="AD570">
        <f t="shared" si="236"/>
        <v>1</v>
      </c>
      <c r="AE570">
        <f t="shared" si="237"/>
        <v>0</v>
      </c>
      <c r="AF570">
        <f t="shared" si="238"/>
        <v>0</v>
      </c>
      <c r="AG570">
        <f t="shared" si="239"/>
        <v>0</v>
      </c>
      <c r="AH570">
        <f t="shared" si="240"/>
        <v>0</v>
      </c>
      <c r="AI570">
        <f t="shared" si="241"/>
        <v>0</v>
      </c>
      <c r="AJ570">
        <f t="shared" si="242"/>
        <v>0</v>
      </c>
      <c r="AK570">
        <f t="shared" si="243"/>
        <v>0</v>
      </c>
      <c r="AL570">
        <f t="shared" si="244"/>
        <v>1</v>
      </c>
      <c r="AM570">
        <f t="shared" si="245"/>
        <v>0</v>
      </c>
      <c r="AN570">
        <f t="shared" si="246"/>
        <v>0</v>
      </c>
      <c r="AO570">
        <f t="shared" si="247"/>
        <v>1</v>
      </c>
      <c r="AP570">
        <f t="shared" si="248"/>
        <v>0</v>
      </c>
      <c r="AQ570">
        <f t="shared" si="249"/>
        <v>0</v>
      </c>
      <c r="AR570">
        <f t="shared" si="250"/>
        <v>1</v>
      </c>
      <c r="AS570">
        <f t="shared" si="251"/>
        <v>0</v>
      </c>
    </row>
    <row r="571" spans="2:45" x14ac:dyDescent="0.3">
      <c r="B571">
        <v>570</v>
      </c>
      <c r="C571" s="1">
        <v>41113</v>
      </c>
      <c r="D571">
        <v>3</v>
      </c>
      <c r="E571">
        <v>1</v>
      </c>
      <c r="F571">
        <v>7</v>
      </c>
      <c r="G571">
        <v>1</v>
      </c>
      <c r="H571">
        <v>1</v>
      </c>
      <c r="I571">
        <v>1135</v>
      </c>
      <c r="J571">
        <v>5831</v>
      </c>
      <c r="K571" s="8">
        <v>6966</v>
      </c>
      <c r="L571">
        <v>30.408346999999999</v>
      </c>
      <c r="M571">
        <v>34.50085</v>
      </c>
      <c r="N571">
        <v>69.416700000000006</v>
      </c>
      <c r="O571">
        <v>9.2917609999999993</v>
      </c>
      <c r="P571">
        <v>0</v>
      </c>
      <c r="Q571">
        <v>1</v>
      </c>
      <c r="R571">
        <f t="shared" si="224"/>
        <v>0</v>
      </c>
      <c r="S571">
        <f t="shared" si="225"/>
        <v>0</v>
      </c>
      <c r="T571">
        <f t="shared" si="226"/>
        <v>0</v>
      </c>
      <c r="U571">
        <f t="shared" si="227"/>
        <v>0</v>
      </c>
      <c r="V571">
        <f t="shared" si="228"/>
        <v>0</v>
      </c>
      <c r="W571">
        <f t="shared" si="229"/>
        <v>0</v>
      </c>
      <c r="X571">
        <f t="shared" si="230"/>
        <v>1</v>
      </c>
      <c r="Y571">
        <f t="shared" si="231"/>
        <v>0</v>
      </c>
      <c r="Z571">
        <f t="shared" si="232"/>
        <v>0</v>
      </c>
      <c r="AA571">
        <f t="shared" si="233"/>
        <v>0</v>
      </c>
      <c r="AB571">
        <f t="shared" si="234"/>
        <v>0</v>
      </c>
      <c r="AC571">
        <f t="shared" si="235"/>
        <v>0</v>
      </c>
      <c r="AD571">
        <f t="shared" si="236"/>
        <v>0</v>
      </c>
      <c r="AE571">
        <f t="shared" si="237"/>
        <v>1</v>
      </c>
      <c r="AF571">
        <f t="shared" si="238"/>
        <v>0</v>
      </c>
      <c r="AG571">
        <f t="shared" si="239"/>
        <v>0</v>
      </c>
      <c r="AH571">
        <f t="shared" si="240"/>
        <v>0</v>
      </c>
      <c r="AI571">
        <f t="shared" si="241"/>
        <v>0</v>
      </c>
      <c r="AJ571">
        <f t="shared" si="242"/>
        <v>0</v>
      </c>
      <c r="AK571">
        <f t="shared" si="243"/>
        <v>1</v>
      </c>
      <c r="AL571">
        <f t="shared" si="244"/>
        <v>0</v>
      </c>
      <c r="AM571">
        <f t="shared" si="245"/>
        <v>0</v>
      </c>
      <c r="AN571">
        <f t="shared" si="246"/>
        <v>0</v>
      </c>
      <c r="AO571">
        <f t="shared" si="247"/>
        <v>1</v>
      </c>
      <c r="AP571">
        <f t="shared" si="248"/>
        <v>0</v>
      </c>
      <c r="AQ571">
        <f t="shared" si="249"/>
        <v>0</v>
      </c>
      <c r="AR571">
        <f t="shared" si="250"/>
        <v>1</v>
      </c>
      <c r="AS571">
        <f t="shared" si="251"/>
        <v>0</v>
      </c>
    </row>
    <row r="572" spans="2:45" x14ac:dyDescent="0.3">
      <c r="B572">
        <v>571</v>
      </c>
      <c r="C572" s="1">
        <v>41114</v>
      </c>
      <c r="D572">
        <v>3</v>
      </c>
      <c r="E572">
        <v>1</v>
      </c>
      <c r="F572">
        <v>7</v>
      </c>
      <c r="G572">
        <v>2</v>
      </c>
      <c r="H572">
        <v>1</v>
      </c>
      <c r="I572">
        <v>1140</v>
      </c>
      <c r="J572">
        <v>6452</v>
      </c>
      <c r="K572" s="8">
        <v>7592</v>
      </c>
      <c r="L572">
        <v>30.784153</v>
      </c>
      <c r="M572">
        <v>35.322499999999998</v>
      </c>
      <c r="N572">
        <v>65.5</v>
      </c>
      <c r="O572">
        <v>14.167418</v>
      </c>
      <c r="P572">
        <v>0</v>
      </c>
      <c r="Q572">
        <v>1</v>
      </c>
      <c r="R572">
        <f t="shared" si="224"/>
        <v>0</v>
      </c>
      <c r="S572">
        <f t="shared" si="225"/>
        <v>0</v>
      </c>
      <c r="T572">
        <f t="shared" si="226"/>
        <v>0</v>
      </c>
      <c r="U572">
        <f t="shared" si="227"/>
        <v>0</v>
      </c>
      <c r="V572">
        <f t="shared" si="228"/>
        <v>0</v>
      </c>
      <c r="W572">
        <f t="shared" si="229"/>
        <v>0</v>
      </c>
      <c r="X572">
        <f t="shared" si="230"/>
        <v>1</v>
      </c>
      <c r="Y572">
        <f t="shared" si="231"/>
        <v>0</v>
      </c>
      <c r="Z572">
        <f t="shared" si="232"/>
        <v>0</v>
      </c>
      <c r="AA572">
        <f t="shared" si="233"/>
        <v>0</v>
      </c>
      <c r="AB572">
        <f t="shared" si="234"/>
        <v>0</v>
      </c>
      <c r="AC572">
        <f t="shared" si="235"/>
        <v>0</v>
      </c>
      <c r="AD572">
        <f t="shared" si="236"/>
        <v>0</v>
      </c>
      <c r="AE572">
        <f t="shared" si="237"/>
        <v>0</v>
      </c>
      <c r="AF572">
        <f t="shared" si="238"/>
        <v>1</v>
      </c>
      <c r="AG572">
        <f t="shared" si="239"/>
        <v>0</v>
      </c>
      <c r="AH572">
        <f t="shared" si="240"/>
        <v>0</v>
      </c>
      <c r="AI572">
        <f t="shared" si="241"/>
        <v>0</v>
      </c>
      <c r="AJ572">
        <f t="shared" si="242"/>
        <v>0</v>
      </c>
      <c r="AK572">
        <f t="shared" si="243"/>
        <v>1</v>
      </c>
      <c r="AL572">
        <f t="shared" si="244"/>
        <v>0</v>
      </c>
      <c r="AM572">
        <f t="shared" si="245"/>
        <v>0</v>
      </c>
      <c r="AN572">
        <f t="shared" si="246"/>
        <v>0</v>
      </c>
      <c r="AO572">
        <f t="shared" si="247"/>
        <v>1</v>
      </c>
      <c r="AP572">
        <f t="shared" si="248"/>
        <v>0</v>
      </c>
      <c r="AQ572">
        <f t="shared" si="249"/>
        <v>0</v>
      </c>
      <c r="AR572">
        <f t="shared" si="250"/>
        <v>1</v>
      </c>
      <c r="AS572">
        <f t="shared" si="251"/>
        <v>0</v>
      </c>
    </row>
    <row r="573" spans="2:45" x14ac:dyDescent="0.3">
      <c r="B573">
        <v>572</v>
      </c>
      <c r="C573" s="1">
        <v>41115</v>
      </c>
      <c r="D573">
        <v>3</v>
      </c>
      <c r="E573">
        <v>1</v>
      </c>
      <c r="F573">
        <v>7</v>
      </c>
      <c r="G573">
        <v>3</v>
      </c>
      <c r="H573">
        <v>1</v>
      </c>
      <c r="I573">
        <v>1383</v>
      </c>
      <c r="J573">
        <v>6790</v>
      </c>
      <c r="K573" s="8">
        <v>8173</v>
      </c>
      <c r="L573">
        <v>29.690847000000002</v>
      </c>
      <c r="M573">
        <v>32.7027</v>
      </c>
      <c r="N573">
        <v>45</v>
      </c>
      <c r="O573">
        <v>11.041600000000001</v>
      </c>
      <c r="P573">
        <v>0</v>
      </c>
      <c r="Q573">
        <v>1</v>
      </c>
      <c r="R573">
        <f t="shared" si="224"/>
        <v>0</v>
      </c>
      <c r="S573">
        <f t="shared" si="225"/>
        <v>0</v>
      </c>
      <c r="T573">
        <f t="shared" si="226"/>
        <v>0</v>
      </c>
      <c r="U573">
        <f t="shared" si="227"/>
        <v>0</v>
      </c>
      <c r="V573">
        <f t="shared" si="228"/>
        <v>0</v>
      </c>
      <c r="W573">
        <f t="shared" si="229"/>
        <v>0</v>
      </c>
      <c r="X573">
        <f t="shared" si="230"/>
        <v>1</v>
      </c>
      <c r="Y573">
        <f t="shared" si="231"/>
        <v>0</v>
      </c>
      <c r="Z573">
        <f t="shared" si="232"/>
        <v>0</v>
      </c>
      <c r="AA573">
        <f t="shared" si="233"/>
        <v>0</v>
      </c>
      <c r="AB573">
        <f t="shared" si="234"/>
        <v>0</v>
      </c>
      <c r="AC573">
        <f t="shared" si="235"/>
        <v>0</v>
      </c>
      <c r="AD573">
        <f t="shared" si="236"/>
        <v>0</v>
      </c>
      <c r="AE573">
        <f t="shared" si="237"/>
        <v>0</v>
      </c>
      <c r="AF573">
        <f t="shared" si="238"/>
        <v>0</v>
      </c>
      <c r="AG573">
        <f t="shared" si="239"/>
        <v>1</v>
      </c>
      <c r="AH573">
        <f t="shared" si="240"/>
        <v>0</v>
      </c>
      <c r="AI573">
        <f t="shared" si="241"/>
        <v>0</v>
      </c>
      <c r="AJ573">
        <f t="shared" si="242"/>
        <v>0</v>
      </c>
      <c r="AK573">
        <f t="shared" si="243"/>
        <v>1</v>
      </c>
      <c r="AL573">
        <f t="shared" si="244"/>
        <v>0</v>
      </c>
      <c r="AM573">
        <f t="shared" si="245"/>
        <v>0</v>
      </c>
      <c r="AN573">
        <f t="shared" si="246"/>
        <v>0</v>
      </c>
      <c r="AO573">
        <f t="shared" si="247"/>
        <v>1</v>
      </c>
      <c r="AP573">
        <f t="shared" si="248"/>
        <v>0</v>
      </c>
      <c r="AQ573">
        <f t="shared" si="249"/>
        <v>0</v>
      </c>
      <c r="AR573">
        <f t="shared" si="250"/>
        <v>1</v>
      </c>
      <c r="AS573">
        <f t="shared" si="251"/>
        <v>0</v>
      </c>
    </row>
    <row r="574" spans="2:45" x14ac:dyDescent="0.3">
      <c r="B574">
        <v>573</v>
      </c>
      <c r="C574" s="1">
        <v>41116</v>
      </c>
      <c r="D574">
        <v>3</v>
      </c>
      <c r="E574">
        <v>1</v>
      </c>
      <c r="F574">
        <v>7</v>
      </c>
      <c r="G574">
        <v>4</v>
      </c>
      <c r="H574">
        <v>1</v>
      </c>
      <c r="I574">
        <v>1036</v>
      </c>
      <c r="J574">
        <v>5825</v>
      </c>
      <c r="K574" s="8">
        <v>6861</v>
      </c>
      <c r="L574">
        <v>31.843347000000001</v>
      </c>
      <c r="M574">
        <v>36.963149999999999</v>
      </c>
      <c r="N574">
        <v>59.666699999999999</v>
      </c>
      <c r="O574">
        <v>19.082471000000002</v>
      </c>
      <c r="P574">
        <v>0</v>
      </c>
      <c r="Q574">
        <v>1</v>
      </c>
      <c r="R574">
        <f t="shared" si="224"/>
        <v>0</v>
      </c>
      <c r="S574">
        <f t="shared" si="225"/>
        <v>0</v>
      </c>
      <c r="T574">
        <f t="shared" si="226"/>
        <v>0</v>
      </c>
      <c r="U574">
        <f t="shared" si="227"/>
        <v>0</v>
      </c>
      <c r="V574">
        <f t="shared" si="228"/>
        <v>0</v>
      </c>
      <c r="W574">
        <f t="shared" si="229"/>
        <v>0</v>
      </c>
      <c r="X574">
        <f t="shared" si="230"/>
        <v>1</v>
      </c>
      <c r="Y574">
        <f t="shared" si="231"/>
        <v>0</v>
      </c>
      <c r="Z574">
        <f t="shared" si="232"/>
        <v>0</v>
      </c>
      <c r="AA574">
        <f t="shared" si="233"/>
        <v>0</v>
      </c>
      <c r="AB574">
        <f t="shared" si="234"/>
        <v>0</v>
      </c>
      <c r="AC574">
        <f t="shared" si="235"/>
        <v>0</v>
      </c>
      <c r="AD574">
        <f t="shared" si="236"/>
        <v>0</v>
      </c>
      <c r="AE574">
        <f t="shared" si="237"/>
        <v>0</v>
      </c>
      <c r="AF574">
        <f t="shared" si="238"/>
        <v>0</v>
      </c>
      <c r="AG574">
        <f t="shared" si="239"/>
        <v>0</v>
      </c>
      <c r="AH574">
        <f t="shared" si="240"/>
        <v>1</v>
      </c>
      <c r="AI574">
        <f t="shared" si="241"/>
        <v>0</v>
      </c>
      <c r="AJ574">
        <f t="shared" si="242"/>
        <v>0</v>
      </c>
      <c r="AK574">
        <f t="shared" si="243"/>
        <v>1</v>
      </c>
      <c r="AL574">
        <f t="shared" si="244"/>
        <v>0</v>
      </c>
      <c r="AM574">
        <f t="shared" si="245"/>
        <v>0</v>
      </c>
      <c r="AN574">
        <f t="shared" si="246"/>
        <v>0</v>
      </c>
      <c r="AO574">
        <f t="shared" si="247"/>
        <v>1</v>
      </c>
      <c r="AP574">
        <f t="shared" si="248"/>
        <v>0</v>
      </c>
      <c r="AQ574">
        <f t="shared" si="249"/>
        <v>0</v>
      </c>
      <c r="AR574">
        <f t="shared" si="250"/>
        <v>1</v>
      </c>
      <c r="AS574">
        <f t="shared" si="251"/>
        <v>0</v>
      </c>
    </row>
    <row r="575" spans="2:45" x14ac:dyDescent="0.3">
      <c r="B575">
        <v>574</v>
      </c>
      <c r="C575" s="1">
        <v>41117</v>
      </c>
      <c r="D575">
        <v>3</v>
      </c>
      <c r="E575">
        <v>1</v>
      </c>
      <c r="F575">
        <v>7</v>
      </c>
      <c r="G575">
        <v>5</v>
      </c>
      <c r="H575">
        <v>1</v>
      </c>
      <c r="I575">
        <v>1259</v>
      </c>
      <c r="J575">
        <v>5645</v>
      </c>
      <c r="K575" s="8">
        <v>6904</v>
      </c>
      <c r="L575">
        <v>32.048347</v>
      </c>
      <c r="M575">
        <v>36.710850000000001</v>
      </c>
      <c r="N575">
        <v>59.458300000000001</v>
      </c>
      <c r="O575">
        <v>10.250463999999999</v>
      </c>
      <c r="P575">
        <v>0</v>
      </c>
      <c r="Q575">
        <v>1</v>
      </c>
      <c r="R575">
        <f t="shared" si="224"/>
        <v>0</v>
      </c>
      <c r="S575">
        <f t="shared" si="225"/>
        <v>0</v>
      </c>
      <c r="T575">
        <f t="shared" si="226"/>
        <v>0</v>
      </c>
      <c r="U575">
        <f t="shared" si="227"/>
        <v>0</v>
      </c>
      <c r="V575">
        <f t="shared" si="228"/>
        <v>0</v>
      </c>
      <c r="W575">
        <f t="shared" si="229"/>
        <v>0</v>
      </c>
      <c r="X575">
        <f t="shared" si="230"/>
        <v>1</v>
      </c>
      <c r="Y575">
        <f t="shared" si="231"/>
        <v>0</v>
      </c>
      <c r="Z575">
        <f t="shared" si="232"/>
        <v>0</v>
      </c>
      <c r="AA575">
        <f t="shared" si="233"/>
        <v>0</v>
      </c>
      <c r="AB575">
        <f t="shared" si="234"/>
        <v>0</v>
      </c>
      <c r="AC575">
        <f t="shared" si="235"/>
        <v>0</v>
      </c>
      <c r="AD575">
        <f t="shared" si="236"/>
        <v>0</v>
      </c>
      <c r="AE575">
        <f t="shared" si="237"/>
        <v>0</v>
      </c>
      <c r="AF575">
        <f t="shared" si="238"/>
        <v>0</v>
      </c>
      <c r="AG575">
        <f t="shared" si="239"/>
        <v>0</v>
      </c>
      <c r="AH575">
        <f t="shared" si="240"/>
        <v>0</v>
      </c>
      <c r="AI575">
        <f t="shared" si="241"/>
        <v>1</v>
      </c>
      <c r="AJ575">
        <f t="shared" si="242"/>
        <v>0</v>
      </c>
      <c r="AK575">
        <f t="shared" si="243"/>
        <v>1</v>
      </c>
      <c r="AL575">
        <f t="shared" si="244"/>
        <v>0</v>
      </c>
      <c r="AM575">
        <f t="shared" si="245"/>
        <v>0</v>
      </c>
      <c r="AN575">
        <f t="shared" si="246"/>
        <v>0</v>
      </c>
      <c r="AO575">
        <f t="shared" si="247"/>
        <v>1</v>
      </c>
      <c r="AP575">
        <f t="shared" si="248"/>
        <v>0</v>
      </c>
      <c r="AQ575">
        <f t="shared" si="249"/>
        <v>0</v>
      </c>
      <c r="AR575">
        <f t="shared" si="250"/>
        <v>1</v>
      </c>
      <c r="AS575">
        <f t="shared" si="251"/>
        <v>0</v>
      </c>
    </row>
    <row r="576" spans="2:45" x14ac:dyDescent="0.3">
      <c r="B576">
        <v>575</v>
      </c>
      <c r="C576" s="1">
        <v>41118</v>
      </c>
      <c r="D576">
        <v>3</v>
      </c>
      <c r="E576">
        <v>1</v>
      </c>
      <c r="F576">
        <v>7</v>
      </c>
      <c r="G576">
        <v>6</v>
      </c>
      <c r="H576">
        <v>1</v>
      </c>
      <c r="I576">
        <v>2234</v>
      </c>
      <c r="J576">
        <v>4451</v>
      </c>
      <c r="K576" s="8">
        <v>6685</v>
      </c>
      <c r="L576">
        <v>30.989153000000002</v>
      </c>
      <c r="M576">
        <v>34.880200000000002</v>
      </c>
      <c r="N576">
        <v>61.333300000000001</v>
      </c>
      <c r="O576">
        <v>10.542450000000001</v>
      </c>
      <c r="P576">
        <v>0</v>
      </c>
      <c r="Q576">
        <v>0</v>
      </c>
      <c r="R576">
        <f t="shared" si="224"/>
        <v>0</v>
      </c>
      <c r="S576">
        <f t="shared" si="225"/>
        <v>0</v>
      </c>
      <c r="T576">
        <f t="shared" si="226"/>
        <v>0</v>
      </c>
      <c r="U576">
        <f t="shared" si="227"/>
        <v>0</v>
      </c>
      <c r="V576">
        <f t="shared" si="228"/>
        <v>0</v>
      </c>
      <c r="W576">
        <f t="shared" si="229"/>
        <v>0</v>
      </c>
      <c r="X576">
        <f t="shared" si="230"/>
        <v>1</v>
      </c>
      <c r="Y576">
        <f t="shared" si="231"/>
        <v>0</v>
      </c>
      <c r="Z576">
        <f t="shared" si="232"/>
        <v>0</v>
      </c>
      <c r="AA576">
        <f t="shared" si="233"/>
        <v>0</v>
      </c>
      <c r="AB576">
        <f t="shared" si="234"/>
        <v>0</v>
      </c>
      <c r="AC576">
        <f t="shared" si="235"/>
        <v>0</v>
      </c>
      <c r="AD576">
        <f t="shared" si="236"/>
        <v>0</v>
      </c>
      <c r="AE576">
        <f t="shared" si="237"/>
        <v>0</v>
      </c>
      <c r="AF576">
        <f t="shared" si="238"/>
        <v>0</v>
      </c>
      <c r="AG576">
        <f t="shared" si="239"/>
        <v>0</v>
      </c>
      <c r="AH576">
        <f t="shared" si="240"/>
        <v>0</v>
      </c>
      <c r="AI576">
        <f t="shared" si="241"/>
        <v>0</v>
      </c>
      <c r="AJ576">
        <f t="shared" si="242"/>
        <v>1</v>
      </c>
      <c r="AK576">
        <f t="shared" si="243"/>
        <v>1</v>
      </c>
      <c r="AL576">
        <f t="shared" si="244"/>
        <v>0</v>
      </c>
      <c r="AM576">
        <f t="shared" si="245"/>
        <v>0</v>
      </c>
      <c r="AN576">
        <f t="shared" si="246"/>
        <v>0</v>
      </c>
      <c r="AO576">
        <f t="shared" si="247"/>
        <v>1</v>
      </c>
      <c r="AP576">
        <f t="shared" si="248"/>
        <v>0</v>
      </c>
      <c r="AQ576">
        <f t="shared" si="249"/>
        <v>0</v>
      </c>
      <c r="AR576">
        <f t="shared" si="250"/>
        <v>1</v>
      </c>
      <c r="AS576">
        <f t="shared" si="251"/>
        <v>0</v>
      </c>
    </row>
    <row r="577" spans="2:45" x14ac:dyDescent="0.3">
      <c r="B577">
        <v>576</v>
      </c>
      <c r="C577" s="1">
        <v>41119</v>
      </c>
      <c r="D577">
        <v>3</v>
      </c>
      <c r="E577">
        <v>1</v>
      </c>
      <c r="F577">
        <v>7</v>
      </c>
      <c r="G577">
        <v>0</v>
      </c>
      <c r="H577">
        <v>1</v>
      </c>
      <c r="I577">
        <v>2153</v>
      </c>
      <c r="J577">
        <v>4444</v>
      </c>
      <c r="K577" s="8">
        <v>6597</v>
      </c>
      <c r="L577">
        <v>29.588346999999999</v>
      </c>
      <c r="M577">
        <v>33.396650000000001</v>
      </c>
      <c r="N577">
        <v>62.375</v>
      </c>
      <c r="O577">
        <v>11.416532</v>
      </c>
      <c r="P577">
        <v>0</v>
      </c>
      <c r="Q577">
        <v>0</v>
      </c>
      <c r="R577">
        <f t="shared" si="224"/>
        <v>0</v>
      </c>
      <c r="S577">
        <f t="shared" si="225"/>
        <v>0</v>
      </c>
      <c r="T577">
        <f t="shared" si="226"/>
        <v>0</v>
      </c>
      <c r="U577">
        <f t="shared" si="227"/>
        <v>0</v>
      </c>
      <c r="V577">
        <f t="shared" si="228"/>
        <v>0</v>
      </c>
      <c r="W577">
        <f t="shared" si="229"/>
        <v>0</v>
      </c>
      <c r="X577">
        <f t="shared" si="230"/>
        <v>1</v>
      </c>
      <c r="Y577">
        <f t="shared" si="231"/>
        <v>0</v>
      </c>
      <c r="Z577">
        <f t="shared" si="232"/>
        <v>0</v>
      </c>
      <c r="AA577">
        <f t="shared" si="233"/>
        <v>0</v>
      </c>
      <c r="AB577">
        <f t="shared" si="234"/>
        <v>0</v>
      </c>
      <c r="AC577">
        <f t="shared" si="235"/>
        <v>0</v>
      </c>
      <c r="AD577">
        <f t="shared" si="236"/>
        <v>1</v>
      </c>
      <c r="AE577">
        <f t="shared" si="237"/>
        <v>0</v>
      </c>
      <c r="AF577">
        <f t="shared" si="238"/>
        <v>0</v>
      </c>
      <c r="AG577">
        <f t="shared" si="239"/>
        <v>0</v>
      </c>
      <c r="AH577">
        <f t="shared" si="240"/>
        <v>0</v>
      </c>
      <c r="AI577">
        <f t="shared" si="241"/>
        <v>0</v>
      </c>
      <c r="AJ577">
        <f t="shared" si="242"/>
        <v>0</v>
      </c>
      <c r="AK577">
        <f t="shared" si="243"/>
        <v>1</v>
      </c>
      <c r="AL577">
        <f t="shared" si="244"/>
        <v>0</v>
      </c>
      <c r="AM577">
        <f t="shared" si="245"/>
        <v>0</v>
      </c>
      <c r="AN577">
        <f t="shared" si="246"/>
        <v>0</v>
      </c>
      <c r="AO577">
        <f t="shared" si="247"/>
        <v>1</v>
      </c>
      <c r="AP577">
        <f t="shared" si="248"/>
        <v>0</v>
      </c>
      <c r="AQ577">
        <f t="shared" si="249"/>
        <v>0</v>
      </c>
      <c r="AR577">
        <f t="shared" si="250"/>
        <v>1</v>
      </c>
      <c r="AS577">
        <f t="shared" si="251"/>
        <v>0</v>
      </c>
    </row>
    <row r="578" spans="2:45" x14ac:dyDescent="0.3">
      <c r="B578">
        <v>577</v>
      </c>
      <c r="C578" s="1">
        <v>41120</v>
      </c>
      <c r="D578">
        <v>3</v>
      </c>
      <c r="E578">
        <v>1</v>
      </c>
      <c r="F578">
        <v>7</v>
      </c>
      <c r="G578">
        <v>1</v>
      </c>
      <c r="H578">
        <v>1</v>
      </c>
      <c r="I578">
        <v>1040</v>
      </c>
      <c r="J578">
        <v>6065</v>
      </c>
      <c r="K578" s="8">
        <v>7105</v>
      </c>
      <c r="L578">
        <v>29.964153</v>
      </c>
      <c r="M578">
        <v>34.24935</v>
      </c>
      <c r="N578">
        <v>66.875</v>
      </c>
      <c r="O578">
        <v>10.292339</v>
      </c>
      <c r="P578">
        <v>0</v>
      </c>
      <c r="Q578">
        <v>1</v>
      </c>
      <c r="R578">
        <f t="shared" si="224"/>
        <v>0</v>
      </c>
      <c r="S578">
        <f t="shared" si="225"/>
        <v>0</v>
      </c>
      <c r="T578">
        <f t="shared" si="226"/>
        <v>0</v>
      </c>
      <c r="U578">
        <f t="shared" si="227"/>
        <v>0</v>
      </c>
      <c r="V578">
        <f t="shared" si="228"/>
        <v>0</v>
      </c>
      <c r="W578">
        <f t="shared" si="229"/>
        <v>0</v>
      </c>
      <c r="X578">
        <f t="shared" si="230"/>
        <v>1</v>
      </c>
      <c r="Y578">
        <f t="shared" si="231"/>
        <v>0</v>
      </c>
      <c r="Z578">
        <f t="shared" si="232"/>
        <v>0</v>
      </c>
      <c r="AA578">
        <f t="shared" si="233"/>
        <v>0</v>
      </c>
      <c r="AB578">
        <f t="shared" si="234"/>
        <v>0</v>
      </c>
      <c r="AC578">
        <f t="shared" si="235"/>
        <v>0</v>
      </c>
      <c r="AD578">
        <f t="shared" si="236"/>
        <v>0</v>
      </c>
      <c r="AE578">
        <f t="shared" si="237"/>
        <v>1</v>
      </c>
      <c r="AF578">
        <f t="shared" si="238"/>
        <v>0</v>
      </c>
      <c r="AG578">
        <f t="shared" si="239"/>
        <v>0</v>
      </c>
      <c r="AH578">
        <f t="shared" si="240"/>
        <v>0</v>
      </c>
      <c r="AI578">
        <f t="shared" si="241"/>
        <v>0</v>
      </c>
      <c r="AJ578">
        <f t="shared" si="242"/>
        <v>0</v>
      </c>
      <c r="AK578">
        <f t="shared" si="243"/>
        <v>1</v>
      </c>
      <c r="AL578">
        <f t="shared" si="244"/>
        <v>0</v>
      </c>
      <c r="AM578">
        <f t="shared" si="245"/>
        <v>0</v>
      </c>
      <c r="AN578">
        <f t="shared" si="246"/>
        <v>0</v>
      </c>
      <c r="AO578">
        <f t="shared" si="247"/>
        <v>1</v>
      </c>
      <c r="AP578">
        <f t="shared" si="248"/>
        <v>0</v>
      </c>
      <c r="AQ578">
        <f t="shared" si="249"/>
        <v>0</v>
      </c>
      <c r="AR578">
        <f t="shared" si="250"/>
        <v>1</v>
      </c>
      <c r="AS578">
        <f t="shared" si="251"/>
        <v>0</v>
      </c>
    </row>
    <row r="579" spans="2:45" x14ac:dyDescent="0.3">
      <c r="B579">
        <v>578</v>
      </c>
      <c r="C579" s="1">
        <v>41121</v>
      </c>
      <c r="D579">
        <v>3</v>
      </c>
      <c r="E579">
        <v>1</v>
      </c>
      <c r="F579">
        <v>7</v>
      </c>
      <c r="G579">
        <v>2</v>
      </c>
      <c r="H579">
        <v>1</v>
      </c>
      <c r="I579">
        <v>968</v>
      </c>
      <c r="J579">
        <v>6248</v>
      </c>
      <c r="K579" s="8">
        <v>7216</v>
      </c>
      <c r="L579">
        <v>29.246652999999998</v>
      </c>
      <c r="M579">
        <v>33.144799999999996</v>
      </c>
      <c r="N579">
        <v>70.416700000000006</v>
      </c>
      <c r="O579">
        <v>11.083475</v>
      </c>
      <c r="P579">
        <v>0</v>
      </c>
      <c r="Q579">
        <v>1</v>
      </c>
      <c r="R579">
        <f t="shared" ref="R579:R642" si="252">IF($F579=1,1,0)</f>
        <v>0</v>
      </c>
      <c r="S579">
        <f t="shared" ref="S579:S642" si="253">IF($F579=2,1,0)</f>
        <v>0</v>
      </c>
      <c r="T579">
        <f t="shared" ref="T579:T642" si="254">IF($F579=3,1,0)</f>
        <v>0</v>
      </c>
      <c r="U579">
        <f t="shared" ref="U579:U642" si="255">IF($F579=4,1,0)</f>
        <v>0</v>
      </c>
      <c r="V579">
        <f t="shared" ref="V579:V642" si="256">IF($F579=5,1,0)</f>
        <v>0</v>
      </c>
      <c r="W579">
        <f t="shared" ref="W579:W642" si="257">IF($F579=6,1,0)</f>
        <v>0</v>
      </c>
      <c r="X579">
        <f t="shared" ref="X579:X642" si="258">IF($F579=7,1,0)</f>
        <v>1</v>
      </c>
      <c r="Y579">
        <f t="shared" ref="Y579:Y642" si="259">IF($F579=8,1,0)</f>
        <v>0</v>
      </c>
      <c r="Z579">
        <f t="shared" ref="Z579:Z642" si="260">IF($F579=9,1,0)</f>
        <v>0</v>
      </c>
      <c r="AA579">
        <f t="shared" ref="AA579:AA642" si="261">IF($F579=10,1,0)</f>
        <v>0</v>
      </c>
      <c r="AB579">
        <f t="shared" ref="AB579:AB642" si="262">IF($F579=11,1,0)</f>
        <v>0</v>
      </c>
      <c r="AC579">
        <f t="shared" ref="AC579:AC642" si="263">IF($F579=12,1,0)</f>
        <v>0</v>
      </c>
      <c r="AD579">
        <f t="shared" ref="AD579:AD642" si="264">IF($G579=0,1,0)</f>
        <v>0</v>
      </c>
      <c r="AE579">
        <f t="shared" ref="AE579:AE642" si="265">IF($G579=1,1,0)</f>
        <v>0</v>
      </c>
      <c r="AF579">
        <f t="shared" ref="AF579:AF642" si="266">IF($G579=2,1,0)</f>
        <v>1</v>
      </c>
      <c r="AG579">
        <f t="shared" ref="AG579:AG642" si="267">IF($G579=3,1,0)</f>
        <v>0</v>
      </c>
      <c r="AH579">
        <f t="shared" ref="AH579:AH642" si="268">IF($G579=4,1,0)</f>
        <v>0</v>
      </c>
      <c r="AI579">
        <f t="shared" ref="AI579:AI642" si="269">IF($G579=5,1,0)</f>
        <v>0</v>
      </c>
      <c r="AJ579">
        <f t="shared" ref="AJ579:AJ642" si="270">IF($G579=6,1,0)</f>
        <v>0</v>
      </c>
      <c r="AK579">
        <f t="shared" ref="AK579:AK642" si="271">IF($H579=1,1,0)</f>
        <v>1</v>
      </c>
      <c r="AL579">
        <f t="shared" ref="AL579:AL642" si="272">IF($H579=2,1,0)</f>
        <v>0</v>
      </c>
      <c r="AM579">
        <f t="shared" ref="AM579:AM642" si="273">IF($H579=3,1,0)</f>
        <v>0</v>
      </c>
      <c r="AN579">
        <f t="shared" ref="AN579:AN642" si="274">IF($E579=0,1,0)</f>
        <v>0</v>
      </c>
      <c r="AO579">
        <f t="shared" ref="AO579:AO642" si="275">IF($E579=1,1,0)</f>
        <v>1</v>
      </c>
      <c r="AP579">
        <f t="shared" ref="AP579:AP642" si="276">IF($D579=1,1,0)</f>
        <v>0</v>
      </c>
      <c r="AQ579">
        <f t="shared" ref="AQ579:AQ642" si="277">IF($D579=2,1,0)</f>
        <v>0</v>
      </c>
      <c r="AR579">
        <f t="shared" ref="AR579:AR642" si="278">IF($D579=3,1,0)</f>
        <v>1</v>
      </c>
      <c r="AS579">
        <f t="shared" ref="AS579:AS642" si="279">IF($D579=4,1,0)</f>
        <v>0</v>
      </c>
    </row>
    <row r="580" spans="2:45" x14ac:dyDescent="0.3">
      <c r="B580">
        <v>579</v>
      </c>
      <c r="C580" s="1">
        <v>41122</v>
      </c>
      <c r="D580">
        <v>3</v>
      </c>
      <c r="E580">
        <v>1</v>
      </c>
      <c r="F580">
        <v>8</v>
      </c>
      <c r="G580">
        <v>3</v>
      </c>
      <c r="H580">
        <v>1</v>
      </c>
      <c r="I580">
        <v>1074</v>
      </c>
      <c r="J580">
        <v>6506</v>
      </c>
      <c r="K580" s="8">
        <v>7580</v>
      </c>
      <c r="L580">
        <v>29.4175</v>
      </c>
      <c r="M580">
        <v>33.365400000000001</v>
      </c>
      <c r="N580">
        <v>67.75</v>
      </c>
      <c r="O580">
        <v>9.4589929999999995</v>
      </c>
      <c r="P580">
        <v>0</v>
      </c>
      <c r="Q580">
        <v>1</v>
      </c>
      <c r="R580">
        <f t="shared" si="252"/>
        <v>0</v>
      </c>
      <c r="S580">
        <f t="shared" si="253"/>
        <v>0</v>
      </c>
      <c r="T580">
        <f t="shared" si="254"/>
        <v>0</v>
      </c>
      <c r="U580">
        <f t="shared" si="255"/>
        <v>0</v>
      </c>
      <c r="V580">
        <f t="shared" si="256"/>
        <v>0</v>
      </c>
      <c r="W580">
        <f t="shared" si="257"/>
        <v>0</v>
      </c>
      <c r="X580">
        <f t="shared" si="258"/>
        <v>0</v>
      </c>
      <c r="Y580">
        <f t="shared" si="259"/>
        <v>1</v>
      </c>
      <c r="Z580">
        <f t="shared" si="260"/>
        <v>0</v>
      </c>
      <c r="AA580">
        <f t="shared" si="261"/>
        <v>0</v>
      </c>
      <c r="AB580">
        <f t="shared" si="262"/>
        <v>0</v>
      </c>
      <c r="AC580">
        <f t="shared" si="263"/>
        <v>0</v>
      </c>
      <c r="AD580">
        <f t="shared" si="264"/>
        <v>0</v>
      </c>
      <c r="AE580">
        <f t="shared" si="265"/>
        <v>0</v>
      </c>
      <c r="AF580">
        <f t="shared" si="266"/>
        <v>0</v>
      </c>
      <c r="AG580">
        <f t="shared" si="267"/>
        <v>1</v>
      </c>
      <c r="AH580">
        <f t="shared" si="268"/>
        <v>0</v>
      </c>
      <c r="AI580">
        <f t="shared" si="269"/>
        <v>0</v>
      </c>
      <c r="AJ580">
        <f t="shared" si="270"/>
        <v>0</v>
      </c>
      <c r="AK580">
        <f t="shared" si="271"/>
        <v>1</v>
      </c>
      <c r="AL580">
        <f t="shared" si="272"/>
        <v>0</v>
      </c>
      <c r="AM580">
        <f t="shared" si="273"/>
        <v>0</v>
      </c>
      <c r="AN580">
        <f t="shared" si="274"/>
        <v>0</v>
      </c>
      <c r="AO580">
        <f t="shared" si="275"/>
        <v>1</v>
      </c>
      <c r="AP580">
        <f t="shared" si="276"/>
        <v>0</v>
      </c>
      <c r="AQ580">
        <f t="shared" si="277"/>
        <v>0</v>
      </c>
      <c r="AR580">
        <f t="shared" si="278"/>
        <v>1</v>
      </c>
      <c r="AS580">
        <f t="shared" si="279"/>
        <v>0</v>
      </c>
    </row>
    <row r="581" spans="2:45" x14ac:dyDescent="0.3">
      <c r="B581">
        <v>580</v>
      </c>
      <c r="C581" s="1">
        <v>41123</v>
      </c>
      <c r="D581">
        <v>3</v>
      </c>
      <c r="E581">
        <v>1</v>
      </c>
      <c r="F581">
        <v>8</v>
      </c>
      <c r="G581">
        <v>4</v>
      </c>
      <c r="H581">
        <v>1</v>
      </c>
      <c r="I581">
        <v>983</v>
      </c>
      <c r="J581">
        <v>6278</v>
      </c>
      <c r="K581" s="8">
        <v>7261</v>
      </c>
      <c r="L581">
        <v>30.852499999999999</v>
      </c>
      <c r="M581">
        <v>35.354399999999998</v>
      </c>
      <c r="N581">
        <v>65.958299999999994</v>
      </c>
      <c r="O581">
        <v>8.6667179999999995</v>
      </c>
      <c r="P581">
        <v>0</v>
      </c>
      <c r="Q581">
        <v>1</v>
      </c>
      <c r="R581">
        <f t="shared" si="252"/>
        <v>0</v>
      </c>
      <c r="S581">
        <f t="shared" si="253"/>
        <v>0</v>
      </c>
      <c r="T581">
        <f t="shared" si="254"/>
        <v>0</v>
      </c>
      <c r="U581">
        <f t="shared" si="255"/>
        <v>0</v>
      </c>
      <c r="V581">
        <f t="shared" si="256"/>
        <v>0</v>
      </c>
      <c r="W581">
        <f t="shared" si="257"/>
        <v>0</v>
      </c>
      <c r="X581">
        <f t="shared" si="258"/>
        <v>0</v>
      </c>
      <c r="Y581">
        <f t="shared" si="259"/>
        <v>1</v>
      </c>
      <c r="Z581">
        <f t="shared" si="260"/>
        <v>0</v>
      </c>
      <c r="AA581">
        <f t="shared" si="261"/>
        <v>0</v>
      </c>
      <c r="AB581">
        <f t="shared" si="262"/>
        <v>0</v>
      </c>
      <c r="AC581">
        <f t="shared" si="263"/>
        <v>0</v>
      </c>
      <c r="AD581">
        <f t="shared" si="264"/>
        <v>0</v>
      </c>
      <c r="AE581">
        <f t="shared" si="265"/>
        <v>0</v>
      </c>
      <c r="AF581">
        <f t="shared" si="266"/>
        <v>0</v>
      </c>
      <c r="AG581">
        <f t="shared" si="267"/>
        <v>0</v>
      </c>
      <c r="AH581">
        <f t="shared" si="268"/>
        <v>1</v>
      </c>
      <c r="AI581">
        <f t="shared" si="269"/>
        <v>0</v>
      </c>
      <c r="AJ581">
        <f t="shared" si="270"/>
        <v>0</v>
      </c>
      <c r="AK581">
        <f t="shared" si="271"/>
        <v>1</v>
      </c>
      <c r="AL581">
        <f t="shared" si="272"/>
        <v>0</v>
      </c>
      <c r="AM581">
        <f t="shared" si="273"/>
        <v>0</v>
      </c>
      <c r="AN581">
        <f t="shared" si="274"/>
        <v>0</v>
      </c>
      <c r="AO581">
        <f t="shared" si="275"/>
        <v>1</v>
      </c>
      <c r="AP581">
        <f t="shared" si="276"/>
        <v>0</v>
      </c>
      <c r="AQ581">
        <f t="shared" si="277"/>
        <v>0</v>
      </c>
      <c r="AR581">
        <f t="shared" si="278"/>
        <v>1</v>
      </c>
      <c r="AS581">
        <f t="shared" si="279"/>
        <v>0</v>
      </c>
    </row>
    <row r="582" spans="2:45" x14ac:dyDescent="0.3">
      <c r="B582">
        <v>581</v>
      </c>
      <c r="C582" s="1">
        <v>41124</v>
      </c>
      <c r="D582">
        <v>3</v>
      </c>
      <c r="E582">
        <v>1</v>
      </c>
      <c r="F582">
        <v>8</v>
      </c>
      <c r="G582">
        <v>5</v>
      </c>
      <c r="H582">
        <v>2</v>
      </c>
      <c r="I582">
        <v>1328</v>
      </c>
      <c r="J582">
        <v>5847</v>
      </c>
      <c r="K582" s="8">
        <v>7175</v>
      </c>
      <c r="L582">
        <v>31.399152999999998</v>
      </c>
      <c r="M582">
        <v>36.143349999999998</v>
      </c>
      <c r="N582">
        <v>64.25</v>
      </c>
      <c r="O582">
        <v>14.458064</v>
      </c>
      <c r="P582">
        <v>0</v>
      </c>
      <c r="Q582">
        <v>1</v>
      </c>
      <c r="R582">
        <f t="shared" si="252"/>
        <v>0</v>
      </c>
      <c r="S582">
        <f t="shared" si="253"/>
        <v>0</v>
      </c>
      <c r="T582">
        <f t="shared" si="254"/>
        <v>0</v>
      </c>
      <c r="U582">
        <f t="shared" si="255"/>
        <v>0</v>
      </c>
      <c r="V582">
        <f t="shared" si="256"/>
        <v>0</v>
      </c>
      <c r="W582">
        <f t="shared" si="257"/>
        <v>0</v>
      </c>
      <c r="X582">
        <f t="shared" si="258"/>
        <v>0</v>
      </c>
      <c r="Y582">
        <f t="shared" si="259"/>
        <v>1</v>
      </c>
      <c r="Z582">
        <f t="shared" si="260"/>
        <v>0</v>
      </c>
      <c r="AA582">
        <f t="shared" si="261"/>
        <v>0</v>
      </c>
      <c r="AB582">
        <f t="shared" si="262"/>
        <v>0</v>
      </c>
      <c r="AC582">
        <f t="shared" si="263"/>
        <v>0</v>
      </c>
      <c r="AD582">
        <f t="shared" si="264"/>
        <v>0</v>
      </c>
      <c r="AE582">
        <f t="shared" si="265"/>
        <v>0</v>
      </c>
      <c r="AF582">
        <f t="shared" si="266"/>
        <v>0</v>
      </c>
      <c r="AG582">
        <f t="shared" si="267"/>
        <v>0</v>
      </c>
      <c r="AH582">
        <f t="shared" si="268"/>
        <v>0</v>
      </c>
      <c r="AI582">
        <f t="shared" si="269"/>
        <v>1</v>
      </c>
      <c r="AJ582">
        <f t="shared" si="270"/>
        <v>0</v>
      </c>
      <c r="AK582">
        <f t="shared" si="271"/>
        <v>0</v>
      </c>
      <c r="AL582">
        <f t="shared" si="272"/>
        <v>1</v>
      </c>
      <c r="AM582">
        <f t="shared" si="273"/>
        <v>0</v>
      </c>
      <c r="AN582">
        <f t="shared" si="274"/>
        <v>0</v>
      </c>
      <c r="AO582">
        <f t="shared" si="275"/>
        <v>1</v>
      </c>
      <c r="AP582">
        <f t="shared" si="276"/>
        <v>0</v>
      </c>
      <c r="AQ582">
        <f t="shared" si="277"/>
        <v>0</v>
      </c>
      <c r="AR582">
        <f t="shared" si="278"/>
        <v>1</v>
      </c>
      <c r="AS582">
        <f t="shared" si="279"/>
        <v>0</v>
      </c>
    </row>
    <row r="583" spans="2:45" x14ac:dyDescent="0.3">
      <c r="B583">
        <v>582</v>
      </c>
      <c r="C583" s="1">
        <v>41125</v>
      </c>
      <c r="D583">
        <v>3</v>
      </c>
      <c r="E583">
        <v>1</v>
      </c>
      <c r="F583">
        <v>8</v>
      </c>
      <c r="G583">
        <v>6</v>
      </c>
      <c r="H583">
        <v>1</v>
      </c>
      <c r="I583">
        <v>2345</v>
      </c>
      <c r="J583">
        <v>4479</v>
      </c>
      <c r="K583" s="8">
        <v>6824</v>
      </c>
      <c r="L583">
        <v>32.526653000000003</v>
      </c>
      <c r="M583">
        <v>37.56335</v>
      </c>
      <c r="N583">
        <v>61.333300000000001</v>
      </c>
      <c r="O583">
        <v>17.249686000000001</v>
      </c>
      <c r="P583">
        <v>0</v>
      </c>
      <c r="Q583">
        <v>0</v>
      </c>
      <c r="R583">
        <f t="shared" si="252"/>
        <v>0</v>
      </c>
      <c r="S583">
        <f t="shared" si="253"/>
        <v>0</v>
      </c>
      <c r="T583">
        <f t="shared" si="254"/>
        <v>0</v>
      </c>
      <c r="U583">
        <f t="shared" si="255"/>
        <v>0</v>
      </c>
      <c r="V583">
        <f t="shared" si="256"/>
        <v>0</v>
      </c>
      <c r="W583">
        <f t="shared" si="257"/>
        <v>0</v>
      </c>
      <c r="X583">
        <f t="shared" si="258"/>
        <v>0</v>
      </c>
      <c r="Y583">
        <f t="shared" si="259"/>
        <v>1</v>
      </c>
      <c r="Z583">
        <f t="shared" si="260"/>
        <v>0</v>
      </c>
      <c r="AA583">
        <f t="shared" si="261"/>
        <v>0</v>
      </c>
      <c r="AB583">
        <f t="shared" si="262"/>
        <v>0</v>
      </c>
      <c r="AC583">
        <f t="shared" si="263"/>
        <v>0</v>
      </c>
      <c r="AD583">
        <f t="shared" si="264"/>
        <v>0</v>
      </c>
      <c r="AE583">
        <f t="shared" si="265"/>
        <v>0</v>
      </c>
      <c r="AF583">
        <f t="shared" si="266"/>
        <v>0</v>
      </c>
      <c r="AG583">
        <f t="shared" si="267"/>
        <v>0</v>
      </c>
      <c r="AH583">
        <f t="shared" si="268"/>
        <v>0</v>
      </c>
      <c r="AI583">
        <f t="shared" si="269"/>
        <v>0</v>
      </c>
      <c r="AJ583">
        <f t="shared" si="270"/>
        <v>1</v>
      </c>
      <c r="AK583">
        <f t="shared" si="271"/>
        <v>1</v>
      </c>
      <c r="AL583">
        <f t="shared" si="272"/>
        <v>0</v>
      </c>
      <c r="AM583">
        <f t="shared" si="273"/>
        <v>0</v>
      </c>
      <c r="AN583">
        <f t="shared" si="274"/>
        <v>0</v>
      </c>
      <c r="AO583">
        <f t="shared" si="275"/>
        <v>1</v>
      </c>
      <c r="AP583">
        <f t="shared" si="276"/>
        <v>0</v>
      </c>
      <c r="AQ583">
        <f t="shared" si="277"/>
        <v>0</v>
      </c>
      <c r="AR583">
        <f t="shared" si="278"/>
        <v>1</v>
      </c>
      <c r="AS583">
        <f t="shared" si="279"/>
        <v>0</v>
      </c>
    </row>
    <row r="584" spans="2:45" x14ac:dyDescent="0.3">
      <c r="B584">
        <v>583</v>
      </c>
      <c r="C584" s="1">
        <v>41126</v>
      </c>
      <c r="D584">
        <v>3</v>
      </c>
      <c r="E584">
        <v>1</v>
      </c>
      <c r="F584">
        <v>8</v>
      </c>
      <c r="G584">
        <v>0</v>
      </c>
      <c r="H584">
        <v>1</v>
      </c>
      <c r="I584">
        <v>1707</v>
      </c>
      <c r="J584">
        <v>3757</v>
      </c>
      <c r="K584" s="8">
        <v>5464</v>
      </c>
      <c r="L584">
        <v>31.535847</v>
      </c>
      <c r="M584">
        <v>36.55395</v>
      </c>
      <c r="N584">
        <v>65.25</v>
      </c>
      <c r="O584">
        <v>19.458207000000002</v>
      </c>
      <c r="P584">
        <v>0</v>
      </c>
      <c r="Q584">
        <v>0</v>
      </c>
      <c r="R584">
        <f t="shared" si="252"/>
        <v>0</v>
      </c>
      <c r="S584">
        <f t="shared" si="253"/>
        <v>0</v>
      </c>
      <c r="T584">
        <f t="shared" si="254"/>
        <v>0</v>
      </c>
      <c r="U584">
        <f t="shared" si="255"/>
        <v>0</v>
      </c>
      <c r="V584">
        <f t="shared" si="256"/>
        <v>0</v>
      </c>
      <c r="W584">
        <f t="shared" si="257"/>
        <v>0</v>
      </c>
      <c r="X584">
        <f t="shared" si="258"/>
        <v>0</v>
      </c>
      <c r="Y584">
        <f t="shared" si="259"/>
        <v>1</v>
      </c>
      <c r="Z584">
        <f t="shared" si="260"/>
        <v>0</v>
      </c>
      <c r="AA584">
        <f t="shared" si="261"/>
        <v>0</v>
      </c>
      <c r="AB584">
        <f t="shared" si="262"/>
        <v>0</v>
      </c>
      <c r="AC584">
        <f t="shared" si="263"/>
        <v>0</v>
      </c>
      <c r="AD584">
        <f t="shared" si="264"/>
        <v>1</v>
      </c>
      <c r="AE584">
        <f t="shared" si="265"/>
        <v>0</v>
      </c>
      <c r="AF584">
        <f t="shared" si="266"/>
        <v>0</v>
      </c>
      <c r="AG584">
        <f t="shared" si="267"/>
        <v>0</v>
      </c>
      <c r="AH584">
        <f t="shared" si="268"/>
        <v>0</v>
      </c>
      <c r="AI584">
        <f t="shared" si="269"/>
        <v>0</v>
      </c>
      <c r="AJ584">
        <f t="shared" si="270"/>
        <v>0</v>
      </c>
      <c r="AK584">
        <f t="shared" si="271"/>
        <v>1</v>
      </c>
      <c r="AL584">
        <f t="shared" si="272"/>
        <v>0</v>
      </c>
      <c r="AM584">
        <f t="shared" si="273"/>
        <v>0</v>
      </c>
      <c r="AN584">
        <f t="shared" si="274"/>
        <v>0</v>
      </c>
      <c r="AO584">
        <f t="shared" si="275"/>
        <v>1</v>
      </c>
      <c r="AP584">
        <f t="shared" si="276"/>
        <v>0</v>
      </c>
      <c r="AQ584">
        <f t="shared" si="277"/>
        <v>0</v>
      </c>
      <c r="AR584">
        <f t="shared" si="278"/>
        <v>1</v>
      </c>
      <c r="AS584">
        <f t="shared" si="279"/>
        <v>0</v>
      </c>
    </row>
    <row r="585" spans="2:45" x14ac:dyDescent="0.3">
      <c r="B585">
        <v>584</v>
      </c>
      <c r="C585" s="1">
        <v>41127</v>
      </c>
      <c r="D585">
        <v>3</v>
      </c>
      <c r="E585">
        <v>1</v>
      </c>
      <c r="F585">
        <v>8</v>
      </c>
      <c r="G585">
        <v>1</v>
      </c>
      <c r="H585">
        <v>2</v>
      </c>
      <c r="I585">
        <v>1233</v>
      </c>
      <c r="J585">
        <v>5780</v>
      </c>
      <c r="K585" s="8">
        <v>7013</v>
      </c>
      <c r="L585">
        <v>30.852499999999999</v>
      </c>
      <c r="M585">
        <v>35.512300000000003</v>
      </c>
      <c r="N585">
        <v>65.416700000000006</v>
      </c>
      <c r="O585">
        <v>8.6667179999999995</v>
      </c>
      <c r="P585">
        <v>0</v>
      </c>
      <c r="Q585">
        <v>1</v>
      </c>
      <c r="R585">
        <f t="shared" si="252"/>
        <v>0</v>
      </c>
      <c r="S585">
        <f t="shared" si="253"/>
        <v>0</v>
      </c>
      <c r="T585">
        <f t="shared" si="254"/>
        <v>0</v>
      </c>
      <c r="U585">
        <f t="shared" si="255"/>
        <v>0</v>
      </c>
      <c r="V585">
        <f t="shared" si="256"/>
        <v>0</v>
      </c>
      <c r="W585">
        <f t="shared" si="257"/>
        <v>0</v>
      </c>
      <c r="X585">
        <f t="shared" si="258"/>
        <v>0</v>
      </c>
      <c r="Y585">
        <f t="shared" si="259"/>
        <v>1</v>
      </c>
      <c r="Z585">
        <f t="shared" si="260"/>
        <v>0</v>
      </c>
      <c r="AA585">
        <f t="shared" si="261"/>
        <v>0</v>
      </c>
      <c r="AB585">
        <f t="shared" si="262"/>
        <v>0</v>
      </c>
      <c r="AC585">
        <f t="shared" si="263"/>
        <v>0</v>
      </c>
      <c r="AD585">
        <f t="shared" si="264"/>
        <v>0</v>
      </c>
      <c r="AE585">
        <f t="shared" si="265"/>
        <v>1</v>
      </c>
      <c r="AF585">
        <f t="shared" si="266"/>
        <v>0</v>
      </c>
      <c r="AG585">
        <f t="shared" si="267"/>
        <v>0</v>
      </c>
      <c r="AH585">
        <f t="shared" si="268"/>
        <v>0</v>
      </c>
      <c r="AI585">
        <f t="shared" si="269"/>
        <v>0</v>
      </c>
      <c r="AJ585">
        <f t="shared" si="270"/>
        <v>0</v>
      </c>
      <c r="AK585">
        <f t="shared" si="271"/>
        <v>0</v>
      </c>
      <c r="AL585">
        <f t="shared" si="272"/>
        <v>1</v>
      </c>
      <c r="AM585">
        <f t="shared" si="273"/>
        <v>0</v>
      </c>
      <c r="AN585">
        <f t="shared" si="274"/>
        <v>0</v>
      </c>
      <c r="AO585">
        <f t="shared" si="275"/>
        <v>1</v>
      </c>
      <c r="AP585">
        <f t="shared" si="276"/>
        <v>0</v>
      </c>
      <c r="AQ585">
        <f t="shared" si="277"/>
        <v>0</v>
      </c>
      <c r="AR585">
        <f t="shared" si="278"/>
        <v>1</v>
      </c>
      <c r="AS585">
        <f t="shared" si="279"/>
        <v>0</v>
      </c>
    </row>
    <row r="586" spans="2:45" x14ac:dyDescent="0.3">
      <c r="B586">
        <v>585</v>
      </c>
      <c r="C586" s="1">
        <v>41128</v>
      </c>
      <c r="D586">
        <v>3</v>
      </c>
      <c r="E586">
        <v>1</v>
      </c>
      <c r="F586">
        <v>8</v>
      </c>
      <c r="G586">
        <v>2</v>
      </c>
      <c r="H586">
        <v>2</v>
      </c>
      <c r="I586">
        <v>1278</v>
      </c>
      <c r="J586">
        <v>5995</v>
      </c>
      <c r="K586" s="8">
        <v>7273</v>
      </c>
      <c r="L586">
        <v>30.169153000000001</v>
      </c>
      <c r="M586">
        <v>34.881050000000002</v>
      </c>
      <c r="N586">
        <v>70.375</v>
      </c>
      <c r="O586">
        <v>7.8328360000000004</v>
      </c>
      <c r="P586">
        <v>0</v>
      </c>
      <c r="Q586">
        <v>1</v>
      </c>
      <c r="R586">
        <f t="shared" si="252"/>
        <v>0</v>
      </c>
      <c r="S586">
        <f t="shared" si="253"/>
        <v>0</v>
      </c>
      <c r="T586">
        <f t="shared" si="254"/>
        <v>0</v>
      </c>
      <c r="U586">
        <f t="shared" si="255"/>
        <v>0</v>
      </c>
      <c r="V586">
        <f t="shared" si="256"/>
        <v>0</v>
      </c>
      <c r="W586">
        <f t="shared" si="257"/>
        <v>0</v>
      </c>
      <c r="X586">
        <f t="shared" si="258"/>
        <v>0</v>
      </c>
      <c r="Y586">
        <f t="shared" si="259"/>
        <v>1</v>
      </c>
      <c r="Z586">
        <f t="shared" si="260"/>
        <v>0</v>
      </c>
      <c r="AA586">
        <f t="shared" si="261"/>
        <v>0</v>
      </c>
      <c r="AB586">
        <f t="shared" si="262"/>
        <v>0</v>
      </c>
      <c r="AC586">
        <f t="shared" si="263"/>
        <v>0</v>
      </c>
      <c r="AD586">
        <f t="shared" si="264"/>
        <v>0</v>
      </c>
      <c r="AE586">
        <f t="shared" si="265"/>
        <v>0</v>
      </c>
      <c r="AF586">
        <f t="shared" si="266"/>
        <v>1</v>
      </c>
      <c r="AG586">
        <f t="shared" si="267"/>
        <v>0</v>
      </c>
      <c r="AH586">
        <f t="shared" si="268"/>
        <v>0</v>
      </c>
      <c r="AI586">
        <f t="shared" si="269"/>
        <v>0</v>
      </c>
      <c r="AJ586">
        <f t="shared" si="270"/>
        <v>0</v>
      </c>
      <c r="AK586">
        <f t="shared" si="271"/>
        <v>0</v>
      </c>
      <c r="AL586">
        <f t="shared" si="272"/>
        <v>1</v>
      </c>
      <c r="AM586">
        <f t="shared" si="273"/>
        <v>0</v>
      </c>
      <c r="AN586">
        <f t="shared" si="274"/>
        <v>0</v>
      </c>
      <c r="AO586">
        <f t="shared" si="275"/>
        <v>1</v>
      </c>
      <c r="AP586">
        <f t="shared" si="276"/>
        <v>0</v>
      </c>
      <c r="AQ586">
        <f t="shared" si="277"/>
        <v>0</v>
      </c>
      <c r="AR586">
        <f t="shared" si="278"/>
        <v>1</v>
      </c>
      <c r="AS586">
        <f t="shared" si="279"/>
        <v>0</v>
      </c>
    </row>
    <row r="587" spans="2:45" x14ac:dyDescent="0.3">
      <c r="B587">
        <v>586</v>
      </c>
      <c r="C587" s="1">
        <v>41129</v>
      </c>
      <c r="D587">
        <v>3</v>
      </c>
      <c r="E587">
        <v>1</v>
      </c>
      <c r="F587">
        <v>8</v>
      </c>
      <c r="G587">
        <v>3</v>
      </c>
      <c r="H587">
        <v>2</v>
      </c>
      <c r="I587">
        <v>1263</v>
      </c>
      <c r="J587">
        <v>6271</v>
      </c>
      <c r="K587" s="8">
        <v>7534</v>
      </c>
      <c r="L587">
        <v>30.75</v>
      </c>
      <c r="M587">
        <v>35.385849999999998</v>
      </c>
      <c r="N587">
        <v>67.291700000000006</v>
      </c>
      <c r="O587">
        <v>7.4169</v>
      </c>
      <c r="P587">
        <v>0</v>
      </c>
      <c r="Q587">
        <v>1</v>
      </c>
      <c r="R587">
        <f t="shared" si="252"/>
        <v>0</v>
      </c>
      <c r="S587">
        <f t="shared" si="253"/>
        <v>0</v>
      </c>
      <c r="T587">
        <f t="shared" si="254"/>
        <v>0</v>
      </c>
      <c r="U587">
        <f t="shared" si="255"/>
        <v>0</v>
      </c>
      <c r="V587">
        <f t="shared" si="256"/>
        <v>0</v>
      </c>
      <c r="W587">
        <f t="shared" si="257"/>
        <v>0</v>
      </c>
      <c r="X587">
        <f t="shared" si="258"/>
        <v>0</v>
      </c>
      <c r="Y587">
        <f t="shared" si="259"/>
        <v>1</v>
      </c>
      <c r="Z587">
        <f t="shared" si="260"/>
        <v>0</v>
      </c>
      <c r="AA587">
        <f t="shared" si="261"/>
        <v>0</v>
      </c>
      <c r="AB587">
        <f t="shared" si="262"/>
        <v>0</v>
      </c>
      <c r="AC587">
        <f t="shared" si="263"/>
        <v>0</v>
      </c>
      <c r="AD587">
        <f t="shared" si="264"/>
        <v>0</v>
      </c>
      <c r="AE587">
        <f t="shared" si="265"/>
        <v>0</v>
      </c>
      <c r="AF587">
        <f t="shared" si="266"/>
        <v>0</v>
      </c>
      <c r="AG587">
        <f t="shared" si="267"/>
        <v>1</v>
      </c>
      <c r="AH587">
        <f t="shared" si="268"/>
        <v>0</v>
      </c>
      <c r="AI587">
        <f t="shared" si="269"/>
        <v>0</v>
      </c>
      <c r="AJ587">
        <f t="shared" si="270"/>
        <v>0</v>
      </c>
      <c r="AK587">
        <f t="shared" si="271"/>
        <v>0</v>
      </c>
      <c r="AL587">
        <f t="shared" si="272"/>
        <v>1</v>
      </c>
      <c r="AM587">
        <f t="shared" si="273"/>
        <v>0</v>
      </c>
      <c r="AN587">
        <f t="shared" si="274"/>
        <v>0</v>
      </c>
      <c r="AO587">
        <f t="shared" si="275"/>
        <v>1</v>
      </c>
      <c r="AP587">
        <f t="shared" si="276"/>
        <v>0</v>
      </c>
      <c r="AQ587">
        <f t="shared" si="277"/>
        <v>0</v>
      </c>
      <c r="AR587">
        <f t="shared" si="278"/>
        <v>1</v>
      </c>
      <c r="AS587">
        <f t="shared" si="279"/>
        <v>0</v>
      </c>
    </row>
    <row r="588" spans="2:45" x14ac:dyDescent="0.3">
      <c r="B588">
        <v>587</v>
      </c>
      <c r="C588" s="1">
        <v>41130</v>
      </c>
      <c r="D588">
        <v>3</v>
      </c>
      <c r="E588">
        <v>1</v>
      </c>
      <c r="F588">
        <v>8</v>
      </c>
      <c r="G588">
        <v>4</v>
      </c>
      <c r="H588">
        <v>1</v>
      </c>
      <c r="I588">
        <v>1196</v>
      </c>
      <c r="J588">
        <v>6090</v>
      </c>
      <c r="K588" s="8">
        <v>7286</v>
      </c>
      <c r="L588">
        <v>30.989153000000002</v>
      </c>
      <c r="M588">
        <v>34.9754</v>
      </c>
      <c r="N588">
        <v>62.041699999999999</v>
      </c>
      <c r="O588">
        <v>10.4587</v>
      </c>
      <c r="P588">
        <v>0</v>
      </c>
      <c r="Q588">
        <v>1</v>
      </c>
      <c r="R588">
        <f t="shared" si="252"/>
        <v>0</v>
      </c>
      <c r="S588">
        <f t="shared" si="253"/>
        <v>0</v>
      </c>
      <c r="T588">
        <f t="shared" si="254"/>
        <v>0</v>
      </c>
      <c r="U588">
        <f t="shared" si="255"/>
        <v>0</v>
      </c>
      <c r="V588">
        <f t="shared" si="256"/>
        <v>0</v>
      </c>
      <c r="W588">
        <f t="shared" si="257"/>
        <v>0</v>
      </c>
      <c r="X588">
        <f t="shared" si="258"/>
        <v>0</v>
      </c>
      <c r="Y588">
        <f t="shared" si="259"/>
        <v>1</v>
      </c>
      <c r="Z588">
        <f t="shared" si="260"/>
        <v>0</v>
      </c>
      <c r="AA588">
        <f t="shared" si="261"/>
        <v>0</v>
      </c>
      <c r="AB588">
        <f t="shared" si="262"/>
        <v>0</v>
      </c>
      <c r="AC588">
        <f t="shared" si="263"/>
        <v>0</v>
      </c>
      <c r="AD588">
        <f t="shared" si="264"/>
        <v>0</v>
      </c>
      <c r="AE588">
        <f t="shared" si="265"/>
        <v>0</v>
      </c>
      <c r="AF588">
        <f t="shared" si="266"/>
        <v>0</v>
      </c>
      <c r="AG588">
        <f t="shared" si="267"/>
        <v>0</v>
      </c>
      <c r="AH588">
        <f t="shared" si="268"/>
        <v>1</v>
      </c>
      <c r="AI588">
        <f t="shared" si="269"/>
        <v>0</v>
      </c>
      <c r="AJ588">
        <f t="shared" si="270"/>
        <v>0</v>
      </c>
      <c r="AK588">
        <f t="shared" si="271"/>
        <v>1</v>
      </c>
      <c r="AL588">
        <f t="shared" si="272"/>
        <v>0</v>
      </c>
      <c r="AM588">
        <f t="shared" si="273"/>
        <v>0</v>
      </c>
      <c r="AN588">
        <f t="shared" si="274"/>
        <v>0</v>
      </c>
      <c r="AO588">
        <f t="shared" si="275"/>
        <v>1</v>
      </c>
      <c r="AP588">
        <f t="shared" si="276"/>
        <v>0</v>
      </c>
      <c r="AQ588">
        <f t="shared" si="277"/>
        <v>0</v>
      </c>
      <c r="AR588">
        <f t="shared" si="278"/>
        <v>1</v>
      </c>
      <c r="AS588">
        <f t="shared" si="279"/>
        <v>0</v>
      </c>
    </row>
    <row r="589" spans="2:45" x14ac:dyDescent="0.3">
      <c r="B589">
        <v>588</v>
      </c>
      <c r="C589" s="1">
        <v>41131</v>
      </c>
      <c r="D589">
        <v>3</v>
      </c>
      <c r="E589">
        <v>1</v>
      </c>
      <c r="F589">
        <v>8</v>
      </c>
      <c r="G589">
        <v>5</v>
      </c>
      <c r="H589">
        <v>2</v>
      </c>
      <c r="I589">
        <v>1065</v>
      </c>
      <c r="J589">
        <v>4721</v>
      </c>
      <c r="K589" s="8">
        <v>5786</v>
      </c>
      <c r="L589">
        <v>29.349153000000001</v>
      </c>
      <c r="M589">
        <v>33.397100000000002</v>
      </c>
      <c r="N589">
        <v>71.583299999999994</v>
      </c>
      <c r="O589">
        <v>16.000471000000001</v>
      </c>
      <c r="P589">
        <v>0</v>
      </c>
      <c r="Q589">
        <v>1</v>
      </c>
      <c r="R589">
        <f t="shared" si="252"/>
        <v>0</v>
      </c>
      <c r="S589">
        <f t="shared" si="253"/>
        <v>0</v>
      </c>
      <c r="T589">
        <f t="shared" si="254"/>
        <v>0</v>
      </c>
      <c r="U589">
        <f t="shared" si="255"/>
        <v>0</v>
      </c>
      <c r="V589">
        <f t="shared" si="256"/>
        <v>0</v>
      </c>
      <c r="W589">
        <f t="shared" si="257"/>
        <v>0</v>
      </c>
      <c r="X589">
        <f t="shared" si="258"/>
        <v>0</v>
      </c>
      <c r="Y589">
        <f t="shared" si="259"/>
        <v>1</v>
      </c>
      <c r="Z589">
        <f t="shared" si="260"/>
        <v>0</v>
      </c>
      <c r="AA589">
        <f t="shared" si="261"/>
        <v>0</v>
      </c>
      <c r="AB589">
        <f t="shared" si="262"/>
        <v>0</v>
      </c>
      <c r="AC589">
        <f t="shared" si="263"/>
        <v>0</v>
      </c>
      <c r="AD589">
        <f t="shared" si="264"/>
        <v>0</v>
      </c>
      <c r="AE589">
        <f t="shared" si="265"/>
        <v>0</v>
      </c>
      <c r="AF589">
        <f t="shared" si="266"/>
        <v>0</v>
      </c>
      <c r="AG589">
        <f t="shared" si="267"/>
        <v>0</v>
      </c>
      <c r="AH589">
        <f t="shared" si="268"/>
        <v>0</v>
      </c>
      <c r="AI589">
        <f t="shared" si="269"/>
        <v>1</v>
      </c>
      <c r="AJ589">
        <f t="shared" si="270"/>
        <v>0</v>
      </c>
      <c r="AK589">
        <f t="shared" si="271"/>
        <v>0</v>
      </c>
      <c r="AL589">
        <f t="shared" si="272"/>
        <v>1</v>
      </c>
      <c r="AM589">
        <f t="shared" si="273"/>
        <v>0</v>
      </c>
      <c r="AN589">
        <f t="shared" si="274"/>
        <v>0</v>
      </c>
      <c r="AO589">
        <f t="shared" si="275"/>
        <v>1</v>
      </c>
      <c r="AP589">
        <f t="shared" si="276"/>
        <v>0</v>
      </c>
      <c r="AQ589">
        <f t="shared" si="277"/>
        <v>0</v>
      </c>
      <c r="AR589">
        <f t="shared" si="278"/>
        <v>1</v>
      </c>
      <c r="AS589">
        <f t="shared" si="279"/>
        <v>0</v>
      </c>
    </row>
    <row r="590" spans="2:45" x14ac:dyDescent="0.3">
      <c r="B590">
        <v>589</v>
      </c>
      <c r="C590" s="1">
        <v>41132</v>
      </c>
      <c r="D590">
        <v>3</v>
      </c>
      <c r="E590">
        <v>1</v>
      </c>
      <c r="F590">
        <v>8</v>
      </c>
      <c r="G590">
        <v>6</v>
      </c>
      <c r="H590">
        <v>2</v>
      </c>
      <c r="I590">
        <v>2247</v>
      </c>
      <c r="J590">
        <v>4052</v>
      </c>
      <c r="K590" s="8">
        <v>6299</v>
      </c>
      <c r="L590">
        <v>28.392499999999998</v>
      </c>
      <c r="M590">
        <v>31.913350000000001</v>
      </c>
      <c r="N590">
        <v>73.291700000000006</v>
      </c>
      <c r="O590">
        <v>13.834092999999999</v>
      </c>
      <c r="P590">
        <v>0</v>
      </c>
      <c r="Q590">
        <v>0</v>
      </c>
      <c r="R590">
        <f t="shared" si="252"/>
        <v>0</v>
      </c>
      <c r="S590">
        <f t="shared" si="253"/>
        <v>0</v>
      </c>
      <c r="T590">
        <f t="shared" si="254"/>
        <v>0</v>
      </c>
      <c r="U590">
        <f t="shared" si="255"/>
        <v>0</v>
      </c>
      <c r="V590">
        <f t="shared" si="256"/>
        <v>0</v>
      </c>
      <c r="W590">
        <f t="shared" si="257"/>
        <v>0</v>
      </c>
      <c r="X590">
        <f t="shared" si="258"/>
        <v>0</v>
      </c>
      <c r="Y590">
        <f t="shared" si="259"/>
        <v>1</v>
      </c>
      <c r="Z590">
        <f t="shared" si="260"/>
        <v>0</v>
      </c>
      <c r="AA590">
        <f t="shared" si="261"/>
        <v>0</v>
      </c>
      <c r="AB590">
        <f t="shared" si="262"/>
        <v>0</v>
      </c>
      <c r="AC590">
        <f t="shared" si="263"/>
        <v>0</v>
      </c>
      <c r="AD590">
        <f t="shared" si="264"/>
        <v>0</v>
      </c>
      <c r="AE590">
        <f t="shared" si="265"/>
        <v>0</v>
      </c>
      <c r="AF590">
        <f t="shared" si="266"/>
        <v>0</v>
      </c>
      <c r="AG590">
        <f t="shared" si="267"/>
        <v>0</v>
      </c>
      <c r="AH590">
        <f t="shared" si="268"/>
        <v>0</v>
      </c>
      <c r="AI590">
        <f t="shared" si="269"/>
        <v>0</v>
      </c>
      <c r="AJ590">
        <f t="shared" si="270"/>
        <v>1</v>
      </c>
      <c r="AK590">
        <f t="shared" si="271"/>
        <v>0</v>
      </c>
      <c r="AL590">
        <f t="shared" si="272"/>
        <v>1</v>
      </c>
      <c r="AM590">
        <f t="shared" si="273"/>
        <v>0</v>
      </c>
      <c r="AN590">
        <f t="shared" si="274"/>
        <v>0</v>
      </c>
      <c r="AO590">
        <f t="shared" si="275"/>
        <v>1</v>
      </c>
      <c r="AP590">
        <f t="shared" si="276"/>
        <v>0</v>
      </c>
      <c r="AQ590">
        <f t="shared" si="277"/>
        <v>0</v>
      </c>
      <c r="AR590">
        <f t="shared" si="278"/>
        <v>1</v>
      </c>
      <c r="AS590">
        <f t="shared" si="279"/>
        <v>0</v>
      </c>
    </row>
    <row r="591" spans="2:45" x14ac:dyDescent="0.3">
      <c r="B591">
        <v>590</v>
      </c>
      <c r="C591" s="1">
        <v>41133</v>
      </c>
      <c r="D591">
        <v>3</v>
      </c>
      <c r="E591">
        <v>1</v>
      </c>
      <c r="F591">
        <v>8</v>
      </c>
      <c r="G591">
        <v>0</v>
      </c>
      <c r="H591">
        <v>1</v>
      </c>
      <c r="I591">
        <v>2182</v>
      </c>
      <c r="J591">
        <v>4362</v>
      </c>
      <c r="K591" s="8">
        <v>6544</v>
      </c>
      <c r="L591">
        <v>28.734152999999999</v>
      </c>
      <c r="M591">
        <v>32.228949999999998</v>
      </c>
      <c r="N591">
        <v>53.041699999999999</v>
      </c>
      <c r="O591">
        <v>8.208304</v>
      </c>
      <c r="P591">
        <v>0</v>
      </c>
      <c r="Q591">
        <v>0</v>
      </c>
      <c r="R591">
        <f t="shared" si="252"/>
        <v>0</v>
      </c>
      <c r="S591">
        <f t="shared" si="253"/>
        <v>0</v>
      </c>
      <c r="T591">
        <f t="shared" si="254"/>
        <v>0</v>
      </c>
      <c r="U591">
        <f t="shared" si="255"/>
        <v>0</v>
      </c>
      <c r="V591">
        <f t="shared" si="256"/>
        <v>0</v>
      </c>
      <c r="W591">
        <f t="shared" si="257"/>
        <v>0</v>
      </c>
      <c r="X591">
        <f t="shared" si="258"/>
        <v>0</v>
      </c>
      <c r="Y591">
        <f t="shared" si="259"/>
        <v>1</v>
      </c>
      <c r="Z591">
        <f t="shared" si="260"/>
        <v>0</v>
      </c>
      <c r="AA591">
        <f t="shared" si="261"/>
        <v>0</v>
      </c>
      <c r="AB591">
        <f t="shared" si="262"/>
        <v>0</v>
      </c>
      <c r="AC591">
        <f t="shared" si="263"/>
        <v>0</v>
      </c>
      <c r="AD591">
        <f t="shared" si="264"/>
        <v>1</v>
      </c>
      <c r="AE591">
        <f t="shared" si="265"/>
        <v>0</v>
      </c>
      <c r="AF591">
        <f t="shared" si="266"/>
        <v>0</v>
      </c>
      <c r="AG591">
        <f t="shared" si="267"/>
        <v>0</v>
      </c>
      <c r="AH591">
        <f t="shared" si="268"/>
        <v>0</v>
      </c>
      <c r="AI591">
        <f t="shared" si="269"/>
        <v>0</v>
      </c>
      <c r="AJ591">
        <f t="shared" si="270"/>
        <v>0</v>
      </c>
      <c r="AK591">
        <f t="shared" si="271"/>
        <v>1</v>
      </c>
      <c r="AL591">
        <f t="shared" si="272"/>
        <v>0</v>
      </c>
      <c r="AM591">
        <f t="shared" si="273"/>
        <v>0</v>
      </c>
      <c r="AN591">
        <f t="shared" si="274"/>
        <v>0</v>
      </c>
      <c r="AO591">
        <f t="shared" si="275"/>
        <v>1</v>
      </c>
      <c r="AP591">
        <f t="shared" si="276"/>
        <v>0</v>
      </c>
      <c r="AQ591">
        <f t="shared" si="277"/>
        <v>0</v>
      </c>
      <c r="AR591">
        <f t="shared" si="278"/>
        <v>1</v>
      </c>
      <c r="AS591">
        <f t="shared" si="279"/>
        <v>0</v>
      </c>
    </row>
    <row r="592" spans="2:45" x14ac:dyDescent="0.3">
      <c r="B592">
        <v>591</v>
      </c>
      <c r="C592" s="1">
        <v>41134</v>
      </c>
      <c r="D592">
        <v>3</v>
      </c>
      <c r="E592">
        <v>1</v>
      </c>
      <c r="F592">
        <v>8</v>
      </c>
      <c r="G592">
        <v>1</v>
      </c>
      <c r="H592">
        <v>1</v>
      </c>
      <c r="I592">
        <v>1207</v>
      </c>
      <c r="J592">
        <v>5676</v>
      </c>
      <c r="K592" s="8">
        <v>6883</v>
      </c>
      <c r="L592">
        <v>29.554152999999999</v>
      </c>
      <c r="M592">
        <v>33.112699999999997</v>
      </c>
      <c r="N592">
        <v>54.541699999999999</v>
      </c>
      <c r="O592">
        <v>9.1262039999999995</v>
      </c>
      <c r="P592">
        <v>0</v>
      </c>
      <c r="Q592">
        <v>1</v>
      </c>
      <c r="R592">
        <f t="shared" si="252"/>
        <v>0</v>
      </c>
      <c r="S592">
        <f t="shared" si="253"/>
        <v>0</v>
      </c>
      <c r="T592">
        <f t="shared" si="254"/>
        <v>0</v>
      </c>
      <c r="U592">
        <f t="shared" si="255"/>
        <v>0</v>
      </c>
      <c r="V592">
        <f t="shared" si="256"/>
        <v>0</v>
      </c>
      <c r="W592">
        <f t="shared" si="257"/>
        <v>0</v>
      </c>
      <c r="X592">
        <f t="shared" si="258"/>
        <v>0</v>
      </c>
      <c r="Y592">
        <f t="shared" si="259"/>
        <v>1</v>
      </c>
      <c r="Z592">
        <f t="shared" si="260"/>
        <v>0</v>
      </c>
      <c r="AA592">
        <f t="shared" si="261"/>
        <v>0</v>
      </c>
      <c r="AB592">
        <f t="shared" si="262"/>
        <v>0</v>
      </c>
      <c r="AC592">
        <f t="shared" si="263"/>
        <v>0</v>
      </c>
      <c r="AD592">
        <f t="shared" si="264"/>
        <v>0</v>
      </c>
      <c r="AE592">
        <f t="shared" si="265"/>
        <v>1</v>
      </c>
      <c r="AF592">
        <f t="shared" si="266"/>
        <v>0</v>
      </c>
      <c r="AG592">
        <f t="shared" si="267"/>
        <v>0</v>
      </c>
      <c r="AH592">
        <f t="shared" si="268"/>
        <v>0</v>
      </c>
      <c r="AI592">
        <f t="shared" si="269"/>
        <v>0</v>
      </c>
      <c r="AJ592">
        <f t="shared" si="270"/>
        <v>0</v>
      </c>
      <c r="AK592">
        <f t="shared" si="271"/>
        <v>1</v>
      </c>
      <c r="AL592">
        <f t="shared" si="272"/>
        <v>0</v>
      </c>
      <c r="AM592">
        <f t="shared" si="273"/>
        <v>0</v>
      </c>
      <c r="AN592">
        <f t="shared" si="274"/>
        <v>0</v>
      </c>
      <c r="AO592">
        <f t="shared" si="275"/>
        <v>1</v>
      </c>
      <c r="AP592">
        <f t="shared" si="276"/>
        <v>0</v>
      </c>
      <c r="AQ592">
        <f t="shared" si="277"/>
        <v>0</v>
      </c>
      <c r="AR592">
        <f t="shared" si="278"/>
        <v>1</v>
      </c>
      <c r="AS592">
        <f t="shared" si="279"/>
        <v>0</v>
      </c>
    </row>
    <row r="593" spans="2:45" x14ac:dyDescent="0.3">
      <c r="B593">
        <v>592</v>
      </c>
      <c r="C593" s="1">
        <v>41135</v>
      </c>
      <c r="D593">
        <v>3</v>
      </c>
      <c r="E593">
        <v>1</v>
      </c>
      <c r="F593">
        <v>8</v>
      </c>
      <c r="G593">
        <v>2</v>
      </c>
      <c r="H593">
        <v>1</v>
      </c>
      <c r="I593">
        <v>1128</v>
      </c>
      <c r="J593">
        <v>5656</v>
      </c>
      <c r="K593" s="8">
        <v>6784</v>
      </c>
      <c r="L593">
        <v>29.793347000000001</v>
      </c>
      <c r="M593">
        <v>33.838949999999997</v>
      </c>
      <c r="N593">
        <v>68.666700000000006</v>
      </c>
      <c r="O593">
        <v>11.333586</v>
      </c>
      <c r="P593">
        <v>0</v>
      </c>
      <c r="Q593">
        <v>1</v>
      </c>
      <c r="R593">
        <f t="shared" si="252"/>
        <v>0</v>
      </c>
      <c r="S593">
        <f t="shared" si="253"/>
        <v>0</v>
      </c>
      <c r="T593">
        <f t="shared" si="254"/>
        <v>0</v>
      </c>
      <c r="U593">
        <f t="shared" si="255"/>
        <v>0</v>
      </c>
      <c r="V593">
        <f t="shared" si="256"/>
        <v>0</v>
      </c>
      <c r="W593">
        <f t="shared" si="257"/>
        <v>0</v>
      </c>
      <c r="X593">
        <f t="shared" si="258"/>
        <v>0</v>
      </c>
      <c r="Y593">
        <f t="shared" si="259"/>
        <v>1</v>
      </c>
      <c r="Z593">
        <f t="shared" si="260"/>
        <v>0</v>
      </c>
      <c r="AA593">
        <f t="shared" si="261"/>
        <v>0</v>
      </c>
      <c r="AB593">
        <f t="shared" si="262"/>
        <v>0</v>
      </c>
      <c r="AC593">
        <f t="shared" si="263"/>
        <v>0</v>
      </c>
      <c r="AD593">
        <f t="shared" si="264"/>
        <v>0</v>
      </c>
      <c r="AE593">
        <f t="shared" si="265"/>
        <v>0</v>
      </c>
      <c r="AF593">
        <f t="shared" si="266"/>
        <v>1</v>
      </c>
      <c r="AG593">
        <f t="shared" si="267"/>
        <v>0</v>
      </c>
      <c r="AH593">
        <f t="shared" si="268"/>
        <v>0</v>
      </c>
      <c r="AI593">
        <f t="shared" si="269"/>
        <v>0</v>
      </c>
      <c r="AJ593">
        <f t="shared" si="270"/>
        <v>0</v>
      </c>
      <c r="AK593">
        <f t="shared" si="271"/>
        <v>1</v>
      </c>
      <c r="AL593">
        <f t="shared" si="272"/>
        <v>0</v>
      </c>
      <c r="AM593">
        <f t="shared" si="273"/>
        <v>0</v>
      </c>
      <c r="AN593">
        <f t="shared" si="274"/>
        <v>0</v>
      </c>
      <c r="AO593">
        <f t="shared" si="275"/>
        <v>1</v>
      </c>
      <c r="AP593">
        <f t="shared" si="276"/>
        <v>0</v>
      </c>
      <c r="AQ593">
        <f t="shared" si="277"/>
        <v>0</v>
      </c>
      <c r="AR593">
        <f t="shared" si="278"/>
        <v>1</v>
      </c>
      <c r="AS593">
        <f t="shared" si="279"/>
        <v>0</v>
      </c>
    </row>
    <row r="594" spans="2:45" x14ac:dyDescent="0.3">
      <c r="B594">
        <v>593</v>
      </c>
      <c r="C594" s="1">
        <v>41136</v>
      </c>
      <c r="D594">
        <v>3</v>
      </c>
      <c r="E594">
        <v>1</v>
      </c>
      <c r="F594">
        <v>8</v>
      </c>
      <c r="G594">
        <v>3</v>
      </c>
      <c r="H594">
        <v>1</v>
      </c>
      <c r="I594">
        <v>1198</v>
      </c>
      <c r="J594">
        <v>6149</v>
      </c>
      <c r="K594" s="8">
        <v>7347</v>
      </c>
      <c r="L594">
        <v>28.973347</v>
      </c>
      <c r="M594">
        <v>32.70185</v>
      </c>
      <c r="N594">
        <v>61.958300000000001</v>
      </c>
      <c r="O594">
        <v>11.374656999999999</v>
      </c>
      <c r="P594">
        <v>0</v>
      </c>
      <c r="Q594">
        <v>1</v>
      </c>
      <c r="R594">
        <f t="shared" si="252"/>
        <v>0</v>
      </c>
      <c r="S594">
        <f t="shared" si="253"/>
        <v>0</v>
      </c>
      <c r="T594">
        <f t="shared" si="254"/>
        <v>0</v>
      </c>
      <c r="U594">
        <f t="shared" si="255"/>
        <v>0</v>
      </c>
      <c r="V594">
        <f t="shared" si="256"/>
        <v>0</v>
      </c>
      <c r="W594">
        <f t="shared" si="257"/>
        <v>0</v>
      </c>
      <c r="X594">
        <f t="shared" si="258"/>
        <v>0</v>
      </c>
      <c r="Y594">
        <f t="shared" si="259"/>
        <v>1</v>
      </c>
      <c r="Z594">
        <f t="shared" si="260"/>
        <v>0</v>
      </c>
      <c r="AA594">
        <f t="shared" si="261"/>
        <v>0</v>
      </c>
      <c r="AB594">
        <f t="shared" si="262"/>
        <v>0</v>
      </c>
      <c r="AC594">
        <f t="shared" si="263"/>
        <v>0</v>
      </c>
      <c r="AD594">
        <f t="shared" si="264"/>
        <v>0</v>
      </c>
      <c r="AE594">
        <f t="shared" si="265"/>
        <v>0</v>
      </c>
      <c r="AF594">
        <f t="shared" si="266"/>
        <v>0</v>
      </c>
      <c r="AG594">
        <f t="shared" si="267"/>
        <v>1</v>
      </c>
      <c r="AH594">
        <f t="shared" si="268"/>
        <v>0</v>
      </c>
      <c r="AI594">
        <f t="shared" si="269"/>
        <v>0</v>
      </c>
      <c r="AJ594">
        <f t="shared" si="270"/>
        <v>0</v>
      </c>
      <c r="AK594">
        <f t="shared" si="271"/>
        <v>1</v>
      </c>
      <c r="AL594">
        <f t="shared" si="272"/>
        <v>0</v>
      </c>
      <c r="AM594">
        <f t="shared" si="273"/>
        <v>0</v>
      </c>
      <c r="AN594">
        <f t="shared" si="274"/>
        <v>0</v>
      </c>
      <c r="AO594">
        <f t="shared" si="275"/>
        <v>1</v>
      </c>
      <c r="AP594">
        <f t="shared" si="276"/>
        <v>0</v>
      </c>
      <c r="AQ594">
        <f t="shared" si="277"/>
        <v>0</v>
      </c>
      <c r="AR594">
        <f t="shared" si="278"/>
        <v>1</v>
      </c>
      <c r="AS594">
        <f t="shared" si="279"/>
        <v>0</v>
      </c>
    </row>
    <row r="595" spans="2:45" x14ac:dyDescent="0.3">
      <c r="B595">
        <v>594</v>
      </c>
      <c r="C595" s="1">
        <v>41137</v>
      </c>
      <c r="D595">
        <v>3</v>
      </c>
      <c r="E595">
        <v>1</v>
      </c>
      <c r="F595">
        <v>8</v>
      </c>
      <c r="G595">
        <v>4</v>
      </c>
      <c r="H595">
        <v>1</v>
      </c>
      <c r="I595">
        <v>1338</v>
      </c>
      <c r="J595">
        <v>6267</v>
      </c>
      <c r="K595" s="8">
        <v>7605</v>
      </c>
      <c r="L595">
        <v>29.485847</v>
      </c>
      <c r="M595">
        <v>32.734400000000001</v>
      </c>
      <c r="N595">
        <v>51.916699999999999</v>
      </c>
      <c r="O595">
        <v>9.5003320000000002</v>
      </c>
      <c r="P595">
        <v>0</v>
      </c>
      <c r="Q595">
        <v>1</v>
      </c>
      <c r="R595">
        <f t="shared" si="252"/>
        <v>0</v>
      </c>
      <c r="S595">
        <f t="shared" si="253"/>
        <v>0</v>
      </c>
      <c r="T595">
        <f t="shared" si="254"/>
        <v>0</v>
      </c>
      <c r="U595">
        <f t="shared" si="255"/>
        <v>0</v>
      </c>
      <c r="V595">
        <f t="shared" si="256"/>
        <v>0</v>
      </c>
      <c r="W595">
        <f t="shared" si="257"/>
        <v>0</v>
      </c>
      <c r="X595">
        <f t="shared" si="258"/>
        <v>0</v>
      </c>
      <c r="Y595">
        <f t="shared" si="259"/>
        <v>1</v>
      </c>
      <c r="Z595">
        <f t="shared" si="260"/>
        <v>0</v>
      </c>
      <c r="AA595">
        <f t="shared" si="261"/>
        <v>0</v>
      </c>
      <c r="AB595">
        <f t="shared" si="262"/>
        <v>0</v>
      </c>
      <c r="AC595">
        <f t="shared" si="263"/>
        <v>0</v>
      </c>
      <c r="AD595">
        <f t="shared" si="264"/>
        <v>0</v>
      </c>
      <c r="AE595">
        <f t="shared" si="265"/>
        <v>0</v>
      </c>
      <c r="AF595">
        <f t="shared" si="266"/>
        <v>0</v>
      </c>
      <c r="AG595">
        <f t="shared" si="267"/>
        <v>0</v>
      </c>
      <c r="AH595">
        <f t="shared" si="268"/>
        <v>1</v>
      </c>
      <c r="AI595">
        <f t="shared" si="269"/>
        <v>0</v>
      </c>
      <c r="AJ595">
        <f t="shared" si="270"/>
        <v>0</v>
      </c>
      <c r="AK595">
        <f t="shared" si="271"/>
        <v>1</v>
      </c>
      <c r="AL595">
        <f t="shared" si="272"/>
        <v>0</v>
      </c>
      <c r="AM595">
        <f t="shared" si="273"/>
        <v>0</v>
      </c>
      <c r="AN595">
        <f t="shared" si="274"/>
        <v>0</v>
      </c>
      <c r="AO595">
        <f t="shared" si="275"/>
        <v>1</v>
      </c>
      <c r="AP595">
        <f t="shared" si="276"/>
        <v>0</v>
      </c>
      <c r="AQ595">
        <f t="shared" si="277"/>
        <v>0</v>
      </c>
      <c r="AR595">
        <f t="shared" si="278"/>
        <v>1</v>
      </c>
      <c r="AS595">
        <f t="shared" si="279"/>
        <v>0</v>
      </c>
    </row>
    <row r="596" spans="2:45" x14ac:dyDescent="0.3">
      <c r="B596">
        <v>595</v>
      </c>
      <c r="C596" s="1">
        <v>41138</v>
      </c>
      <c r="D596">
        <v>3</v>
      </c>
      <c r="E596">
        <v>1</v>
      </c>
      <c r="F596">
        <v>8</v>
      </c>
      <c r="G596">
        <v>5</v>
      </c>
      <c r="H596">
        <v>1</v>
      </c>
      <c r="I596">
        <v>1483</v>
      </c>
      <c r="J596">
        <v>5665</v>
      </c>
      <c r="K596" s="8">
        <v>7148</v>
      </c>
      <c r="L596">
        <v>29.656652999999999</v>
      </c>
      <c r="M596">
        <v>12.12</v>
      </c>
      <c r="N596">
        <v>57.083300000000001</v>
      </c>
      <c r="O596">
        <v>15.500718000000001</v>
      </c>
      <c r="P596">
        <v>0</v>
      </c>
      <c r="Q596">
        <v>1</v>
      </c>
      <c r="R596">
        <f t="shared" si="252"/>
        <v>0</v>
      </c>
      <c r="S596">
        <f t="shared" si="253"/>
        <v>0</v>
      </c>
      <c r="T596">
        <f t="shared" si="254"/>
        <v>0</v>
      </c>
      <c r="U596">
        <f t="shared" si="255"/>
        <v>0</v>
      </c>
      <c r="V596">
        <f t="shared" si="256"/>
        <v>0</v>
      </c>
      <c r="W596">
        <f t="shared" si="257"/>
        <v>0</v>
      </c>
      <c r="X596">
        <f t="shared" si="258"/>
        <v>0</v>
      </c>
      <c r="Y596">
        <f t="shared" si="259"/>
        <v>1</v>
      </c>
      <c r="Z596">
        <f t="shared" si="260"/>
        <v>0</v>
      </c>
      <c r="AA596">
        <f t="shared" si="261"/>
        <v>0</v>
      </c>
      <c r="AB596">
        <f t="shared" si="262"/>
        <v>0</v>
      </c>
      <c r="AC596">
        <f t="shared" si="263"/>
        <v>0</v>
      </c>
      <c r="AD596">
        <f t="shared" si="264"/>
        <v>0</v>
      </c>
      <c r="AE596">
        <f t="shared" si="265"/>
        <v>0</v>
      </c>
      <c r="AF596">
        <f t="shared" si="266"/>
        <v>0</v>
      </c>
      <c r="AG596">
        <f t="shared" si="267"/>
        <v>0</v>
      </c>
      <c r="AH596">
        <f t="shared" si="268"/>
        <v>0</v>
      </c>
      <c r="AI596">
        <f t="shared" si="269"/>
        <v>1</v>
      </c>
      <c r="AJ596">
        <f t="shared" si="270"/>
        <v>0</v>
      </c>
      <c r="AK596">
        <f t="shared" si="271"/>
        <v>1</v>
      </c>
      <c r="AL596">
        <f t="shared" si="272"/>
        <v>0</v>
      </c>
      <c r="AM596">
        <f t="shared" si="273"/>
        <v>0</v>
      </c>
      <c r="AN596">
        <f t="shared" si="274"/>
        <v>0</v>
      </c>
      <c r="AO596">
        <f t="shared" si="275"/>
        <v>1</v>
      </c>
      <c r="AP596">
        <f t="shared" si="276"/>
        <v>0</v>
      </c>
      <c r="AQ596">
        <f t="shared" si="277"/>
        <v>0</v>
      </c>
      <c r="AR596">
        <f t="shared" si="278"/>
        <v>1</v>
      </c>
      <c r="AS596">
        <f t="shared" si="279"/>
        <v>0</v>
      </c>
    </row>
    <row r="597" spans="2:45" x14ac:dyDescent="0.3">
      <c r="B597">
        <v>596</v>
      </c>
      <c r="C597" s="1">
        <v>41139</v>
      </c>
      <c r="D597">
        <v>3</v>
      </c>
      <c r="E597">
        <v>1</v>
      </c>
      <c r="F597">
        <v>8</v>
      </c>
      <c r="G597">
        <v>6</v>
      </c>
      <c r="H597">
        <v>1</v>
      </c>
      <c r="I597">
        <v>2827</v>
      </c>
      <c r="J597">
        <v>5038</v>
      </c>
      <c r="K597" s="8">
        <v>7865</v>
      </c>
      <c r="L597">
        <v>27.811653</v>
      </c>
      <c r="M597">
        <v>30.903549999999999</v>
      </c>
      <c r="N597">
        <v>60.333300000000001</v>
      </c>
      <c r="O597">
        <v>11.917089000000001</v>
      </c>
      <c r="P597">
        <v>0</v>
      </c>
      <c r="Q597">
        <v>0</v>
      </c>
      <c r="R597">
        <f t="shared" si="252"/>
        <v>0</v>
      </c>
      <c r="S597">
        <f t="shared" si="253"/>
        <v>0</v>
      </c>
      <c r="T597">
        <f t="shared" si="254"/>
        <v>0</v>
      </c>
      <c r="U597">
        <f t="shared" si="255"/>
        <v>0</v>
      </c>
      <c r="V597">
        <f t="shared" si="256"/>
        <v>0</v>
      </c>
      <c r="W597">
        <f t="shared" si="257"/>
        <v>0</v>
      </c>
      <c r="X597">
        <f t="shared" si="258"/>
        <v>0</v>
      </c>
      <c r="Y597">
        <f t="shared" si="259"/>
        <v>1</v>
      </c>
      <c r="Z597">
        <f t="shared" si="260"/>
        <v>0</v>
      </c>
      <c r="AA597">
        <f t="shared" si="261"/>
        <v>0</v>
      </c>
      <c r="AB597">
        <f t="shared" si="262"/>
        <v>0</v>
      </c>
      <c r="AC597">
        <f t="shared" si="263"/>
        <v>0</v>
      </c>
      <c r="AD597">
        <f t="shared" si="264"/>
        <v>0</v>
      </c>
      <c r="AE597">
        <f t="shared" si="265"/>
        <v>0</v>
      </c>
      <c r="AF597">
        <f t="shared" si="266"/>
        <v>0</v>
      </c>
      <c r="AG597">
        <f t="shared" si="267"/>
        <v>0</v>
      </c>
      <c r="AH597">
        <f t="shared" si="268"/>
        <v>0</v>
      </c>
      <c r="AI597">
        <f t="shared" si="269"/>
        <v>0</v>
      </c>
      <c r="AJ597">
        <f t="shared" si="270"/>
        <v>1</v>
      </c>
      <c r="AK597">
        <f t="shared" si="271"/>
        <v>1</v>
      </c>
      <c r="AL597">
        <f t="shared" si="272"/>
        <v>0</v>
      </c>
      <c r="AM597">
        <f t="shared" si="273"/>
        <v>0</v>
      </c>
      <c r="AN597">
        <f t="shared" si="274"/>
        <v>0</v>
      </c>
      <c r="AO597">
        <f t="shared" si="275"/>
        <v>1</v>
      </c>
      <c r="AP597">
        <f t="shared" si="276"/>
        <v>0</v>
      </c>
      <c r="AQ597">
        <f t="shared" si="277"/>
        <v>0</v>
      </c>
      <c r="AR597">
        <f t="shared" si="278"/>
        <v>1</v>
      </c>
      <c r="AS597">
        <f t="shared" si="279"/>
        <v>0</v>
      </c>
    </row>
    <row r="598" spans="2:45" x14ac:dyDescent="0.3">
      <c r="B598">
        <v>597</v>
      </c>
      <c r="C598" s="1">
        <v>41140</v>
      </c>
      <c r="D598">
        <v>3</v>
      </c>
      <c r="E598">
        <v>1</v>
      </c>
      <c r="F598">
        <v>8</v>
      </c>
      <c r="G598">
        <v>0</v>
      </c>
      <c r="H598">
        <v>2</v>
      </c>
      <c r="I598">
        <v>1208</v>
      </c>
      <c r="J598">
        <v>3341</v>
      </c>
      <c r="K598" s="8">
        <v>4549</v>
      </c>
      <c r="L598">
        <v>26.069153</v>
      </c>
      <c r="M598">
        <v>30.177700000000002</v>
      </c>
      <c r="N598">
        <v>71.166700000000006</v>
      </c>
      <c r="O598">
        <v>5.7921500000000004</v>
      </c>
      <c r="P598">
        <v>0</v>
      </c>
      <c r="Q598">
        <v>0</v>
      </c>
      <c r="R598">
        <f t="shared" si="252"/>
        <v>0</v>
      </c>
      <c r="S598">
        <f t="shared" si="253"/>
        <v>0</v>
      </c>
      <c r="T598">
        <f t="shared" si="254"/>
        <v>0</v>
      </c>
      <c r="U598">
        <f t="shared" si="255"/>
        <v>0</v>
      </c>
      <c r="V598">
        <f t="shared" si="256"/>
        <v>0</v>
      </c>
      <c r="W598">
        <f t="shared" si="257"/>
        <v>0</v>
      </c>
      <c r="X598">
        <f t="shared" si="258"/>
        <v>0</v>
      </c>
      <c r="Y598">
        <f t="shared" si="259"/>
        <v>1</v>
      </c>
      <c r="Z598">
        <f t="shared" si="260"/>
        <v>0</v>
      </c>
      <c r="AA598">
        <f t="shared" si="261"/>
        <v>0</v>
      </c>
      <c r="AB598">
        <f t="shared" si="262"/>
        <v>0</v>
      </c>
      <c r="AC598">
        <f t="shared" si="263"/>
        <v>0</v>
      </c>
      <c r="AD598">
        <f t="shared" si="264"/>
        <v>1</v>
      </c>
      <c r="AE598">
        <f t="shared" si="265"/>
        <v>0</v>
      </c>
      <c r="AF598">
        <f t="shared" si="266"/>
        <v>0</v>
      </c>
      <c r="AG598">
        <f t="shared" si="267"/>
        <v>0</v>
      </c>
      <c r="AH598">
        <f t="shared" si="268"/>
        <v>0</v>
      </c>
      <c r="AI598">
        <f t="shared" si="269"/>
        <v>0</v>
      </c>
      <c r="AJ598">
        <f t="shared" si="270"/>
        <v>0</v>
      </c>
      <c r="AK598">
        <f t="shared" si="271"/>
        <v>0</v>
      </c>
      <c r="AL598">
        <f t="shared" si="272"/>
        <v>1</v>
      </c>
      <c r="AM598">
        <f t="shared" si="273"/>
        <v>0</v>
      </c>
      <c r="AN598">
        <f t="shared" si="274"/>
        <v>0</v>
      </c>
      <c r="AO598">
        <f t="shared" si="275"/>
        <v>1</v>
      </c>
      <c r="AP598">
        <f t="shared" si="276"/>
        <v>0</v>
      </c>
      <c r="AQ598">
        <f t="shared" si="277"/>
        <v>0</v>
      </c>
      <c r="AR598">
        <f t="shared" si="278"/>
        <v>1</v>
      </c>
      <c r="AS598">
        <f t="shared" si="279"/>
        <v>0</v>
      </c>
    </row>
    <row r="599" spans="2:45" x14ac:dyDescent="0.3">
      <c r="B599">
        <v>598</v>
      </c>
      <c r="C599" s="1">
        <v>41141</v>
      </c>
      <c r="D599">
        <v>3</v>
      </c>
      <c r="E599">
        <v>1</v>
      </c>
      <c r="F599">
        <v>8</v>
      </c>
      <c r="G599">
        <v>1</v>
      </c>
      <c r="H599">
        <v>2</v>
      </c>
      <c r="I599">
        <v>1026</v>
      </c>
      <c r="J599">
        <v>5504</v>
      </c>
      <c r="K599" s="8">
        <v>6530</v>
      </c>
      <c r="L599">
        <v>26.069153</v>
      </c>
      <c r="M599">
        <v>29.798349999999999</v>
      </c>
      <c r="N599">
        <v>73.416700000000006</v>
      </c>
      <c r="O599">
        <v>8.7085930000000005</v>
      </c>
      <c r="P599">
        <v>0</v>
      </c>
      <c r="Q599">
        <v>1</v>
      </c>
      <c r="R599">
        <f t="shared" si="252"/>
        <v>0</v>
      </c>
      <c r="S599">
        <f t="shared" si="253"/>
        <v>0</v>
      </c>
      <c r="T599">
        <f t="shared" si="254"/>
        <v>0</v>
      </c>
      <c r="U599">
        <f t="shared" si="255"/>
        <v>0</v>
      </c>
      <c r="V599">
        <f t="shared" si="256"/>
        <v>0</v>
      </c>
      <c r="W599">
        <f t="shared" si="257"/>
        <v>0</v>
      </c>
      <c r="X599">
        <f t="shared" si="258"/>
        <v>0</v>
      </c>
      <c r="Y599">
        <f t="shared" si="259"/>
        <v>1</v>
      </c>
      <c r="Z599">
        <f t="shared" si="260"/>
        <v>0</v>
      </c>
      <c r="AA599">
        <f t="shared" si="261"/>
        <v>0</v>
      </c>
      <c r="AB599">
        <f t="shared" si="262"/>
        <v>0</v>
      </c>
      <c r="AC599">
        <f t="shared" si="263"/>
        <v>0</v>
      </c>
      <c r="AD599">
        <f t="shared" si="264"/>
        <v>0</v>
      </c>
      <c r="AE599">
        <f t="shared" si="265"/>
        <v>1</v>
      </c>
      <c r="AF599">
        <f t="shared" si="266"/>
        <v>0</v>
      </c>
      <c r="AG599">
        <f t="shared" si="267"/>
        <v>0</v>
      </c>
      <c r="AH599">
        <f t="shared" si="268"/>
        <v>0</v>
      </c>
      <c r="AI599">
        <f t="shared" si="269"/>
        <v>0</v>
      </c>
      <c r="AJ599">
        <f t="shared" si="270"/>
        <v>0</v>
      </c>
      <c r="AK599">
        <f t="shared" si="271"/>
        <v>0</v>
      </c>
      <c r="AL599">
        <f t="shared" si="272"/>
        <v>1</v>
      </c>
      <c r="AM599">
        <f t="shared" si="273"/>
        <v>0</v>
      </c>
      <c r="AN599">
        <f t="shared" si="274"/>
        <v>0</v>
      </c>
      <c r="AO599">
        <f t="shared" si="275"/>
        <v>1</v>
      </c>
      <c r="AP599">
        <f t="shared" si="276"/>
        <v>0</v>
      </c>
      <c r="AQ599">
        <f t="shared" si="277"/>
        <v>0</v>
      </c>
      <c r="AR599">
        <f t="shared" si="278"/>
        <v>1</v>
      </c>
      <c r="AS599">
        <f t="shared" si="279"/>
        <v>0</v>
      </c>
    </row>
    <row r="600" spans="2:45" x14ac:dyDescent="0.3">
      <c r="B600">
        <v>599</v>
      </c>
      <c r="C600" s="1">
        <v>41142</v>
      </c>
      <c r="D600">
        <v>3</v>
      </c>
      <c r="E600">
        <v>1</v>
      </c>
      <c r="F600">
        <v>8</v>
      </c>
      <c r="G600">
        <v>2</v>
      </c>
      <c r="H600">
        <v>1</v>
      </c>
      <c r="I600">
        <v>1081</v>
      </c>
      <c r="J600">
        <v>5925</v>
      </c>
      <c r="K600" s="8">
        <v>7006</v>
      </c>
      <c r="L600">
        <v>26.615846999999999</v>
      </c>
      <c r="M600">
        <v>30.05125</v>
      </c>
      <c r="N600">
        <v>67.375</v>
      </c>
      <c r="O600">
        <v>4.8756436000000001</v>
      </c>
      <c r="P600">
        <v>0</v>
      </c>
      <c r="Q600">
        <v>1</v>
      </c>
      <c r="R600">
        <f t="shared" si="252"/>
        <v>0</v>
      </c>
      <c r="S600">
        <f t="shared" si="253"/>
        <v>0</v>
      </c>
      <c r="T600">
        <f t="shared" si="254"/>
        <v>0</v>
      </c>
      <c r="U600">
        <f t="shared" si="255"/>
        <v>0</v>
      </c>
      <c r="V600">
        <f t="shared" si="256"/>
        <v>0</v>
      </c>
      <c r="W600">
        <f t="shared" si="257"/>
        <v>0</v>
      </c>
      <c r="X600">
        <f t="shared" si="258"/>
        <v>0</v>
      </c>
      <c r="Y600">
        <f t="shared" si="259"/>
        <v>1</v>
      </c>
      <c r="Z600">
        <f t="shared" si="260"/>
        <v>0</v>
      </c>
      <c r="AA600">
        <f t="shared" si="261"/>
        <v>0</v>
      </c>
      <c r="AB600">
        <f t="shared" si="262"/>
        <v>0</v>
      </c>
      <c r="AC600">
        <f t="shared" si="263"/>
        <v>0</v>
      </c>
      <c r="AD600">
        <f t="shared" si="264"/>
        <v>0</v>
      </c>
      <c r="AE600">
        <f t="shared" si="265"/>
        <v>0</v>
      </c>
      <c r="AF600">
        <f t="shared" si="266"/>
        <v>1</v>
      </c>
      <c r="AG600">
        <f t="shared" si="267"/>
        <v>0</v>
      </c>
      <c r="AH600">
        <f t="shared" si="268"/>
        <v>0</v>
      </c>
      <c r="AI600">
        <f t="shared" si="269"/>
        <v>0</v>
      </c>
      <c r="AJ600">
        <f t="shared" si="270"/>
        <v>0</v>
      </c>
      <c r="AK600">
        <f t="shared" si="271"/>
        <v>1</v>
      </c>
      <c r="AL600">
        <f t="shared" si="272"/>
        <v>0</v>
      </c>
      <c r="AM600">
        <f t="shared" si="273"/>
        <v>0</v>
      </c>
      <c r="AN600">
        <f t="shared" si="274"/>
        <v>0</v>
      </c>
      <c r="AO600">
        <f t="shared" si="275"/>
        <v>1</v>
      </c>
      <c r="AP600">
        <f t="shared" si="276"/>
        <v>0</v>
      </c>
      <c r="AQ600">
        <f t="shared" si="277"/>
        <v>0</v>
      </c>
      <c r="AR600">
        <f t="shared" si="278"/>
        <v>1</v>
      </c>
      <c r="AS600">
        <f t="shared" si="279"/>
        <v>0</v>
      </c>
    </row>
    <row r="601" spans="2:45" x14ac:dyDescent="0.3">
      <c r="B601">
        <v>600</v>
      </c>
      <c r="C601" s="1">
        <v>41143</v>
      </c>
      <c r="D601">
        <v>3</v>
      </c>
      <c r="E601">
        <v>1</v>
      </c>
      <c r="F601">
        <v>8</v>
      </c>
      <c r="G601">
        <v>3</v>
      </c>
      <c r="H601">
        <v>1</v>
      </c>
      <c r="I601">
        <v>1094</v>
      </c>
      <c r="J601">
        <v>6281</v>
      </c>
      <c r="K601" s="8">
        <v>7375</v>
      </c>
      <c r="L601">
        <v>27.3675</v>
      </c>
      <c r="M601">
        <v>31.092700000000001</v>
      </c>
      <c r="N601">
        <v>67.708299999999994</v>
      </c>
      <c r="O601">
        <v>4.7089810999999999</v>
      </c>
      <c r="P601">
        <v>0</v>
      </c>
      <c r="Q601">
        <v>1</v>
      </c>
      <c r="R601">
        <f t="shared" si="252"/>
        <v>0</v>
      </c>
      <c r="S601">
        <f t="shared" si="253"/>
        <v>0</v>
      </c>
      <c r="T601">
        <f t="shared" si="254"/>
        <v>0</v>
      </c>
      <c r="U601">
        <f t="shared" si="255"/>
        <v>0</v>
      </c>
      <c r="V601">
        <f t="shared" si="256"/>
        <v>0</v>
      </c>
      <c r="W601">
        <f t="shared" si="257"/>
        <v>0</v>
      </c>
      <c r="X601">
        <f t="shared" si="258"/>
        <v>0</v>
      </c>
      <c r="Y601">
        <f t="shared" si="259"/>
        <v>1</v>
      </c>
      <c r="Z601">
        <f t="shared" si="260"/>
        <v>0</v>
      </c>
      <c r="AA601">
        <f t="shared" si="261"/>
        <v>0</v>
      </c>
      <c r="AB601">
        <f t="shared" si="262"/>
        <v>0</v>
      </c>
      <c r="AC601">
        <f t="shared" si="263"/>
        <v>0</v>
      </c>
      <c r="AD601">
        <f t="shared" si="264"/>
        <v>0</v>
      </c>
      <c r="AE601">
        <f t="shared" si="265"/>
        <v>0</v>
      </c>
      <c r="AF601">
        <f t="shared" si="266"/>
        <v>0</v>
      </c>
      <c r="AG601">
        <f t="shared" si="267"/>
        <v>1</v>
      </c>
      <c r="AH601">
        <f t="shared" si="268"/>
        <v>0</v>
      </c>
      <c r="AI601">
        <f t="shared" si="269"/>
        <v>0</v>
      </c>
      <c r="AJ601">
        <f t="shared" si="270"/>
        <v>0</v>
      </c>
      <c r="AK601">
        <f t="shared" si="271"/>
        <v>1</v>
      </c>
      <c r="AL601">
        <f t="shared" si="272"/>
        <v>0</v>
      </c>
      <c r="AM601">
        <f t="shared" si="273"/>
        <v>0</v>
      </c>
      <c r="AN601">
        <f t="shared" si="274"/>
        <v>0</v>
      </c>
      <c r="AO601">
        <f t="shared" si="275"/>
        <v>1</v>
      </c>
      <c r="AP601">
        <f t="shared" si="276"/>
        <v>0</v>
      </c>
      <c r="AQ601">
        <f t="shared" si="277"/>
        <v>0</v>
      </c>
      <c r="AR601">
        <f t="shared" si="278"/>
        <v>1</v>
      </c>
      <c r="AS601">
        <f t="shared" si="279"/>
        <v>0</v>
      </c>
    </row>
    <row r="602" spans="2:45" x14ac:dyDescent="0.3">
      <c r="B602">
        <v>601</v>
      </c>
      <c r="C602" s="1">
        <v>41144</v>
      </c>
      <c r="D602">
        <v>3</v>
      </c>
      <c r="E602">
        <v>1</v>
      </c>
      <c r="F602">
        <v>8</v>
      </c>
      <c r="G602">
        <v>4</v>
      </c>
      <c r="H602">
        <v>1</v>
      </c>
      <c r="I602">
        <v>1363</v>
      </c>
      <c r="J602">
        <v>6402</v>
      </c>
      <c r="K602" s="8">
        <v>7765</v>
      </c>
      <c r="L602">
        <v>28.529153000000001</v>
      </c>
      <c r="M602">
        <v>31.8504</v>
      </c>
      <c r="N602">
        <v>63.583300000000001</v>
      </c>
      <c r="O602">
        <v>5.6679186000000001</v>
      </c>
      <c r="P602">
        <v>0</v>
      </c>
      <c r="Q602">
        <v>1</v>
      </c>
      <c r="R602">
        <f t="shared" si="252"/>
        <v>0</v>
      </c>
      <c r="S602">
        <f t="shared" si="253"/>
        <v>0</v>
      </c>
      <c r="T602">
        <f t="shared" si="254"/>
        <v>0</v>
      </c>
      <c r="U602">
        <f t="shared" si="255"/>
        <v>0</v>
      </c>
      <c r="V602">
        <f t="shared" si="256"/>
        <v>0</v>
      </c>
      <c r="W602">
        <f t="shared" si="257"/>
        <v>0</v>
      </c>
      <c r="X602">
        <f t="shared" si="258"/>
        <v>0</v>
      </c>
      <c r="Y602">
        <f t="shared" si="259"/>
        <v>1</v>
      </c>
      <c r="Z602">
        <f t="shared" si="260"/>
        <v>0</v>
      </c>
      <c r="AA602">
        <f t="shared" si="261"/>
        <v>0</v>
      </c>
      <c r="AB602">
        <f t="shared" si="262"/>
        <v>0</v>
      </c>
      <c r="AC602">
        <f t="shared" si="263"/>
        <v>0</v>
      </c>
      <c r="AD602">
        <f t="shared" si="264"/>
        <v>0</v>
      </c>
      <c r="AE602">
        <f t="shared" si="265"/>
        <v>0</v>
      </c>
      <c r="AF602">
        <f t="shared" si="266"/>
        <v>0</v>
      </c>
      <c r="AG602">
        <f t="shared" si="267"/>
        <v>0</v>
      </c>
      <c r="AH602">
        <f t="shared" si="268"/>
        <v>1</v>
      </c>
      <c r="AI602">
        <f t="shared" si="269"/>
        <v>0</v>
      </c>
      <c r="AJ602">
        <f t="shared" si="270"/>
        <v>0</v>
      </c>
      <c r="AK602">
        <f t="shared" si="271"/>
        <v>1</v>
      </c>
      <c r="AL602">
        <f t="shared" si="272"/>
        <v>0</v>
      </c>
      <c r="AM602">
        <f t="shared" si="273"/>
        <v>0</v>
      </c>
      <c r="AN602">
        <f t="shared" si="274"/>
        <v>0</v>
      </c>
      <c r="AO602">
        <f t="shared" si="275"/>
        <v>1</v>
      </c>
      <c r="AP602">
        <f t="shared" si="276"/>
        <v>0</v>
      </c>
      <c r="AQ602">
        <f t="shared" si="277"/>
        <v>0</v>
      </c>
      <c r="AR602">
        <f t="shared" si="278"/>
        <v>1</v>
      </c>
      <c r="AS602">
        <f t="shared" si="279"/>
        <v>0</v>
      </c>
    </row>
    <row r="603" spans="2:45" x14ac:dyDescent="0.3">
      <c r="B603">
        <v>602</v>
      </c>
      <c r="C603" s="1">
        <v>41145</v>
      </c>
      <c r="D603">
        <v>3</v>
      </c>
      <c r="E603">
        <v>1</v>
      </c>
      <c r="F603">
        <v>8</v>
      </c>
      <c r="G603">
        <v>5</v>
      </c>
      <c r="H603">
        <v>2</v>
      </c>
      <c r="I603">
        <v>1325</v>
      </c>
      <c r="J603">
        <v>6257</v>
      </c>
      <c r="K603" s="8">
        <v>7582</v>
      </c>
      <c r="L603">
        <v>28.802499999999998</v>
      </c>
      <c r="M603">
        <v>32.354999999999997</v>
      </c>
      <c r="N603">
        <v>61.5</v>
      </c>
      <c r="O603">
        <v>4.8337686</v>
      </c>
      <c r="P603">
        <v>0</v>
      </c>
      <c r="Q603">
        <v>1</v>
      </c>
      <c r="R603">
        <f t="shared" si="252"/>
        <v>0</v>
      </c>
      <c r="S603">
        <f t="shared" si="253"/>
        <v>0</v>
      </c>
      <c r="T603">
        <f t="shared" si="254"/>
        <v>0</v>
      </c>
      <c r="U603">
        <f t="shared" si="255"/>
        <v>0</v>
      </c>
      <c r="V603">
        <f t="shared" si="256"/>
        <v>0</v>
      </c>
      <c r="W603">
        <f t="shared" si="257"/>
        <v>0</v>
      </c>
      <c r="X603">
        <f t="shared" si="258"/>
        <v>0</v>
      </c>
      <c r="Y603">
        <f t="shared" si="259"/>
        <v>1</v>
      </c>
      <c r="Z603">
        <f t="shared" si="260"/>
        <v>0</v>
      </c>
      <c r="AA603">
        <f t="shared" si="261"/>
        <v>0</v>
      </c>
      <c r="AB603">
        <f t="shared" si="262"/>
        <v>0</v>
      </c>
      <c r="AC603">
        <f t="shared" si="263"/>
        <v>0</v>
      </c>
      <c r="AD603">
        <f t="shared" si="264"/>
        <v>0</v>
      </c>
      <c r="AE603">
        <f t="shared" si="265"/>
        <v>0</v>
      </c>
      <c r="AF603">
        <f t="shared" si="266"/>
        <v>0</v>
      </c>
      <c r="AG603">
        <f t="shared" si="267"/>
        <v>0</v>
      </c>
      <c r="AH603">
        <f t="shared" si="268"/>
        <v>0</v>
      </c>
      <c r="AI603">
        <f t="shared" si="269"/>
        <v>1</v>
      </c>
      <c r="AJ603">
        <f t="shared" si="270"/>
        <v>0</v>
      </c>
      <c r="AK603">
        <f t="shared" si="271"/>
        <v>0</v>
      </c>
      <c r="AL603">
        <f t="shared" si="272"/>
        <v>1</v>
      </c>
      <c r="AM603">
        <f t="shared" si="273"/>
        <v>0</v>
      </c>
      <c r="AN603">
        <f t="shared" si="274"/>
        <v>0</v>
      </c>
      <c r="AO603">
        <f t="shared" si="275"/>
        <v>1</v>
      </c>
      <c r="AP603">
        <f t="shared" si="276"/>
        <v>0</v>
      </c>
      <c r="AQ603">
        <f t="shared" si="277"/>
        <v>0</v>
      </c>
      <c r="AR603">
        <f t="shared" si="278"/>
        <v>1</v>
      </c>
      <c r="AS603">
        <f t="shared" si="279"/>
        <v>0</v>
      </c>
    </row>
    <row r="604" spans="2:45" x14ac:dyDescent="0.3">
      <c r="B604">
        <v>603</v>
      </c>
      <c r="C604" s="1">
        <v>41146</v>
      </c>
      <c r="D604">
        <v>3</v>
      </c>
      <c r="E604">
        <v>1</v>
      </c>
      <c r="F604">
        <v>8</v>
      </c>
      <c r="G604">
        <v>6</v>
      </c>
      <c r="H604">
        <v>2</v>
      </c>
      <c r="I604">
        <v>1829</v>
      </c>
      <c r="J604">
        <v>4224</v>
      </c>
      <c r="K604" s="8">
        <v>6053</v>
      </c>
      <c r="L604">
        <v>27.128347000000002</v>
      </c>
      <c r="M604">
        <v>30.934799999999999</v>
      </c>
      <c r="N604">
        <v>71.291700000000006</v>
      </c>
      <c r="O604">
        <v>16.375336000000001</v>
      </c>
      <c r="P604">
        <v>0</v>
      </c>
      <c r="Q604">
        <v>0</v>
      </c>
      <c r="R604">
        <f t="shared" si="252"/>
        <v>0</v>
      </c>
      <c r="S604">
        <f t="shared" si="253"/>
        <v>0</v>
      </c>
      <c r="T604">
        <f t="shared" si="254"/>
        <v>0</v>
      </c>
      <c r="U604">
        <f t="shared" si="255"/>
        <v>0</v>
      </c>
      <c r="V604">
        <f t="shared" si="256"/>
        <v>0</v>
      </c>
      <c r="W604">
        <f t="shared" si="257"/>
        <v>0</v>
      </c>
      <c r="X604">
        <f t="shared" si="258"/>
        <v>0</v>
      </c>
      <c r="Y604">
        <f t="shared" si="259"/>
        <v>1</v>
      </c>
      <c r="Z604">
        <f t="shared" si="260"/>
        <v>0</v>
      </c>
      <c r="AA604">
        <f t="shared" si="261"/>
        <v>0</v>
      </c>
      <c r="AB604">
        <f t="shared" si="262"/>
        <v>0</v>
      </c>
      <c r="AC604">
        <f t="shared" si="263"/>
        <v>0</v>
      </c>
      <c r="AD604">
        <f t="shared" si="264"/>
        <v>0</v>
      </c>
      <c r="AE604">
        <f t="shared" si="265"/>
        <v>0</v>
      </c>
      <c r="AF604">
        <f t="shared" si="266"/>
        <v>0</v>
      </c>
      <c r="AG604">
        <f t="shared" si="267"/>
        <v>0</v>
      </c>
      <c r="AH604">
        <f t="shared" si="268"/>
        <v>0</v>
      </c>
      <c r="AI604">
        <f t="shared" si="269"/>
        <v>0</v>
      </c>
      <c r="AJ604">
        <f t="shared" si="270"/>
        <v>1</v>
      </c>
      <c r="AK604">
        <f t="shared" si="271"/>
        <v>0</v>
      </c>
      <c r="AL604">
        <f t="shared" si="272"/>
        <v>1</v>
      </c>
      <c r="AM604">
        <f t="shared" si="273"/>
        <v>0</v>
      </c>
      <c r="AN604">
        <f t="shared" si="274"/>
        <v>0</v>
      </c>
      <c r="AO604">
        <f t="shared" si="275"/>
        <v>1</v>
      </c>
      <c r="AP604">
        <f t="shared" si="276"/>
        <v>0</v>
      </c>
      <c r="AQ604">
        <f t="shared" si="277"/>
        <v>0</v>
      </c>
      <c r="AR604">
        <f t="shared" si="278"/>
        <v>1</v>
      </c>
      <c r="AS604">
        <f t="shared" si="279"/>
        <v>0</v>
      </c>
    </row>
    <row r="605" spans="2:45" x14ac:dyDescent="0.3">
      <c r="B605">
        <v>604</v>
      </c>
      <c r="C605" s="1">
        <v>41147</v>
      </c>
      <c r="D605">
        <v>3</v>
      </c>
      <c r="E605">
        <v>1</v>
      </c>
      <c r="F605">
        <v>8</v>
      </c>
      <c r="G605">
        <v>0</v>
      </c>
      <c r="H605">
        <v>2</v>
      </c>
      <c r="I605">
        <v>1483</v>
      </c>
      <c r="J605">
        <v>3772</v>
      </c>
      <c r="K605" s="8">
        <v>5255</v>
      </c>
      <c r="L605">
        <v>26.786653000000001</v>
      </c>
      <c r="M605">
        <v>29.799800000000001</v>
      </c>
      <c r="N605">
        <v>84.583299999999994</v>
      </c>
      <c r="O605">
        <v>15.333486000000001</v>
      </c>
      <c r="P605">
        <v>0</v>
      </c>
      <c r="Q605">
        <v>0</v>
      </c>
      <c r="R605">
        <f t="shared" si="252"/>
        <v>0</v>
      </c>
      <c r="S605">
        <f t="shared" si="253"/>
        <v>0</v>
      </c>
      <c r="T605">
        <f t="shared" si="254"/>
        <v>0</v>
      </c>
      <c r="U605">
        <f t="shared" si="255"/>
        <v>0</v>
      </c>
      <c r="V605">
        <f t="shared" si="256"/>
        <v>0</v>
      </c>
      <c r="W605">
        <f t="shared" si="257"/>
        <v>0</v>
      </c>
      <c r="X605">
        <f t="shared" si="258"/>
        <v>0</v>
      </c>
      <c r="Y605">
        <f t="shared" si="259"/>
        <v>1</v>
      </c>
      <c r="Z605">
        <f t="shared" si="260"/>
        <v>0</v>
      </c>
      <c r="AA605">
        <f t="shared" si="261"/>
        <v>0</v>
      </c>
      <c r="AB605">
        <f t="shared" si="262"/>
        <v>0</v>
      </c>
      <c r="AC605">
        <f t="shared" si="263"/>
        <v>0</v>
      </c>
      <c r="AD605">
        <f t="shared" si="264"/>
        <v>1</v>
      </c>
      <c r="AE605">
        <f t="shared" si="265"/>
        <v>0</v>
      </c>
      <c r="AF605">
        <f t="shared" si="266"/>
        <v>0</v>
      </c>
      <c r="AG605">
        <f t="shared" si="267"/>
        <v>0</v>
      </c>
      <c r="AH605">
        <f t="shared" si="268"/>
        <v>0</v>
      </c>
      <c r="AI605">
        <f t="shared" si="269"/>
        <v>0</v>
      </c>
      <c r="AJ605">
        <f t="shared" si="270"/>
        <v>0</v>
      </c>
      <c r="AK605">
        <f t="shared" si="271"/>
        <v>0</v>
      </c>
      <c r="AL605">
        <f t="shared" si="272"/>
        <v>1</v>
      </c>
      <c r="AM605">
        <f t="shared" si="273"/>
        <v>0</v>
      </c>
      <c r="AN605">
        <f t="shared" si="274"/>
        <v>0</v>
      </c>
      <c r="AO605">
        <f t="shared" si="275"/>
        <v>1</v>
      </c>
      <c r="AP605">
        <f t="shared" si="276"/>
        <v>0</v>
      </c>
      <c r="AQ605">
        <f t="shared" si="277"/>
        <v>0</v>
      </c>
      <c r="AR605">
        <f t="shared" si="278"/>
        <v>1</v>
      </c>
      <c r="AS605">
        <f t="shared" si="279"/>
        <v>0</v>
      </c>
    </row>
    <row r="606" spans="2:45" x14ac:dyDescent="0.3">
      <c r="B606">
        <v>605</v>
      </c>
      <c r="C606" s="1">
        <v>41148</v>
      </c>
      <c r="D606">
        <v>3</v>
      </c>
      <c r="E606">
        <v>1</v>
      </c>
      <c r="F606">
        <v>8</v>
      </c>
      <c r="G606">
        <v>1</v>
      </c>
      <c r="H606">
        <v>1</v>
      </c>
      <c r="I606">
        <v>989</v>
      </c>
      <c r="J606">
        <v>5928</v>
      </c>
      <c r="K606" s="8">
        <v>6917</v>
      </c>
      <c r="L606">
        <v>28.836652999999998</v>
      </c>
      <c r="M606">
        <v>32.734400000000001</v>
      </c>
      <c r="N606">
        <v>73.041700000000006</v>
      </c>
      <c r="O606">
        <v>8.6251110000000004</v>
      </c>
      <c r="P606">
        <v>0</v>
      </c>
      <c r="Q606">
        <v>1</v>
      </c>
      <c r="R606">
        <f t="shared" si="252"/>
        <v>0</v>
      </c>
      <c r="S606">
        <f t="shared" si="253"/>
        <v>0</v>
      </c>
      <c r="T606">
        <f t="shared" si="254"/>
        <v>0</v>
      </c>
      <c r="U606">
        <f t="shared" si="255"/>
        <v>0</v>
      </c>
      <c r="V606">
        <f t="shared" si="256"/>
        <v>0</v>
      </c>
      <c r="W606">
        <f t="shared" si="257"/>
        <v>0</v>
      </c>
      <c r="X606">
        <f t="shared" si="258"/>
        <v>0</v>
      </c>
      <c r="Y606">
        <f t="shared" si="259"/>
        <v>1</v>
      </c>
      <c r="Z606">
        <f t="shared" si="260"/>
        <v>0</v>
      </c>
      <c r="AA606">
        <f t="shared" si="261"/>
        <v>0</v>
      </c>
      <c r="AB606">
        <f t="shared" si="262"/>
        <v>0</v>
      </c>
      <c r="AC606">
        <f t="shared" si="263"/>
        <v>0</v>
      </c>
      <c r="AD606">
        <f t="shared" si="264"/>
        <v>0</v>
      </c>
      <c r="AE606">
        <f t="shared" si="265"/>
        <v>1</v>
      </c>
      <c r="AF606">
        <f t="shared" si="266"/>
        <v>0</v>
      </c>
      <c r="AG606">
        <f t="shared" si="267"/>
        <v>0</v>
      </c>
      <c r="AH606">
        <f t="shared" si="268"/>
        <v>0</v>
      </c>
      <c r="AI606">
        <f t="shared" si="269"/>
        <v>0</v>
      </c>
      <c r="AJ606">
        <f t="shared" si="270"/>
        <v>0</v>
      </c>
      <c r="AK606">
        <f t="shared" si="271"/>
        <v>1</v>
      </c>
      <c r="AL606">
        <f t="shared" si="272"/>
        <v>0</v>
      </c>
      <c r="AM606">
        <f t="shared" si="273"/>
        <v>0</v>
      </c>
      <c r="AN606">
        <f t="shared" si="274"/>
        <v>0</v>
      </c>
      <c r="AO606">
        <f t="shared" si="275"/>
        <v>1</v>
      </c>
      <c r="AP606">
        <f t="shared" si="276"/>
        <v>0</v>
      </c>
      <c r="AQ606">
        <f t="shared" si="277"/>
        <v>0</v>
      </c>
      <c r="AR606">
        <f t="shared" si="278"/>
        <v>1</v>
      </c>
      <c r="AS606">
        <f t="shared" si="279"/>
        <v>0</v>
      </c>
    </row>
    <row r="607" spans="2:45" x14ac:dyDescent="0.3">
      <c r="B607">
        <v>606</v>
      </c>
      <c r="C607" s="1">
        <v>41149</v>
      </c>
      <c r="D607">
        <v>3</v>
      </c>
      <c r="E607">
        <v>1</v>
      </c>
      <c r="F607">
        <v>8</v>
      </c>
      <c r="G607">
        <v>2</v>
      </c>
      <c r="H607">
        <v>1</v>
      </c>
      <c r="I607">
        <v>935</v>
      </c>
      <c r="J607">
        <v>6105</v>
      </c>
      <c r="K607" s="8">
        <v>7040</v>
      </c>
      <c r="L607">
        <v>29.861653</v>
      </c>
      <c r="M607">
        <v>33.302500000000002</v>
      </c>
      <c r="N607">
        <v>62</v>
      </c>
      <c r="O607">
        <v>12.791975000000001</v>
      </c>
      <c r="P607">
        <v>0</v>
      </c>
      <c r="Q607">
        <v>1</v>
      </c>
      <c r="R607">
        <f t="shared" si="252"/>
        <v>0</v>
      </c>
      <c r="S607">
        <f t="shared" si="253"/>
        <v>0</v>
      </c>
      <c r="T607">
        <f t="shared" si="254"/>
        <v>0</v>
      </c>
      <c r="U607">
        <f t="shared" si="255"/>
        <v>0</v>
      </c>
      <c r="V607">
        <f t="shared" si="256"/>
        <v>0</v>
      </c>
      <c r="W607">
        <f t="shared" si="257"/>
        <v>0</v>
      </c>
      <c r="X607">
        <f t="shared" si="258"/>
        <v>0</v>
      </c>
      <c r="Y607">
        <f t="shared" si="259"/>
        <v>1</v>
      </c>
      <c r="Z607">
        <f t="shared" si="260"/>
        <v>0</v>
      </c>
      <c r="AA607">
        <f t="shared" si="261"/>
        <v>0</v>
      </c>
      <c r="AB607">
        <f t="shared" si="262"/>
        <v>0</v>
      </c>
      <c r="AC607">
        <f t="shared" si="263"/>
        <v>0</v>
      </c>
      <c r="AD607">
        <f t="shared" si="264"/>
        <v>0</v>
      </c>
      <c r="AE607">
        <f t="shared" si="265"/>
        <v>0</v>
      </c>
      <c r="AF607">
        <f t="shared" si="266"/>
        <v>1</v>
      </c>
      <c r="AG607">
        <f t="shared" si="267"/>
        <v>0</v>
      </c>
      <c r="AH607">
        <f t="shared" si="268"/>
        <v>0</v>
      </c>
      <c r="AI607">
        <f t="shared" si="269"/>
        <v>0</v>
      </c>
      <c r="AJ607">
        <f t="shared" si="270"/>
        <v>0</v>
      </c>
      <c r="AK607">
        <f t="shared" si="271"/>
        <v>1</v>
      </c>
      <c r="AL607">
        <f t="shared" si="272"/>
        <v>0</v>
      </c>
      <c r="AM607">
        <f t="shared" si="273"/>
        <v>0</v>
      </c>
      <c r="AN607">
        <f t="shared" si="274"/>
        <v>0</v>
      </c>
      <c r="AO607">
        <f t="shared" si="275"/>
        <v>1</v>
      </c>
      <c r="AP607">
        <f t="shared" si="276"/>
        <v>0</v>
      </c>
      <c r="AQ607">
        <f t="shared" si="277"/>
        <v>0</v>
      </c>
      <c r="AR607">
        <f t="shared" si="278"/>
        <v>1</v>
      </c>
      <c r="AS607">
        <f t="shared" si="279"/>
        <v>0</v>
      </c>
    </row>
    <row r="608" spans="2:45" x14ac:dyDescent="0.3">
      <c r="B608">
        <v>607</v>
      </c>
      <c r="C608" s="1">
        <v>41150</v>
      </c>
      <c r="D608">
        <v>3</v>
      </c>
      <c r="E608">
        <v>1</v>
      </c>
      <c r="F608">
        <v>8</v>
      </c>
      <c r="G608">
        <v>3</v>
      </c>
      <c r="H608">
        <v>1</v>
      </c>
      <c r="I608">
        <v>1177</v>
      </c>
      <c r="J608">
        <v>6520</v>
      </c>
      <c r="K608" s="8">
        <v>7697</v>
      </c>
      <c r="L608">
        <v>28.085000000000001</v>
      </c>
      <c r="M608">
        <v>31.786650000000002</v>
      </c>
      <c r="N608">
        <v>55.208300000000001</v>
      </c>
      <c r="O608">
        <v>7.5416540000000003</v>
      </c>
      <c r="P608">
        <v>0</v>
      </c>
      <c r="Q608">
        <v>1</v>
      </c>
      <c r="R608">
        <f t="shared" si="252"/>
        <v>0</v>
      </c>
      <c r="S608">
        <f t="shared" si="253"/>
        <v>0</v>
      </c>
      <c r="T608">
        <f t="shared" si="254"/>
        <v>0</v>
      </c>
      <c r="U608">
        <f t="shared" si="255"/>
        <v>0</v>
      </c>
      <c r="V608">
        <f t="shared" si="256"/>
        <v>0</v>
      </c>
      <c r="W608">
        <f t="shared" si="257"/>
        <v>0</v>
      </c>
      <c r="X608">
        <f t="shared" si="258"/>
        <v>0</v>
      </c>
      <c r="Y608">
        <f t="shared" si="259"/>
        <v>1</v>
      </c>
      <c r="Z608">
        <f t="shared" si="260"/>
        <v>0</v>
      </c>
      <c r="AA608">
        <f t="shared" si="261"/>
        <v>0</v>
      </c>
      <c r="AB608">
        <f t="shared" si="262"/>
        <v>0</v>
      </c>
      <c r="AC608">
        <f t="shared" si="263"/>
        <v>0</v>
      </c>
      <c r="AD608">
        <f t="shared" si="264"/>
        <v>0</v>
      </c>
      <c r="AE608">
        <f t="shared" si="265"/>
        <v>0</v>
      </c>
      <c r="AF608">
        <f t="shared" si="266"/>
        <v>0</v>
      </c>
      <c r="AG608">
        <f t="shared" si="267"/>
        <v>1</v>
      </c>
      <c r="AH608">
        <f t="shared" si="268"/>
        <v>0</v>
      </c>
      <c r="AI608">
        <f t="shared" si="269"/>
        <v>0</v>
      </c>
      <c r="AJ608">
        <f t="shared" si="270"/>
        <v>0</v>
      </c>
      <c r="AK608">
        <f t="shared" si="271"/>
        <v>1</v>
      </c>
      <c r="AL608">
        <f t="shared" si="272"/>
        <v>0</v>
      </c>
      <c r="AM608">
        <f t="shared" si="273"/>
        <v>0</v>
      </c>
      <c r="AN608">
        <f t="shared" si="274"/>
        <v>0</v>
      </c>
      <c r="AO608">
        <f t="shared" si="275"/>
        <v>1</v>
      </c>
      <c r="AP608">
        <f t="shared" si="276"/>
        <v>0</v>
      </c>
      <c r="AQ608">
        <f t="shared" si="277"/>
        <v>0</v>
      </c>
      <c r="AR608">
        <f t="shared" si="278"/>
        <v>1</v>
      </c>
      <c r="AS608">
        <f t="shared" si="279"/>
        <v>0</v>
      </c>
    </row>
    <row r="609" spans="2:45" x14ac:dyDescent="0.3">
      <c r="B609">
        <v>608</v>
      </c>
      <c r="C609" s="1">
        <v>41151</v>
      </c>
      <c r="D609">
        <v>3</v>
      </c>
      <c r="E609">
        <v>1</v>
      </c>
      <c r="F609">
        <v>8</v>
      </c>
      <c r="G609">
        <v>4</v>
      </c>
      <c r="H609">
        <v>1</v>
      </c>
      <c r="I609">
        <v>1172</v>
      </c>
      <c r="J609">
        <v>6541</v>
      </c>
      <c r="K609" s="8">
        <v>7713</v>
      </c>
      <c r="L609">
        <v>28.973347</v>
      </c>
      <c r="M609">
        <v>32.638950000000001</v>
      </c>
      <c r="N609">
        <v>59.041699999999999</v>
      </c>
      <c r="O609">
        <v>5.1668189</v>
      </c>
      <c r="P609">
        <v>0</v>
      </c>
      <c r="Q609">
        <v>1</v>
      </c>
      <c r="R609">
        <f t="shared" si="252"/>
        <v>0</v>
      </c>
      <c r="S609">
        <f t="shared" si="253"/>
        <v>0</v>
      </c>
      <c r="T609">
        <f t="shared" si="254"/>
        <v>0</v>
      </c>
      <c r="U609">
        <f t="shared" si="255"/>
        <v>0</v>
      </c>
      <c r="V609">
        <f t="shared" si="256"/>
        <v>0</v>
      </c>
      <c r="W609">
        <f t="shared" si="257"/>
        <v>0</v>
      </c>
      <c r="X609">
        <f t="shared" si="258"/>
        <v>0</v>
      </c>
      <c r="Y609">
        <f t="shared" si="259"/>
        <v>1</v>
      </c>
      <c r="Z609">
        <f t="shared" si="260"/>
        <v>0</v>
      </c>
      <c r="AA609">
        <f t="shared" si="261"/>
        <v>0</v>
      </c>
      <c r="AB609">
        <f t="shared" si="262"/>
        <v>0</v>
      </c>
      <c r="AC609">
        <f t="shared" si="263"/>
        <v>0</v>
      </c>
      <c r="AD609">
        <f t="shared" si="264"/>
        <v>0</v>
      </c>
      <c r="AE609">
        <f t="shared" si="265"/>
        <v>0</v>
      </c>
      <c r="AF609">
        <f t="shared" si="266"/>
        <v>0</v>
      </c>
      <c r="AG609">
        <f t="shared" si="267"/>
        <v>0</v>
      </c>
      <c r="AH609">
        <f t="shared" si="268"/>
        <v>1</v>
      </c>
      <c r="AI609">
        <f t="shared" si="269"/>
        <v>0</v>
      </c>
      <c r="AJ609">
        <f t="shared" si="270"/>
        <v>0</v>
      </c>
      <c r="AK609">
        <f t="shared" si="271"/>
        <v>1</v>
      </c>
      <c r="AL609">
        <f t="shared" si="272"/>
        <v>0</v>
      </c>
      <c r="AM609">
        <f t="shared" si="273"/>
        <v>0</v>
      </c>
      <c r="AN609">
        <f t="shared" si="274"/>
        <v>0</v>
      </c>
      <c r="AO609">
        <f t="shared" si="275"/>
        <v>1</v>
      </c>
      <c r="AP609">
        <f t="shared" si="276"/>
        <v>0</v>
      </c>
      <c r="AQ609">
        <f t="shared" si="277"/>
        <v>0</v>
      </c>
      <c r="AR609">
        <f t="shared" si="278"/>
        <v>1</v>
      </c>
      <c r="AS609">
        <f t="shared" si="279"/>
        <v>0</v>
      </c>
    </row>
    <row r="610" spans="2:45" x14ac:dyDescent="0.3">
      <c r="B610">
        <v>609</v>
      </c>
      <c r="C610" s="1">
        <v>41152</v>
      </c>
      <c r="D610">
        <v>3</v>
      </c>
      <c r="E610">
        <v>1</v>
      </c>
      <c r="F610">
        <v>8</v>
      </c>
      <c r="G610">
        <v>5</v>
      </c>
      <c r="H610">
        <v>1</v>
      </c>
      <c r="I610">
        <v>1433</v>
      </c>
      <c r="J610">
        <v>5917</v>
      </c>
      <c r="K610" s="8">
        <v>7350</v>
      </c>
      <c r="L610">
        <v>31.330846999999999</v>
      </c>
      <c r="M610">
        <v>34.47</v>
      </c>
      <c r="N610">
        <v>58.75</v>
      </c>
      <c r="O610">
        <v>11.291710999999999</v>
      </c>
      <c r="P610">
        <v>0</v>
      </c>
      <c r="Q610">
        <v>1</v>
      </c>
      <c r="R610">
        <f t="shared" si="252"/>
        <v>0</v>
      </c>
      <c r="S610">
        <f t="shared" si="253"/>
        <v>0</v>
      </c>
      <c r="T610">
        <f t="shared" si="254"/>
        <v>0</v>
      </c>
      <c r="U610">
        <f t="shared" si="255"/>
        <v>0</v>
      </c>
      <c r="V610">
        <f t="shared" si="256"/>
        <v>0</v>
      </c>
      <c r="W610">
        <f t="shared" si="257"/>
        <v>0</v>
      </c>
      <c r="X610">
        <f t="shared" si="258"/>
        <v>0</v>
      </c>
      <c r="Y610">
        <f t="shared" si="259"/>
        <v>1</v>
      </c>
      <c r="Z610">
        <f t="shared" si="260"/>
        <v>0</v>
      </c>
      <c r="AA610">
        <f t="shared" si="261"/>
        <v>0</v>
      </c>
      <c r="AB610">
        <f t="shared" si="262"/>
        <v>0</v>
      </c>
      <c r="AC610">
        <f t="shared" si="263"/>
        <v>0</v>
      </c>
      <c r="AD610">
        <f t="shared" si="264"/>
        <v>0</v>
      </c>
      <c r="AE610">
        <f t="shared" si="265"/>
        <v>0</v>
      </c>
      <c r="AF610">
        <f t="shared" si="266"/>
        <v>0</v>
      </c>
      <c r="AG610">
        <f t="shared" si="267"/>
        <v>0</v>
      </c>
      <c r="AH610">
        <f t="shared" si="268"/>
        <v>0</v>
      </c>
      <c r="AI610">
        <f t="shared" si="269"/>
        <v>1</v>
      </c>
      <c r="AJ610">
        <f t="shared" si="270"/>
        <v>0</v>
      </c>
      <c r="AK610">
        <f t="shared" si="271"/>
        <v>1</v>
      </c>
      <c r="AL610">
        <f t="shared" si="272"/>
        <v>0</v>
      </c>
      <c r="AM610">
        <f t="shared" si="273"/>
        <v>0</v>
      </c>
      <c r="AN610">
        <f t="shared" si="274"/>
        <v>0</v>
      </c>
      <c r="AO610">
        <f t="shared" si="275"/>
        <v>1</v>
      </c>
      <c r="AP610">
        <f t="shared" si="276"/>
        <v>0</v>
      </c>
      <c r="AQ610">
        <f t="shared" si="277"/>
        <v>0</v>
      </c>
      <c r="AR610">
        <f t="shared" si="278"/>
        <v>1</v>
      </c>
      <c r="AS610">
        <f t="shared" si="279"/>
        <v>0</v>
      </c>
    </row>
    <row r="611" spans="2:45" x14ac:dyDescent="0.3">
      <c r="B611">
        <v>610</v>
      </c>
      <c r="C611" s="1">
        <v>41153</v>
      </c>
      <c r="D611">
        <v>3</v>
      </c>
      <c r="E611">
        <v>1</v>
      </c>
      <c r="F611">
        <v>9</v>
      </c>
      <c r="G611">
        <v>6</v>
      </c>
      <c r="H611">
        <v>2</v>
      </c>
      <c r="I611">
        <v>2352</v>
      </c>
      <c r="J611">
        <v>3788</v>
      </c>
      <c r="K611" s="8">
        <v>6140</v>
      </c>
      <c r="L611">
        <v>30.886652999999999</v>
      </c>
      <c r="M611">
        <v>35.1327</v>
      </c>
      <c r="N611">
        <v>63.833300000000001</v>
      </c>
      <c r="O611">
        <v>7.5835290000000004</v>
      </c>
      <c r="P611">
        <v>0</v>
      </c>
      <c r="Q611">
        <v>0</v>
      </c>
      <c r="R611">
        <f t="shared" si="252"/>
        <v>0</v>
      </c>
      <c r="S611">
        <f t="shared" si="253"/>
        <v>0</v>
      </c>
      <c r="T611">
        <f t="shared" si="254"/>
        <v>0</v>
      </c>
      <c r="U611">
        <f t="shared" si="255"/>
        <v>0</v>
      </c>
      <c r="V611">
        <f t="shared" si="256"/>
        <v>0</v>
      </c>
      <c r="W611">
        <f t="shared" si="257"/>
        <v>0</v>
      </c>
      <c r="X611">
        <f t="shared" si="258"/>
        <v>0</v>
      </c>
      <c r="Y611">
        <f t="shared" si="259"/>
        <v>0</v>
      </c>
      <c r="Z611">
        <f t="shared" si="260"/>
        <v>1</v>
      </c>
      <c r="AA611">
        <f t="shared" si="261"/>
        <v>0</v>
      </c>
      <c r="AB611">
        <f t="shared" si="262"/>
        <v>0</v>
      </c>
      <c r="AC611">
        <f t="shared" si="263"/>
        <v>0</v>
      </c>
      <c r="AD611">
        <f t="shared" si="264"/>
        <v>0</v>
      </c>
      <c r="AE611">
        <f t="shared" si="265"/>
        <v>0</v>
      </c>
      <c r="AF611">
        <f t="shared" si="266"/>
        <v>0</v>
      </c>
      <c r="AG611">
        <f t="shared" si="267"/>
        <v>0</v>
      </c>
      <c r="AH611">
        <f t="shared" si="268"/>
        <v>0</v>
      </c>
      <c r="AI611">
        <f t="shared" si="269"/>
        <v>0</v>
      </c>
      <c r="AJ611">
        <f t="shared" si="270"/>
        <v>1</v>
      </c>
      <c r="AK611">
        <f t="shared" si="271"/>
        <v>0</v>
      </c>
      <c r="AL611">
        <f t="shared" si="272"/>
        <v>1</v>
      </c>
      <c r="AM611">
        <f t="shared" si="273"/>
        <v>0</v>
      </c>
      <c r="AN611">
        <f t="shared" si="274"/>
        <v>0</v>
      </c>
      <c r="AO611">
        <f t="shared" si="275"/>
        <v>1</v>
      </c>
      <c r="AP611">
        <f t="shared" si="276"/>
        <v>0</v>
      </c>
      <c r="AQ611">
        <f t="shared" si="277"/>
        <v>0</v>
      </c>
      <c r="AR611">
        <f t="shared" si="278"/>
        <v>1</v>
      </c>
      <c r="AS611">
        <f t="shared" si="279"/>
        <v>0</v>
      </c>
    </row>
    <row r="612" spans="2:45" x14ac:dyDescent="0.3">
      <c r="B612">
        <v>611</v>
      </c>
      <c r="C612" s="1">
        <v>41154</v>
      </c>
      <c r="D612">
        <v>3</v>
      </c>
      <c r="E612">
        <v>1</v>
      </c>
      <c r="F612">
        <v>9</v>
      </c>
      <c r="G612">
        <v>0</v>
      </c>
      <c r="H612">
        <v>2</v>
      </c>
      <c r="I612">
        <v>2613</v>
      </c>
      <c r="J612">
        <v>3197</v>
      </c>
      <c r="K612" s="8">
        <v>5810</v>
      </c>
      <c r="L612">
        <v>28.563347</v>
      </c>
      <c r="M612">
        <v>32.450000000000003</v>
      </c>
      <c r="N612">
        <v>81.5</v>
      </c>
      <c r="O612">
        <v>4.2927435999999997</v>
      </c>
      <c r="P612">
        <v>0</v>
      </c>
      <c r="Q612">
        <v>0</v>
      </c>
      <c r="R612">
        <f t="shared" si="252"/>
        <v>0</v>
      </c>
      <c r="S612">
        <f t="shared" si="253"/>
        <v>0</v>
      </c>
      <c r="T612">
        <f t="shared" si="254"/>
        <v>0</v>
      </c>
      <c r="U612">
        <f t="shared" si="255"/>
        <v>0</v>
      </c>
      <c r="V612">
        <f t="shared" si="256"/>
        <v>0</v>
      </c>
      <c r="W612">
        <f t="shared" si="257"/>
        <v>0</v>
      </c>
      <c r="X612">
        <f t="shared" si="258"/>
        <v>0</v>
      </c>
      <c r="Y612">
        <f t="shared" si="259"/>
        <v>0</v>
      </c>
      <c r="Z612">
        <f t="shared" si="260"/>
        <v>1</v>
      </c>
      <c r="AA612">
        <f t="shared" si="261"/>
        <v>0</v>
      </c>
      <c r="AB612">
        <f t="shared" si="262"/>
        <v>0</v>
      </c>
      <c r="AC612">
        <f t="shared" si="263"/>
        <v>0</v>
      </c>
      <c r="AD612">
        <f t="shared" si="264"/>
        <v>1</v>
      </c>
      <c r="AE612">
        <f t="shared" si="265"/>
        <v>0</v>
      </c>
      <c r="AF612">
        <f t="shared" si="266"/>
        <v>0</v>
      </c>
      <c r="AG612">
        <f t="shared" si="267"/>
        <v>0</v>
      </c>
      <c r="AH612">
        <f t="shared" si="268"/>
        <v>0</v>
      </c>
      <c r="AI612">
        <f t="shared" si="269"/>
        <v>0</v>
      </c>
      <c r="AJ612">
        <f t="shared" si="270"/>
        <v>0</v>
      </c>
      <c r="AK612">
        <f t="shared" si="271"/>
        <v>0</v>
      </c>
      <c r="AL612">
        <f t="shared" si="272"/>
        <v>1</v>
      </c>
      <c r="AM612">
        <f t="shared" si="273"/>
        <v>0</v>
      </c>
      <c r="AN612">
        <f t="shared" si="274"/>
        <v>0</v>
      </c>
      <c r="AO612">
        <f t="shared" si="275"/>
        <v>1</v>
      </c>
      <c r="AP612">
        <f t="shared" si="276"/>
        <v>0</v>
      </c>
      <c r="AQ612">
        <f t="shared" si="277"/>
        <v>0</v>
      </c>
      <c r="AR612">
        <f t="shared" si="278"/>
        <v>1</v>
      </c>
      <c r="AS612">
        <f t="shared" si="279"/>
        <v>0</v>
      </c>
    </row>
    <row r="613" spans="2:45" x14ac:dyDescent="0.3">
      <c r="B613">
        <v>612</v>
      </c>
      <c r="C613" s="1">
        <v>41155</v>
      </c>
      <c r="D613">
        <v>3</v>
      </c>
      <c r="E613">
        <v>1</v>
      </c>
      <c r="F613">
        <v>9</v>
      </c>
      <c r="G613">
        <v>1</v>
      </c>
      <c r="H613">
        <v>1</v>
      </c>
      <c r="I613">
        <v>1965</v>
      </c>
      <c r="J613">
        <v>4069</v>
      </c>
      <c r="K613" s="8">
        <v>6034</v>
      </c>
      <c r="L613">
        <v>29.0075</v>
      </c>
      <c r="M613">
        <v>33.081449999999997</v>
      </c>
      <c r="N613">
        <v>79.083299999999994</v>
      </c>
      <c r="O613">
        <v>10.125107</v>
      </c>
      <c r="P613">
        <v>1</v>
      </c>
      <c r="Q613">
        <v>0</v>
      </c>
      <c r="R613">
        <f t="shared" si="252"/>
        <v>0</v>
      </c>
      <c r="S613">
        <f t="shared" si="253"/>
        <v>0</v>
      </c>
      <c r="T613">
        <f t="shared" si="254"/>
        <v>0</v>
      </c>
      <c r="U613">
        <f t="shared" si="255"/>
        <v>0</v>
      </c>
      <c r="V613">
        <f t="shared" si="256"/>
        <v>0</v>
      </c>
      <c r="W613">
        <f t="shared" si="257"/>
        <v>0</v>
      </c>
      <c r="X613">
        <f t="shared" si="258"/>
        <v>0</v>
      </c>
      <c r="Y613">
        <f t="shared" si="259"/>
        <v>0</v>
      </c>
      <c r="Z613">
        <f t="shared" si="260"/>
        <v>1</v>
      </c>
      <c r="AA613">
        <f t="shared" si="261"/>
        <v>0</v>
      </c>
      <c r="AB613">
        <f t="shared" si="262"/>
        <v>0</v>
      </c>
      <c r="AC613">
        <f t="shared" si="263"/>
        <v>0</v>
      </c>
      <c r="AD613">
        <f t="shared" si="264"/>
        <v>0</v>
      </c>
      <c r="AE613">
        <f t="shared" si="265"/>
        <v>1</v>
      </c>
      <c r="AF613">
        <f t="shared" si="266"/>
        <v>0</v>
      </c>
      <c r="AG613">
        <f t="shared" si="267"/>
        <v>0</v>
      </c>
      <c r="AH613">
        <f t="shared" si="268"/>
        <v>0</v>
      </c>
      <c r="AI613">
        <f t="shared" si="269"/>
        <v>0</v>
      </c>
      <c r="AJ613">
        <f t="shared" si="270"/>
        <v>0</v>
      </c>
      <c r="AK613">
        <f t="shared" si="271"/>
        <v>1</v>
      </c>
      <c r="AL613">
        <f t="shared" si="272"/>
        <v>0</v>
      </c>
      <c r="AM613">
        <f t="shared" si="273"/>
        <v>0</v>
      </c>
      <c r="AN613">
        <f t="shared" si="274"/>
        <v>0</v>
      </c>
      <c r="AO613">
        <f t="shared" si="275"/>
        <v>1</v>
      </c>
      <c r="AP613">
        <f t="shared" si="276"/>
        <v>0</v>
      </c>
      <c r="AQ613">
        <f t="shared" si="277"/>
        <v>0</v>
      </c>
      <c r="AR613">
        <f t="shared" si="278"/>
        <v>1</v>
      </c>
      <c r="AS613">
        <f t="shared" si="279"/>
        <v>0</v>
      </c>
    </row>
    <row r="614" spans="2:45" x14ac:dyDescent="0.3">
      <c r="B614">
        <v>613</v>
      </c>
      <c r="C614" s="1">
        <v>41156</v>
      </c>
      <c r="D614">
        <v>3</v>
      </c>
      <c r="E614">
        <v>1</v>
      </c>
      <c r="F614">
        <v>9</v>
      </c>
      <c r="G614">
        <v>2</v>
      </c>
      <c r="H614">
        <v>1</v>
      </c>
      <c r="I614">
        <v>867</v>
      </c>
      <c r="J614">
        <v>5997</v>
      </c>
      <c r="K614" s="8">
        <v>6864</v>
      </c>
      <c r="L614">
        <v>29.759153000000001</v>
      </c>
      <c r="M614">
        <v>34.3444</v>
      </c>
      <c r="N614">
        <v>75.5</v>
      </c>
      <c r="O614">
        <v>15.833507000000001</v>
      </c>
      <c r="P614">
        <v>0</v>
      </c>
      <c r="Q614">
        <v>1</v>
      </c>
      <c r="R614">
        <f t="shared" si="252"/>
        <v>0</v>
      </c>
      <c r="S614">
        <f t="shared" si="253"/>
        <v>0</v>
      </c>
      <c r="T614">
        <f t="shared" si="254"/>
        <v>0</v>
      </c>
      <c r="U614">
        <f t="shared" si="255"/>
        <v>0</v>
      </c>
      <c r="V614">
        <f t="shared" si="256"/>
        <v>0</v>
      </c>
      <c r="W614">
        <f t="shared" si="257"/>
        <v>0</v>
      </c>
      <c r="X614">
        <f t="shared" si="258"/>
        <v>0</v>
      </c>
      <c r="Y614">
        <f t="shared" si="259"/>
        <v>0</v>
      </c>
      <c r="Z614">
        <f t="shared" si="260"/>
        <v>1</v>
      </c>
      <c r="AA614">
        <f t="shared" si="261"/>
        <v>0</v>
      </c>
      <c r="AB614">
        <f t="shared" si="262"/>
        <v>0</v>
      </c>
      <c r="AC614">
        <f t="shared" si="263"/>
        <v>0</v>
      </c>
      <c r="AD614">
        <f t="shared" si="264"/>
        <v>0</v>
      </c>
      <c r="AE614">
        <f t="shared" si="265"/>
        <v>0</v>
      </c>
      <c r="AF614">
        <f t="shared" si="266"/>
        <v>1</v>
      </c>
      <c r="AG614">
        <f t="shared" si="267"/>
        <v>0</v>
      </c>
      <c r="AH614">
        <f t="shared" si="268"/>
        <v>0</v>
      </c>
      <c r="AI614">
        <f t="shared" si="269"/>
        <v>0</v>
      </c>
      <c r="AJ614">
        <f t="shared" si="270"/>
        <v>0</v>
      </c>
      <c r="AK614">
        <f t="shared" si="271"/>
        <v>1</v>
      </c>
      <c r="AL614">
        <f t="shared" si="272"/>
        <v>0</v>
      </c>
      <c r="AM614">
        <f t="shared" si="273"/>
        <v>0</v>
      </c>
      <c r="AN614">
        <f t="shared" si="274"/>
        <v>0</v>
      </c>
      <c r="AO614">
        <f t="shared" si="275"/>
        <v>1</v>
      </c>
      <c r="AP614">
        <f t="shared" si="276"/>
        <v>0</v>
      </c>
      <c r="AQ614">
        <f t="shared" si="277"/>
        <v>0</v>
      </c>
      <c r="AR614">
        <f t="shared" si="278"/>
        <v>1</v>
      </c>
      <c r="AS614">
        <f t="shared" si="279"/>
        <v>0</v>
      </c>
    </row>
    <row r="615" spans="2:45" x14ac:dyDescent="0.3">
      <c r="B615">
        <v>614</v>
      </c>
      <c r="C615" s="1">
        <v>41157</v>
      </c>
      <c r="D615">
        <v>3</v>
      </c>
      <c r="E615">
        <v>1</v>
      </c>
      <c r="F615">
        <v>9</v>
      </c>
      <c r="G615">
        <v>3</v>
      </c>
      <c r="H615">
        <v>1</v>
      </c>
      <c r="I615">
        <v>832</v>
      </c>
      <c r="J615">
        <v>6280</v>
      </c>
      <c r="K615" s="8">
        <v>7112</v>
      </c>
      <c r="L615">
        <v>30.203347000000001</v>
      </c>
      <c r="M615">
        <v>35.449150000000003</v>
      </c>
      <c r="N615">
        <v>74.125</v>
      </c>
      <c r="O615">
        <v>12.583136</v>
      </c>
      <c r="P615">
        <v>0</v>
      </c>
      <c r="Q615">
        <v>1</v>
      </c>
      <c r="R615">
        <f t="shared" si="252"/>
        <v>0</v>
      </c>
      <c r="S615">
        <f t="shared" si="253"/>
        <v>0</v>
      </c>
      <c r="T615">
        <f t="shared" si="254"/>
        <v>0</v>
      </c>
      <c r="U615">
        <f t="shared" si="255"/>
        <v>0</v>
      </c>
      <c r="V615">
        <f t="shared" si="256"/>
        <v>0</v>
      </c>
      <c r="W615">
        <f t="shared" si="257"/>
        <v>0</v>
      </c>
      <c r="X615">
        <f t="shared" si="258"/>
        <v>0</v>
      </c>
      <c r="Y615">
        <f t="shared" si="259"/>
        <v>0</v>
      </c>
      <c r="Z615">
        <f t="shared" si="260"/>
        <v>1</v>
      </c>
      <c r="AA615">
        <f t="shared" si="261"/>
        <v>0</v>
      </c>
      <c r="AB615">
        <f t="shared" si="262"/>
        <v>0</v>
      </c>
      <c r="AC615">
        <f t="shared" si="263"/>
        <v>0</v>
      </c>
      <c r="AD615">
        <f t="shared" si="264"/>
        <v>0</v>
      </c>
      <c r="AE615">
        <f t="shared" si="265"/>
        <v>0</v>
      </c>
      <c r="AF615">
        <f t="shared" si="266"/>
        <v>0</v>
      </c>
      <c r="AG615">
        <f t="shared" si="267"/>
        <v>1</v>
      </c>
      <c r="AH615">
        <f t="shared" si="268"/>
        <v>0</v>
      </c>
      <c r="AI615">
        <f t="shared" si="269"/>
        <v>0</v>
      </c>
      <c r="AJ615">
        <f t="shared" si="270"/>
        <v>0</v>
      </c>
      <c r="AK615">
        <f t="shared" si="271"/>
        <v>1</v>
      </c>
      <c r="AL615">
        <f t="shared" si="272"/>
        <v>0</v>
      </c>
      <c r="AM615">
        <f t="shared" si="273"/>
        <v>0</v>
      </c>
      <c r="AN615">
        <f t="shared" si="274"/>
        <v>0</v>
      </c>
      <c r="AO615">
        <f t="shared" si="275"/>
        <v>1</v>
      </c>
      <c r="AP615">
        <f t="shared" si="276"/>
        <v>0</v>
      </c>
      <c r="AQ615">
        <f t="shared" si="277"/>
        <v>0</v>
      </c>
      <c r="AR615">
        <f t="shared" si="278"/>
        <v>1</v>
      </c>
      <c r="AS615">
        <f t="shared" si="279"/>
        <v>0</v>
      </c>
    </row>
    <row r="616" spans="2:45" x14ac:dyDescent="0.3">
      <c r="B616">
        <v>615</v>
      </c>
      <c r="C616" s="1">
        <v>41158</v>
      </c>
      <c r="D616">
        <v>3</v>
      </c>
      <c r="E616">
        <v>1</v>
      </c>
      <c r="F616">
        <v>9</v>
      </c>
      <c r="G616">
        <v>4</v>
      </c>
      <c r="H616">
        <v>2</v>
      </c>
      <c r="I616">
        <v>611</v>
      </c>
      <c r="J616">
        <v>5592</v>
      </c>
      <c r="K616" s="8">
        <v>6203</v>
      </c>
      <c r="L616">
        <v>28.563347</v>
      </c>
      <c r="M616">
        <v>32.766449999999999</v>
      </c>
      <c r="N616">
        <v>81.041700000000006</v>
      </c>
      <c r="O616">
        <v>9.5422069999999994</v>
      </c>
      <c r="P616">
        <v>0</v>
      </c>
      <c r="Q616">
        <v>1</v>
      </c>
      <c r="R616">
        <f t="shared" si="252"/>
        <v>0</v>
      </c>
      <c r="S616">
        <f t="shared" si="253"/>
        <v>0</v>
      </c>
      <c r="T616">
        <f t="shared" si="254"/>
        <v>0</v>
      </c>
      <c r="U616">
        <f t="shared" si="255"/>
        <v>0</v>
      </c>
      <c r="V616">
        <f t="shared" si="256"/>
        <v>0</v>
      </c>
      <c r="W616">
        <f t="shared" si="257"/>
        <v>0</v>
      </c>
      <c r="X616">
        <f t="shared" si="258"/>
        <v>0</v>
      </c>
      <c r="Y616">
        <f t="shared" si="259"/>
        <v>0</v>
      </c>
      <c r="Z616">
        <f t="shared" si="260"/>
        <v>1</v>
      </c>
      <c r="AA616">
        <f t="shared" si="261"/>
        <v>0</v>
      </c>
      <c r="AB616">
        <f t="shared" si="262"/>
        <v>0</v>
      </c>
      <c r="AC616">
        <f t="shared" si="263"/>
        <v>0</v>
      </c>
      <c r="AD616">
        <f t="shared" si="264"/>
        <v>0</v>
      </c>
      <c r="AE616">
        <f t="shared" si="265"/>
        <v>0</v>
      </c>
      <c r="AF616">
        <f t="shared" si="266"/>
        <v>0</v>
      </c>
      <c r="AG616">
        <f t="shared" si="267"/>
        <v>0</v>
      </c>
      <c r="AH616">
        <f t="shared" si="268"/>
        <v>1</v>
      </c>
      <c r="AI616">
        <f t="shared" si="269"/>
        <v>0</v>
      </c>
      <c r="AJ616">
        <f t="shared" si="270"/>
        <v>0</v>
      </c>
      <c r="AK616">
        <f t="shared" si="271"/>
        <v>0</v>
      </c>
      <c r="AL616">
        <f t="shared" si="272"/>
        <v>1</v>
      </c>
      <c r="AM616">
        <f t="shared" si="273"/>
        <v>0</v>
      </c>
      <c r="AN616">
        <f t="shared" si="274"/>
        <v>0</v>
      </c>
      <c r="AO616">
        <f t="shared" si="275"/>
        <v>1</v>
      </c>
      <c r="AP616">
        <f t="shared" si="276"/>
        <v>0</v>
      </c>
      <c r="AQ616">
        <f t="shared" si="277"/>
        <v>0</v>
      </c>
      <c r="AR616">
        <f t="shared" si="278"/>
        <v>1</v>
      </c>
      <c r="AS616">
        <f t="shared" si="279"/>
        <v>0</v>
      </c>
    </row>
    <row r="617" spans="2:45" x14ac:dyDescent="0.3">
      <c r="B617">
        <v>616</v>
      </c>
      <c r="C617" s="1">
        <v>41159</v>
      </c>
      <c r="D617">
        <v>3</v>
      </c>
      <c r="E617">
        <v>1</v>
      </c>
      <c r="F617">
        <v>9</v>
      </c>
      <c r="G617">
        <v>5</v>
      </c>
      <c r="H617">
        <v>1</v>
      </c>
      <c r="I617">
        <v>1045</v>
      </c>
      <c r="J617">
        <v>6459</v>
      </c>
      <c r="K617" s="8">
        <v>7504</v>
      </c>
      <c r="L617">
        <v>28.836652999999998</v>
      </c>
      <c r="M617">
        <v>32.860199999999999</v>
      </c>
      <c r="N617">
        <v>73.625</v>
      </c>
      <c r="O617">
        <v>11.500282</v>
      </c>
      <c r="P617">
        <v>0</v>
      </c>
      <c r="Q617">
        <v>1</v>
      </c>
      <c r="R617">
        <f t="shared" si="252"/>
        <v>0</v>
      </c>
      <c r="S617">
        <f t="shared" si="253"/>
        <v>0</v>
      </c>
      <c r="T617">
        <f t="shared" si="254"/>
        <v>0</v>
      </c>
      <c r="U617">
        <f t="shared" si="255"/>
        <v>0</v>
      </c>
      <c r="V617">
        <f t="shared" si="256"/>
        <v>0</v>
      </c>
      <c r="W617">
        <f t="shared" si="257"/>
        <v>0</v>
      </c>
      <c r="X617">
        <f t="shared" si="258"/>
        <v>0</v>
      </c>
      <c r="Y617">
        <f t="shared" si="259"/>
        <v>0</v>
      </c>
      <c r="Z617">
        <f t="shared" si="260"/>
        <v>1</v>
      </c>
      <c r="AA617">
        <f t="shared" si="261"/>
        <v>0</v>
      </c>
      <c r="AB617">
        <f t="shared" si="262"/>
        <v>0</v>
      </c>
      <c r="AC617">
        <f t="shared" si="263"/>
        <v>0</v>
      </c>
      <c r="AD617">
        <f t="shared" si="264"/>
        <v>0</v>
      </c>
      <c r="AE617">
        <f t="shared" si="265"/>
        <v>0</v>
      </c>
      <c r="AF617">
        <f t="shared" si="266"/>
        <v>0</v>
      </c>
      <c r="AG617">
        <f t="shared" si="267"/>
        <v>0</v>
      </c>
      <c r="AH617">
        <f t="shared" si="268"/>
        <v>0</v>
      </c>
      <c r="AI617">
        <f t="shared" si="269"/>
        <v>1</v>
      </c>
      <c r="AJ617">
        <f t="shared" si="270"/>
        <v>0</v>
      </c>
      <c r="AK617">
        <f t="shared" si="271"/>
        <v>1</v>
      </c>
      <c r="AL617">
        <f t="shared" si="272"/>
        <v>0</v>
      </c>
      <c r="AM617">
        <f t="shared" si="273"/>
        <v>0</v>
      </c>
      <c r="AN617">
        <f t="shared" si="274"/>
        <v>0</v>
      </c>
      <c r="AO617">
        <f t="shared" si="275"/>
        <v>1</v>
      </c>
      <c r="AP617">
        <f t="shared" si="276"/>
        <v>0</v>
      </c>
      <c r="AQ617">
        <f t="shared" si="277"/>
        <v>0</v>
      </c>
      <c r="AR617">
        <f t="shared" si="278"/>
        <v>1</v>
      </c>
      <c r="AS617">
        <f t="shared" si="279"/>
        <v>0</v>
      </c>
    </row>
    <row r="618" spans="2:45" x14ac:dyDescent="0.3">
      <c r="B618">
        <v>617</v>
      </c>
      <c r="C618" s="1">
        <v>41160</v>
      </c>
      <c r="D618">
        <v>3</v>
      </c>
      <c r="E618">
        <v>1</v>
      </c>
      <c r="F618">
        <v>9</v>
      </c>
      <c r="G618">
        <v>6</v>
      </c>
      <c r="H618">
        <v>2</v>
      </c>
      <c r="I618">
        <v>1557</v>
      </c>
      <c r="J618">
        <v>4419</v>
      </c>
      <c r="K618" s="8">
        <v>5976</v>
      </c>
      <c r="L618">
        <v>27.025846999999999</v>
      </c>
      <c r="M618">
        <v>30.556049999999999</v>
      </c>
      <c r="N618">
        <v>79.916700000000006</v>
      </c>
      <c r="O618">
        <v>18.833967999999999</v>
      </c>
      <c r="P618">
        <v>0</v>
      </c>
      <c r="Q618">
        <v>0</v>
      </c>
      <c r="R618">
        <f t="shared" si="252"/>
        <v>0</v>
      </c>
      <c r="S618">
        <f t="shared" si="253"/>
        <v>0</v>
      </c>
      <c r="T618">
        <f t="shared" si="254"/>
        <v>0</v>
      </c>
      <c r="U618">
        <f t="shared" si="255"/>
        <v>0</v>
      </c>
      <c r="V618">
        <f t="shared" si="256"/>
        <v>0</v>
      </c>
      <c r="W618">
        <f t="shared" si="257"/>
        <v>0</v>
      </c>
      <c r="X618">
        <f t="shared" si="258"/>
        <v>0</v>
      </c>
      <c r="Y618">
        <f t="shared" si="259"/>
        <v>0</v>
      </c>
      <c r="Z618">
        <f t="shared" si="260"/>
        <v>1</v>
      </c>
      <c r="AA618">
        <f t="shared" si="261"/>
        <v>0</v>
      </c>
      <c r="AB618">
        <f t="shared" si="262"/>
        <v>0</v>
      </c>
      <c r="AC618">
        <f t="shared" si="263"/>
        <v>0</v>
      </c>
      <c r="AD618">
        <f t="shared" si="264"/>
        <v>0</v>
      </c>
      <c r="AE618">
        <f t="shared" si="265"/>
        <v>0</v>
      </c>
      <c r="AF618">
        <f t="shared" si="266"/>
        <v>0</v>
      </c>
      <c r="AG618">
        <f t="shared" si="267"/>
        <v>0</v>
      </c>
      <c r="AH618">
        <f t="shared" si="268"/>
        <v>0</v>
      </c>
      <c r="AI618">
        <f t="shared" si="269"/>
        <v>0</v>
      </c>
      <c r="AJ618">
        <f t="shared" si="270"/>
        <v>1</v>
      </c>
      <c r="AK618">
        <f t="shared" si="271"/>
        <v>0</v>
      </c>
      <c r="AL618">
        <f t="shared" si="272"/>
        <v>1</v>
      </c>
      <c r="AM618">
        <f t="shared" si="273"/>
        <v>0</v>
      </c>
      <c r="AN618">
        <f t="shared" si="274"/>
        <v>0</v>
      </c>
      <c r="AO618">
        <f t="shared" si="275"/>
        <v>1</v>
      </c>
      <c r="AP618">
        <f t="shared" si="276"/>
        <v>0</v>
      </c>
      <c r="AQ618">
        <f t="shared" si="277"/>
        <v>0</v>
      </c>
      <c r="AR618">
        <f t="shared" si="278"/>
        <v>1</v>
      </c>
      <c r="AS618">
        <f t="shared" si="279"/>
        <v>0</v>
      </c>
    </row>
    <row r="619" spans="2:45" x14ac:dyDescent="0.3">
      <c r="B619">
        <v>618</v>
      </c>
      <c r="C619" s="1">
        <v>41161</v>
      </c>
      <c r="D619">
        <v>3</v>
      </c>
      <c r="E619">
        <v>1</v>
      </c>
      <c r="F619">
        <v>9</v>
      </c>
      <c r="G619">
        <v>0</v>
      </c>
      <c r="H619">
        <v>1</v>
      </c>
      <c r="I619">
        <v>2570</v>
      </c>
      <c r="J619">
        <v>5657</v>
      </c>
      <c r="K619" s="8">
        <v>8227</v>
      </c>
      <c r="L619">
        <v>25.01</v>
      </c>
      <c r="M619">
        <v>28.946249999999999</v>
      </c>
      <c r="N619">
        <v>54.75</v>
      </c>
      <c r="O619">
        <v>15.041232000000001</v>
      </c>
      <c r="P619">
        <v>0</v>
      </c>
      <c r="Q619">
        <v>0</v>
      </c>
      <c r="R619">
        <f t="shared" si="252"/>
        <v>0</v>
      </c>
      <c r="S619">
        <f t="shared" si="253"/>
        <v>0</v>
      </c>
      <c r="T619">
        <f t="shared" si="254"/>
        <v>0</v>
      </c>
      <c r="U619">
        <f t="shared" si="255"/>
        <v>0</v>
      </c>
      <c r="V619">
        <f t="shared" si="256"/>
        <v>0</v>
      </c>
      <c r="W619">
        <f t="shared" si="257"/>
        <v>0</v>
      </c>
      <c r="X619">
        <f t="shared" si="258"/>
        <v>0</v>
      </c>
      <c r="Y619">
        <f t="shared" si="259"/>
        <v>0</v>
      </c>
      <c r="Z619">
        <f t="shared" si="260"/>
        <v>1</v>
      </c>
      <c r="AA619">
        <f t="shared" si="261"/>
        <v>0</v>
      </c>
      <c r="AB619">
        <f t="shared" si="262"/>
        <v>0</v>
      </c>
      <c r="AC619">
        <f t="shared" si="263"/>
        <v>0</v>
      </c>
      <c r="AD619">
        <f t="shared" si="264"/>
        <v>1</v>
      </c>
      <c r="AE619">
        <f t="shared" si="265"/>
        <v>0</v>
      </c>
      <c r="AF619">
        <f t="shared" si="266"/>
        <v>0</v>
      </c>
      <c r="AG619">
        <f t="shared" si="267"/>
        <v>0</v>
      </c>
      <c r="AH619">
        <f t="shared" si="268"/>
        <v>0</v>
      </c>
      <c r="AI619">
        <f t="shared" si="269"/>
        <v>0</v>
      </c>
      <c r="AJ619">
        <f t="shared" si="270"/>
        <v>0</v>
      </c>
      <c r="AK619">
        <f t="shared" si="271"/>
        <v>1</v>
      </c>
      <c r="AL619">
        <f t="shared" si="272"/>
        <v>0</v>
      </c>
      <c r="AM619">
        <f t="shared" si="273"/>
        <v>0</v>
      </c>
      <c r="AN619">
        <f t="shared" si="274"/>
        <v>0</v>
      </c>
      <c r="AO619">
        <f t="shared" si="275"/>
        <v>1</v>
      </c>
      <c r="AP619">
        <f t="shared" si="276"/>
        <v>0</v>
      </c>
      <c r="AQ619">
        <f t="shared" si="277"/>
        <v>0</v>
      </c>
      <c r="AR619">
        <f t="shared" si="278"/>
        <v>1</v>
      </c>
      <c r="AS619">
        <f t="shared" si="279"/>
        <v>0</v>
      </c>
    </row>
    <row r="620" spans="2:45" x14ac:dyDescent="0.3">
      <c r="B620">
        <v>619</v>
      </c>
      <c r="C620" s="1">
        <v>41162</v>
      </c>
      <c r="D620">
        <v>3</v>
      </c>
      <c r="E620">
        <v>1</v>
      </c>
      <c r="F620">
        <v>9</v>
      </c>
      <c r="G620">
        <v>1</v>
      </c>
      <c r="H620">
        <v>1</v>
      </c>
      <c r="I620">
        <v>1118</v>
      </c>
      <c r="J620">
        <v>6407</v>
      </c>
      <c r="K620" s="8">
        <v>7525</v>
      </c>
      <c r="L620">
        <v>23.916653</v>
      </c>
      <c r="M620">
        <v>28.282699999999998</v>
      </c>
      <c r="N620">
        <v>50.375</v>
      </c>
      <c r="O620">
        <v>17.333770999999999</v>
      </c>
      <c r="P620">
        <v>0</v>
      </c>
      <c r="Q620">
        <v>1</v>
      </c>
      <c r="R620">
        <f t="shared" si="252"/>
        <v>0</v>
      </c>
      <c r="S620">
        <f t="shared" si="253"/>
        <v>0</v>
      </c>
      <c r="T620">
        <f t="shared" si="254"/>
        <v>0</v>
      </c>
      <c r="U620">
        <f t="shared" si="255"/>
        <v>0</v>
      </c>
      <c r="V620">
        <f t="shared" si="256"/>
        <v>0</v>
      </c>
      <c r="W620">
        <f t="shared" si="257"/>
        <v>0</v>
      </c>
      <c r="X620">
        <f t="shared" si="258"/>
        <v>0</v>
      </c>
      <c r="Y620">
        <f t="shared" si="259"/>
        <v>0</v>
      </c>
      <c r="Z620">
        <f t="shared" si="260"/>
        <v>1</v>
      </c>
      <c r="AA620">
        <f t="shared" si="261"/>
        <v>0</v>
      </c>
      <c r="AB620">
        <f t="shared" si="262"/>
        <v>0</v>
      </c>
      <c r="AC620">
        <f t="shared" si="263"/>
        <v>0</v>
      </c>
      <c r="AD620">
        <f t="shared" si="264"/>
        <v>0</v>
      </c>
      <c r="AE620">
        <f t="shared" si="265"/>
        <v>1</v>
      </c>
      <c r="AF620">
        <f t="shared" si="266"/>
        <v>0</v>
      </c>
      <c r="AG620">
        <f t="shared" si="267"/>
        <v>0</v>
      </c>
      <c r="AH620">
        <f t="shared" si="268"/>
        <v>0</v>
      </c>
      <c r="AI620">
        <f t="shared" si="269"/>
        <v>0</v>
      </c>
      <c r="AJ620">
        <f t="shared" si="270"/>
        <v>0</v>
      </c>
      <c r="AK620">
        <f t="shared" si="271"/>
        <v>1</v>
      </c>
      <c r="AL620">
        <f t="shared" si="272"/>
        <v>0</v>
      </c>
      <c r="AM620">
        <f t="shared" si="273"/>
        <v>0</v>
      </c>
      <c r="AN620">
        <f t="shared" si="274"/>
        <v>0</v>
      </c>
      <c r="AO620">
        <f t="shared" si="275"/>
        <v>1</v>
      </c>
      <c r="AP620">
        <f t="shared" si="276"/>
        <v>0</v>
      </c>
      <c r="AQ620">
        <f t="shared" si="277"/>
        <v>0</v>
      </c>
      <c r="AR620">
        <f t="shared" si="278"/>
        <v>1</v>
      </c>
      <c r="AS620">
        <f t="shared" si="279"/>
        <v>0</v>
      </c>
    </row>
    <row r="621" spans="2:45" x14ac:dyDescent="0.3">
      <c r="B621">
        <v>620</v>
      </c>
      <c r="C621" s="1">
        <v>41163</v>
      </c>
      <c r="D621">
        <v>3</v>
      </c>
      <c r="E621">
        <v>1</v>
      </c>
      <c r="F621">
        <v>9</v>
      </c>
      <c r="G621">
        <v>2</v>
      </c>
      <c r="H621">
        <v>1</v>
      </c>
      <c r="I621">
        <v>1070</v>
      </c>
      <c r="J621">
        <v>6697</v>
      </c>
      <c r="K621" s="8">
        <v>7767</v>
      </c>
      <c r="L621">
        <v>23.677499999999998</v>
      </c>
      <c r="M621">
        <v>27.714600000000001</v>
      </c>
      <c r="N621">
        <v>52</v>
      </c>
      <c r="O621">
        <v>6.1676314000000003</v>
      </c>
      <c r="P621">
        <v>0</v>
      </c>
      <c r="Q621">
        <v>1</v>
      </c>
      <c r="R621">
        <f t="shared" si="252"/>
        <v>0</v>
      </c>
      <c r="S621">
        <f t="shared" si="253"/>
        <v>0</v>
      </c>
      <c r="T621">
        <f t="shared" si="254"/>
        <v>0</v>
      </c>
      <c r="U621">
        <f t="shared" si="255"/>
        <v>0</v>
      </c>
      <c r="V621">
        <f t="shared" si="256"/>
        <v>0</v>
      </c>
      <c r="W621">
        <f t="shared" si="257"/>
        <v>0</v>
      </c>
      <c r="X621">
        <f t="shared" si="258"/>
        <v>0</v>
      </c>
      <c r="Y621">
        <f t="shared" si="259"/>
        <v>0</v>
      </c>
      <c r="Z621">
        <f t="shared" si="260"/>
        <v>1</v>
      </c>
      <c r="AA621">
        <f t="shared" si="261"/>
        <v>0</v>
      </c>
      <c r="AB621">
        <f t="shared" si="262"/>
        <v>0</v>
      </c>
      <c r="AC621">
        <f t="shared" si="263"/>
        <v>0</v>
      </c>
      <c r="AD621">
        <f t="shared" si="264"/>
        <v>0</v>
      </c>
      <c r="AE621">
        <f t="shared" si="265"/>
        <v>0</v>
      </c>
      <c r="AF621">
        <f t="shared" si="266"/>
        <v>1</v>
      </c>
      <c r="AG621">
        <f t="shared" si="267"/>
        <v>0</v>
      </c>
      <c r="AH621">
        <f t="shared" si="268"/>
        <v>0</v>
      </c>
      <c r="AI621">
        <f t="shared" si="269"/>
        <v>0</v>
      </c>
      <c r="AJ621">
        <f t="shared" si="270"/>
        <v>0</v>
      </c>
      <c r="AK621">
        <f t="shared" si="271"/>
        <v>1</v>
      </c>
      <c r="AL621">
        <f t="shared" si="272"/>
        <v>0</v>
      </c>
      <c r="AM621">
        <f t="shared" si="273"/>
        <v>0</v>
      </c>
      <c r="AN621">
        <f t="shared" si="274"/>
        <v>0</v>
      </c>
      <c r="AO621">
        <f t="shared" si="275"/>
        <v>1</v>
      </c>
      <c r="AP621">
        <f t="shared" si="276"/>
        <v>0</v>
      </c>
      <c r="AQ621">
        <f t="shared" si="277"/>
        <v>0</v>
      </c>
      <c r="AR621">
        <f t="shared" si="278"/>
        <v>1</v>
      </c>
      <c r="AS621">
        <f t="shared" si="279"/>
        <v>0</v>
      </c>
    </row>
    <row r="622" spans="2:45" x14ac:dyDescent="0.3">
      <c r="B622">
        <v>621</v>
      </c>
      <c r="C622" s="1">
        <v>41164</v>
      </c>
      <c r="D622">
        <v>3</v>
      </c>
      <c r="E622">
        <v>1</v>
      </c>
      <c r="F622">
        <v>9</v>
      </c>
      <c r="G622">
        <v>3</v>
      </c>
      <c r="H622">
        <v>1</v>
      </c>
      <c r="I622">
        <v>1050</v>
      </c>
      <c r="J622">
        <v>6820</v>
      </c>
      <c r="K622" s="8">
        <v>7870</v>
      </c>
      <c r="L622">
        <v>24.565847000000002</v>
      </c>
      <c r="M622">
        <v>28.50375</v>
      </c>
      <c r="N622">
        <v>57.708300000000001</v>
      </c>
      <c r="O622">
        <v>8.8336819999999996</v>
      </c>
      <c r="P622">
        <v>0</v>
      </c>
      <c r="Q622">
        <v>1</v>
      </c>
      <c r="R622">
        <f t="shared" si="252"/>
        <v>0</v>
      </c>
      <c r="S622">
        <f t="shared" si="253"/>
        <v>0</v>
      </c>
      <c r="T622">
        <f t="shared" si="254"/>
        <v>0</v>
      </c>
      <c r="U622">
        <f t="shared" si="255"/>
        <v>0</v>
      </c>
      <c r="V622">
        <f t="shared" si="256"/>
        <v>0</v>
      </c>
      <c r="W622">
        <f t="shared" si="257"/>
        <v>0</v>
      </c>
      <c r="X622">
        <f t="shared" si="258"/>
        <v>0</v>
      </c>
      <c r="Y622">
        <f t="shared" si="259"/>
        <v>0</v>
      </c>
      <c r="Z622">
        <f t="shared" si="260"/>
        <v>1</v>
      </c>
      <c r="AA622">
        <f t="shared" si="261"/>
        <v>0</v>
      </c>
      <c r="AB622">
        <f t="shared" si="262"/>
        <v>0</v>
      </c>
      <c r="AC622">
        <f t="shared" si="263"/>
        <v>0</v>
      </c>
      <c r="AD622">
        <f t="shared" si="264"/>
        <v>0</v>
      </c>
      <c r="AE622">
        <f t="shared" si="265"/>
        <v>0</v>
      </c>
      <c r="AF622">
        <f t="shared" si="266"/>
        <v>0</v>
      </c>
      <c r="AG622">
        <f t="shared" si="267"/>
        <v>1</v>
      </c>
      <c r="AH622">
        <f t="shared" si="268"/>
        <v>0</v>
      </c>
      <c r="AI622">
        <f t="shared" si="269"/>
        <v>0</v>
      </c>
      <c r="AJ622">
        <f t="shared" si="270"/>
        <v>0</v>
      </c>
      <c r="AK622">
        <f t="shared" si="271"/>
        <v>1</v>
      </c>
      <c r="AL622">
        <f t="shared" si="272"/>
        <v>0</v>
      </c>
      <c r="AM622">
        <f t="shared" si="273"/>
        <v>0</v>
      </c>
      <c r="AN622">
        <f t="shared" si="274"/>
        <v>0</v>
      </c>
      <c r="AO622">
        <f t="shared" si="275"/>
        <v>1</v>
      </c>
      <c r="AP622">
        <f t="shared" si="276"/>
        <v>0</v>
      </c>
      <c r="AQ622">
        <f t="shared" si="277"/>
        <v>0</v>
      </c>
      <c r="AR622">
        <f t="shared" si="278"/>
        <v>1</v>
      </c>
      <c r="AS622">
        <f t="shared" si="279"/>
        <v>0</v>
      </c>
    </row>
    <row r="623" spans="2:45" x14ac:dyDescent="0.3">
      <c r="B623">
        <v>622</v>
      </c>
      <c r="C623" s="1">
        <v>41165</v>
      </c>
      <c r="D623">
        <v>3</v>
      </c>
      <c r="E623">
        <v>1</v>
      </c>
      <c r="F623">
        <v>9</v>
      </c>
      <c r="G623">
        <v>4</v>
      </c>
      <c r="H623">
        <v>1</v>
      </c>
      <c r="I623">
        <v>1054</v>
      </c>
      <c r="J623">
        <v>6750</v>
      </c>
      <c r="K623" s="8">
        <v>7804</v>
      </c>
      <c r="L623">
        <v>25.112500000000001</v>
      </c>
      <c r="M623">
        <v>28.977900000000002</v>
      </c>
      <c r="N623">
        <v>63.708300000000001</v>
      </c>
      <c r="O623">
        <v>5.5422935999999998</v>
      </c>
      <c r="P623">
        <v>0</v>
      </c>
      <c r="Q623">
        <v>1</v>
      </c>
      <c r="R623">
        <f t="shared" si="252"/>
        <v>0</v>
      </c>
      <c r="S623">
        <f t="shared" si="253"/>
        <v>0</v>
      </c>
      <c r="T623">
        <f t="shared" si="254"/>
        <v>0</v>
      </c>
      <c r="U623">
        <f t="shared" si="255"/>
        <v>0</v>
      </c>
      <c r="V623">
        <f t="shared" si="256"/>
        <v>0</v>
      </c>
      <c r="W623">
        <f t="shared" si="257"/>
        <v>0</v>
      </c>
      <c r="X623">
        <f t="shared" si="258"/>
        <v>0</v>
      </c>
      <c r="Y623">
        <f t="shared" si="259"/>
        <v>0</v>
      </c>
      <c r="Z623">
        <f t="shared" si="260"/>
        <v>1</v>
      </c>
      <c r="AA623">
        <f t="shared" si="261"/>
        <v>0</v>
      </c>
      <c r="AB623">
        <f t="shared" si="262"/>
        <v>0</v>
      </c>
      <c r="AC623">
        <f t="shared" si="263"/>
        <v>0</v>
      </c>
      <c r="AD623">
        <f t="shared" si="264"/>
        <v>0</v>
      </c>
      <c r="AE623">
        <f t="shared" si="265"/>
        <v>0</v>
      </c>
      <c r="AF623">
        <f t="shared" si="266"/>
        <v>0</v>
      </c>
      <c r="AG623">
        <f t="shared" si="267"/>
        <v>0</v>
      </c>
      <c r="AH623">
        <f t="shared" si="268"/>
        <v>1</v>
      </c>
      <c r="AI623">
        <f t="shared" si="269"/>
        <v>0</v>
      </c>
      <c r="AJ623">
        <f t="shared" si="270"/>
        <v>0</v>
      </c>
      <c r="AK623">
        <f t="shared" si="271"/>
        <v>1</v>
      </c>
      <c r="AL623">
        <f t="shared" si="272"/>
        <v>0</v>
      </c>
      <c r="AM623">
        <f t="shared" si="273"/>
        <v>0</v>
      </c>
      <c r="AN623">
        <f t="shared" si="274"/>
        <v>0</v>
      </c>
      <c r="AO623">
        <f t="shared" si="275"/>
        <v>1</v>
      </c>
      <c r="AP623">
        <f t="shared" si="276"/>
        <v>0</v>
      </c>
      <c r="AQ623">
        <f t="shared" si="277"/>
        <v>0</v>
      </c>
      <c r="AR623">
        <f t="shared" si="278"/>
        <v>1</v>
      </c>
      <c r="AS623">
        <f t="shared" si="279"/>
        <v>0</v>
      </c>
    </row>
    <row r="624" spans="2:45" x14ac:dyDescent="0.3">
      <c r="B624">
        <v>623</v>
      </c>
      <c r="C624" s="1">
        <v>41166</v>
      </c>
      <c r="D624">
        <v>3</v>
      </c>
      <c r="E624">
        <v>1</v>
      </c>
      <c r="F624">
        <v>9</v>
      </c>
      <c r="G624">
        <v>5</v>
      </c>
      <c r="H624">
        <v>1</v>
      </c>
      <c r="I624">
        <v>1379</v>
      </c>
      <c r="J624">
        <v>6630</v>
      </c>
      <c r="K624" s="8">
        <v>8009</v>
      </c>
      <c r="L624">
        <v>25.966653000000001</v>
      </c>
      <c r="M624">
        <v>29.704149999999998</v>
      </c>
      <c r="N624">
        <v>67.25</v>
      </c>
      <c r="O624">
        <v>6.9588210000000004</v>
      </c>
      <c r="P624">
        <v>0</v>
      </c>
      <c r="Q624">
        <v>1</v>
      </c>
      <c r="R624">
        <f t="shared" si="252"/>
        <v>0</v>
      </c>
      <c r="S624">
        <f t="shared" si="253"/>
        <v>0</v>
      </c>
      <c r="T624">
        <f t="shared" si="254"/>
        <v>0</v>
      </c>
      <c r="U624">
        <f t="shared" si="255"/>
        <v>0</v>
      </c>
      <c r="V624">
        <f t="shared" si="256"/>
        <v>0</v>
      </c>
      <c r="W624">
        <f t="shared" si="257"/>
        <v>0</v>
      </c>
      <c r="X624">
        <f t="shared" si="258"/>
        <v>0</v>
      </c>
      <c r="Y624">
        <f t="shared" si="259"/>
        <v>0</v>
      </c>
      <c r="Z624">
        <f t="shared" si="260"/>
        <v>1</v>
      </c>
      <c r="AA624">
        <f t="shared" si="261"/>
        <v>0</v>
      </c>
      <c r="AB624">
        <f t="shared" si="262"/>
        <v>0</v>
      </c>
      <c r="AC624">
        <f t="shared" si="263"/>
        <v>0</v>
      </c>
      <c r="AD624">
        <f t="shared" si="264"/>
        <v>0</v>
      </c>
      <c r="AE624">
        <f t="shared" si="265"/>
        <v>0</v>
      </c>
      <c r="AF624">
        <f t="shared" si="266"/>
        <v>0</v>
      </c>
      <c r="AG624">
        <f t="shared" si="267"/>
        <v>0</v>
      </c>
      <c r="AH624">
        <f t="shared" si="268"/>
        <v>0</v>
      </c>
      <c r="AI624">
        <f t="shared" si="269"/>
        <v>1</v>
      </c>
      <c r="AJ624">
        <f t="shared" si="270"/>
        <v>0</v>
      </c>
      <c r="AK624">
        <f t="shared" si="271"/>
        <v>1</v>
      </c>
      <c r="AL624">
        <f t="shared" si="272"/>
        <v>0</v>
      </c>
      <c r="AM624">
        <f t="shared" si="273"/>
        <v>0</v>
      </c>
      <c r="AN624">
        <f t="shared" si="274"/>
        <v>0</v>
      </c>
      <c r="AO624">
        <f t="shared" si="275"/>
        <v>1</v>
      </c>
      <c r="AP624">
        <f t="shared" si="276"/>
        <v>0</v>
      </c>
      <c r="AQ624">
        <f t="shared" si="277"/>
        <v>0</v>
      </c>
      <c r="AR624">
        <f t="shared" si="278"/>
        <v>1</v>
      </c>
      <c r="AS624">
        <f t="shared" si="279"/>
        <v>0</v>
      </c>
    </row>
    <row r="625" spans="2:45" x14ac:dyDescent="0.3">
      <c r="B625">
        <v>624</v>
      </c>
      <c r="C625" s="1">
        <v>41167</v>
      </c>
      <c r="D625">
        <v>3</v>
      </c>
      <c r="E625">
        <v>1</v>
      </c>
      <c r="F625">
        <v>9</v>
      </c>
      <c r="G625">
        <v>6</v>
      </c>
      <c r="H625">
        <v>1</v>
      </c>
      <c r="I625">
        <v>3160</v>
      </c>
      <c r="J625">
        <v>5554</v>
      </c>
      <c r="K625" s="8">
        <v>8714</v>
      </c>
      <c r="L625">
        <v>24.941652999999999</v>
      </c>
      <c r="M625">
        <v>29.29335</v>
      </c>
      <c r="N625">
        <v>50.166699999999999</v>
      </c>
      <c r="O625">
        <v>16.583907</v>
      </c>
      <c r="P625">
        <v>0</v>
      </c>
      <c r="Q625">
        <v>0</v>
      </c>
      <c r="R625">
        <f t="shared" si="252"/>
        <v>0</v>
      </c>
      <c r="S625">
        <f t="shared" si="253"/>
        <v>0</v>
      </c>
      <c r="T625">
        <f t="shared" si="254"/>
        <v>0</v>
      </c>
      <c r="U625">
        <f t="shared" si="255"/>
        <v>0</v>
      </c>
      <c r="V625">
        <f t="shared" si="256"/>
        <v>0</v>
      </c>
      <c r="W625">
        <f t="shared" si="257"/>
        <v>0</v>
      </c>
      <c r="X625">
        <f t="shared" si="258"/>
        <v>0</v>
      </c>
      <c r="Y625">
        <f t="shared" si="259"/>
        <v>0</v>
      </c>
      <c r="Z625">
        <f t="shared" si="260"/>
        <v>1</v>
      </c>
      <c r="AA625">
        <f t="shared" si="261"/>
        <v>0</v>
      </c>
      <c r="AB625">
        <f t="shared" si="262"/>
        <v>0</v>
      </c>
      <c r="AC625">
        <f t="shared" si="263"/>
        <v>0</v>
      </c>
      <c r="AD625">
        <f t="shared" si="264"/>
        <v>0</v>
      </c>
      <c r="AE625">
        <f t="shared" si="265"/>
        <v>0</v>
      </c>
      <c r="AF625">
        <f t="shared" si="266"/>
        <v>0</v>
      </c>
      <c r="AG625">
        <f t="shared" si="267"/>
        <v>0</v>
      </c>
      <c r="AH625">
        <f t="shared" si="268"/>
        <v>0</v>
      </c>
      <c r="AI625">
        <f t="shared" si="269"/>
        <v>0</v>
      </c>
      <c r="AJ625">
        <f t="shared" si="270"/>
        <v>1</v>
      </c>
      <c r="AK625">
        <f t="shared" si="271"/>
        <v>1</v>
      </c>
      <c r="AL625">
        <f t="shared" si="272"/>
        <v>0</v>
      </c>
      <c r="AM625">
        <f t="shared" si="273"/>
        <v>0</v>
      </c>
      <c r="AN625">
        <f t="shared" si="274"/>
        <v>0</v>
      </c>
      <c r="AO625">
        <f t="shared" si="275"/>
        <v>1</v>
      </c>
      <c r="AP625">
        <f t="shared" si="276"/>
        <v>0</v>
      </c>
      <c r="AQ625">
        <f t="shared" si="277"/>
        <v>0</v>
      </c>
      <c r="AR625">
        <f t="shared" si="278"/>
        <v>1</v>
      </c>
      <c r="AS625">
        <f t="shared" si="279"/>
        <v>0</v>
      </c>
    </row>
    <row r="626" spans="2:45" x14ac:dyDescent="0.3">
      <c r="B626">
        <v>625</v>
      </c>
      <c r="C626" s="1">
        <v>41168</v>
      </c>
      <c r="D626">
        <v>3</v>
      </c>
      <c r="E626">
        <v>1</v>
      </c>
      <c r="F626">
        <v>9</v>
      </c>
      <c r="G626">
        <v>0</v>
      </c>
      <c r="H626">
        <v>1</v>
      </c>
      <c r="I626">
        <v>2166</v>
      </c>
      <c r="J626">
        <v>5167</v>
      </c>
      <c r="K626" s="8">
        <v>7333</v>
      </c>
      <c r="L626">
        <v>23.78</v>
      </c>
      <c r="M626">
        <v>28.15625</v>
      </c>
      <c r="N626">
        <v>57</v>
      </c>
      <c r="O626">
        <v>6.0422811000000003</v>
      </c>
      <c r="P626">
        <v>0</v>
      </c>
      <c r="Q626">
        <v>0</v>
      </c>
      <c r="R626">
        <f t="shared" si="252"/>
        <v>0</v>
      </c>
      <c r="S626">
        <f t="shared" si="253"/>
        <v>0</v>
      </c>
      <c r="T626">
        <f t="shared" si="254"/>
        <v>0</v>
      </c>
      <c r="U626">
        <f t="shared" si="255"/>
        <v>0</v>
      </c>
      <c r="V626">
        <f t="shared" si="256"/>
        <v>0</v>
      </c>
      <c r="W626">
        <f t="shared" si="257"/>
        <v>0</v>
      </c>
      <c r="X626">
        <f t="shared" si="258"/>
        <v>0</v>
      </c>
      <c r="Y626">
        <f t="shared" si="259"/>
        <v>0</v>
      </c>
      <c r="Z626">
        <f t="shared" si="260"/>
        <v>1</v>
      </c>
      <c r="AA626">
        <f t="shared" si="261"/>
        <v>0</v>
      </c>
      <c r="AB626">
        <f t="shared" si="262"/>
        <v>0</v>
      </c>
      <c r="AC626">
        <f t="shared" si="263"/>
        <v>0</v>
      </c>
      <c r="AD626">
        <f t="shared" si="264"/>
        <v>1</v>
      </c>
      <c r="AE626">
        <f t="shared" si="265"/>
        <v>0</v>
      </c>
      <c r="AF626">
        <f t="shared" si="266"/>
        <v>0</v>
      </c>
      <c r="AG626">
        <f t="shared" si="267"/>
        <v>0</v>
      </c>
      <c r="AH626">
        <f t="shared" si="268"/>
        <v>0</v>
      </c>
      <c r="AI626">
        <f t="shared" si="269"/>
        <v>0</v>
      </c>
      <c r="AJ626">
        <f t="shared" si="270"/>
        <v>0</v>
      </c>
      <c r="AK626">
        <f t="shared" si="271"/>
        <v>1</v>
      </c>
      <c r="AL626">
        <f t="shared" si="272"/>
        <v>0</v>
      </c>
      <c r="AM626">
        <f t="shared" si="273"/>
        <v>0</v>
      </c>
      <c r="AN626">
        <f t="shared" si="274"/>
        <v>0</v>
      </c>
      <c r="AO626">
        <f t="shared" si="275"/>
        <v>1</v>
      </c>
      <c r="AP626">
        <f t="shared" si="276"/>
        <v>0</v>
      </c>
      <c r="AQ626">
        <f t="shared" si="277"/>
        <v>0</v>
      </c>
      <c r="AR626">
        <f t="shared" si="278"/>
        <v>1</v>
      </c>
      <c r="AS626">
        <f t="shared" si="279"/>
        <v>0</v>
      </c>
    </row>
    <row r="627" spans="2:45" x14ac:dyDescent="0.3">
      <c r="B627">
        <v>626</v>
      </c>
      <c r="C627" s="1">
        <v>41169</v>
      </c>
      <c r="D627">
        <v>3</v>
      </c>
      <c r="E627">
        <v>1</v>
      </c>
      <c r="F627">
        <v>9</v>
      </c>
      <c r="G627">
        <v>1</v>
      </c>
      <c r="H627">
        <v>2</v>
      </c>
      <c r="I627">
        <v>1022</v>
      </c>
      <c r="J627">
        <v>5847</v>
      </c>
      <c r="K627" s="8">
        <v>6869</v>
      </c>
      <c r="L627">
        <v>23.814153000000001</v>
      </c>
      <c r="M627">
        <v>27.6525</v>
      </c>
      <c r="N627">
        <v>73.458299999999994</v>
      </c>
      <c r="O627">
        <v>10.166714000000001</v>
      </c>
      <c r="P627">
        <v>0</v>
      </c>
      <c r="Q627">
        <v>1</v>
      </c>
      <c r="R627">
        <f t="shared" si="252"/>
        <v>0</v>
      </c>
      <c r="S627">
        <f t="shared" si="253"/>
        <v>0</v>
      </c>
      <c r="T627">
        <f t="shared" si="254"/>
        <v>0</v>
      </c>
      <c r="U627">
        <f t="shared" si="255"/>
        <v>0</v>
      </c>
      <c r="V627">
        <f t="shared" si="256"/>
        <v>0</v>
      </c>
      <c r="W627">
        <f t="shared" si="257"/>
        <v>0</v>
      </c>
      <c r="X627">
        <f t="shared" si="258"/>
        <v>0</v>
      </c>
      <c r="Y627">
        <f t="shared" si="259"/>
        <v>0</v>
      </c>
      <c r="Z627">
        <f t="shared" si="260"/>
        <v>1</v>
      </c>
      <c r="AA627">
        <f t="shared" si="261"/>
        <v>0</v>
      </c>
      <c r="AB627">
        <f t="shared" si="262"/>
        <v>0</v>
      </c>
      <c r="AC627">
        <f t="shared" si="263"/>
        <v>0</v>
      </c>
      <c r="AD627">
        <f t="shared" si="264"/>
        <v>0</v>
      </c>
      <c r="AE627">
        <f t="shared" si="265"/>
        <v>1</v>
      </c>
      <c r="AF627">
        <f t="shared" si="266"/>
        <v>0</v>
      </c>
      <c r="AG627">
        <f t="shared" si="267"/>
        <v>0</v>
      </c>
      <c r="AH627">
        <f t="shared" si="268"/>
        <v>0</v>
      </c>
      <c r="AI627">
        <f t="shared" si="269"/>
        <v>0</v>
      </c>
      <c r="AJ627">
        <f t="shared" si="270"/>
        <v>0</v>
      </c>
      <c r="AK627">
        <f t="shared" si="271"/>
        <v>0</v>
      </c>
      <c r="AL627">
        <f t="shared" si="272"/>
        <v>1</v>
      </c>
      <c r="AM627">
        <f t="shared" si="273"/>
        <v>0</v>
      </c>
      <c r="AN627">
        <f t="shared" si="274"/>
        <v>0</v>
      </c>
      <c r="AO627">
        <f t="shared" si="275"/>
        <v>1</v>
      </c>
      <c r="AP627">
        <f t="shared" si="276"/>
        <v>0</v>
      </c>
      <c r="AQ627">
        <f t="shared" si="277"/>
        <v>0</v>
      </c>
      <c r="AR627">
        <f t="shared" si="278"/>
        <v>1</v>
      </c>
      <c r="AS627">
        <f t="shared" si="279"/>
        <v>0</v>
      </c>
    </row>
    <row r="628" spans="2:45" x14ac:dyDescent="0.3">
      <c r="B628">
        <v>627</v>
      </c>
      <c r="C628" s="1">
        <v>41170</v>
      </c>
      <c r="D628">
        <v>3</v>
      </c>
      <c r="E628">
        <v>1</v>
      </c>
      <c r="F628">
        <v>9</v>
      </c>
      <c r="G628">
        <v>2</v>
      </c>
      <c r="H628">
        <v>2</v>
      </c>
      <c r="I628">
        <v>371</v>
      </c>
      <c r="J628">
        <v>3702</v>
      </c>
      <c r="K628" s="8">
        <v>4073</v>
      </c>
      <c r="L628">
        <v>25.556653000000001</v>
      </c>
      <c r="M628">
        <v>28.253350000000001</v>
      </c>
      <c r="N628">
        <v>87.25</v>
      </c>
      <c r="O628">
        <v>23.958328999999999</v>
      </c>
      <c r="P628">
        <v>0</v>
      </c>
      <c r="Q628">
        <v>1</v>
      </c>
      <c r="R628">
        <f t="shared" si="252"/>
        <v>0</v>
      </c>
      <c r="S628">
        <f t="shared" si="253"/>
        <v>0</v>
      </c>
      <c r="T628">
        <f t="shared" si="254"/>
        <v>0</v>
      </c>
      <c r="U628">
        <f t="shared" si="255"/>
        <v>0</v>
      </c>
      <c r="V628">
        <f t="shared" si="256"/>
        <v>0</v>
      </c>
      <c r="W628">
        <f t="shared" si="257"/>
        <v>0</v>
      </c>
      <c r="X628">
        <f t="shared" si="258"/>
        <v>0</v>
      </c>
      <c r="Y628">
        <f t="shared" si="259"/>
        <v>0</v>
      </c>
      <c r="Z628">
        <f t="shared" si="260"/>
        <v>1</v>
      </c>
      <c r="AA628">
        <f t="shared" si="261"/>
        <v>0</v>
      </c>
      <c r="AB628">
        <f t="shared" si="262"/>
        <v>0</v>
      </c>
      <c r="AC628">
        <f t="shared" si="263"/>
        <v>0</v>
      </c>
      <c r="AD628">
        <f t="shared" si="264"/>
        <v>0</v>
      </c>
      <c r="AE628">
        <f t="shared" si="265"/>
        <v>0</v>
      </c>
      <c r="AF628">
        <f t="shared" si="266"/>
        <v>1</v>
      </c>
      <c r="AG628">
        <f t="shared" si="267"/>
        <v>0</v>
      </c>
      <c r="AH628">
        <f t="shared" si="268"/>
        <v>0</v>
      </c>
      <c r="AI628">
        <f t="shared" si="269"/>
        <v>0</v>
      </c>
      <c r="AJ628">
        <f t="shared" si="270"/>
        <v>0</v>
      </c>
      <c r="AK628">
        <f t="shared" si="271"/>
        <v>0</v>
      </c>
      <c r="AL628">
        <f t="shared" si="272"/>
        <v>1</v>
      </c>
      <c r="AM628">
        <f t="shared" si="273"/>
        <v>0</v>
      </c>
      <c r="AN628">
        <f t="shared" si="274"/>
        <v>0</v>
      </c>
      <c r="AO628">
        <f t="shared" si="275"/>
        <v>1</v>
      </c>
      <c r="AP628">
        <f t="shared" si="276"/>
        <v>0</v>
      </c>
      <c r="AQ628">
        <f t="shared" si="277"/>
        <v>0</v>
      </c>
      <c r="AR628">
        <f t="shared" si="278"/>
        <v>1</v>
      </c>
      <c r="AS628">
        <f t="shared" si="279"/>
        <v>0</v>
      </c>
    </row>
    <row r="629" spans="2:45" x14ac:dyDescent="0.3">
      <c r="B629">
        <v>628</v>
      </c>
      <c r="C629" s="1">
        <v>41171</v>
      </c>
      <c r="D629">
        <v>3</v>
      </c>
      <c r="E629">
        <v>1</v>
      </c>
      <c r="F629">
        <v>9</v>
      </c>
      <c r="G629">
        <v>3</v>
      </c>
      <c r="H629">
        <v>1</v>
      </c>
      <c r="I629">
        <v>788</v>
      </c>
      <c r="J629">
        <v>6803</v>
      </c>
      <c r="K629" s="8">
        <v>7591</v>
      </c>
      <c r="L629">
        <v>22.6525</v>
      </c>
      <c r="M629">
        <v>27.020199999999999</v>
      </c>
      <c r="N629">
        <v>53.666699999999999</v>
      </c>
      <c r="O629">
        <v>14.416725</v>
      </c>
      <c r="P629">
        <v>0</v>
      </c>
      <c r="Q629">
        <v>1</v>
      </c>
      <c r="R629">
        <f t="shared" si="252"/>
        <v>0</v>
      </c>
      <c r="S629">
        <f t="shared" si="253"/>
        <v>0</v>
      </c>
      <c r="T629">
        <f t="shared" si="254"/>
        <v>0</v>
      </c>
      <c r="U629">
        <f t="shared" si="255"/>
        <v>0</v>
      </c>
      <c r="V629">
        <f t="shared" si="256"/>
        <v>0</v>
      </c>
      <c r="W629">
        <f t="shared" si="257"/>
        <v>0</v>
      </c>
      <c r="X629">
        <f t="shared" si="258"/>
        <v>0</v>
      </c>
      <c r="Y629">
        <f t="shared" si="259"/>
        <v>0</v>
      </c>
      <c r="Z629">
        <f t="shared" si="260"/>
        <v>1</v>
      </c>
      <c r="AA629">
        <f t="shared" si="261"/>
        <v>0</v>
      </c>
      <c r="AB629">
        <f t="shared" si="262"/>
        <v>0</v>
      </c>
      <c r="AC629">
        <f t="shared" si="263"/>
        <v>0</v>
      </c>
      <c r="AD629">
        <f t="shared" si="264"/>
        <v>0</v>
      </c>
      <c r="AE629">
        <f t="shared" si="265"/>
        <v>0</v>
      </c>
      <c r="AF629">
        <f t="shared" si="266"/>
        <v>0</v>
      </c>
      <c r="AG629">
        <f t="shared" si="267"/>
        <v>1</v>
      </c>
      <c r="AH629">
        <f t="shared" si="268"/>
        <v>0</v>
      </c>
      <c r="AI629">
        <f t="shared" si="269"/>
        <v>0</v>
      </c>
      <c r="AJ629">
        <f t="shared" si="270"/>
        <v>0</v>
      </c>
      <c r="AK629">
        <f t="shared" si="271"/>
        <v>1</v>
      </c>
      <c r="AL629">
        <f t="shared" si="272"/>
        <v>0</v>
      </c>
      <c r="AM629">
        <f t="shared" si="273"/>
        <v>0</v>
      </c>
      <c r="AN629">
        <f t="shared" si="274"/>
        <v>0</v>
      </c>
      <c r="AO629">
        <f t="shared" si="275"/>
        <v>1</v>
      </c>
      <c r="AP629">
        <f t="shared" si="276"/>
        <v>0</v>
      </c>
      <c r="AQ629">
        <f t="shared" si="277"/>
        <v>0</v>
      </c>
      <c r="AR629">
        <f t="shared" si="278"/>
        <v>1</v>
      </c>
      <c r="AS629">
        <f t="shared" si="279"/>
        <v>0</v>
      </c>
    </row>
    <row r="630" spans="2:45" x14ac:dyDescent="0.3">
      <c r="B630">
        <v>629</v>
      </c>
      <c r="C630" s="1">
        <v>41172</v>
      </c>
      <c r="D630">
        <v>3</v>
      </c>
      <c r="E630">
        <v>1</v>
      </c>
      <c r="F630">
        <v>9</v>
      </c>
      <c r="G630">
        <v>4</v>
      </c>
      <c r="H630">
        <v>1</v>
      </c>
      <c r="I630">
        <v>939</v>
      </c>
      <c r="J630">
        <v>6781</v>
      </c>
      <c r="K630" s="8">
        <v>7720</v>
      </c>
      <c r="L630">
        <v>22.413347000000002</v>
      </c>
      <c r="M630">
        <v>26.6096</v>
      </c>
      <c r="N630">
        <v>61.833300000000001</v>
      </c>
      <c r="O630">
        <v>7.9171889999999996</v>
      </c>
      <c r="P630">
        <v>0</v>
      </c>
      <c r="Q630">
        <v>1</v>
      </c>
      <c r="R630">
        <f t="shared" si="252"/>
        <v>0</v>
      </c>
      <c r="S630">
        <f t="shared" si="253"/>
        <v>0</v>
      </c>
      <c r="T630">
        <f t="shared" si="254"/>
        <v>0</v>
      </c>
      <c r="U630">
        <f t="shared" si="255"/>
        <v>0</v>
      </c>
      <c r="V630">
        <f t="shared" si="256"/>
        <v>0</v>
      </c>
      <c r="W630">
        <f t="shared" si="257"/>
        <v>0</v>
      </c>
      <c r="X630">
        <f t="shared" si="258"/>
        <v>0</v>
      </c>
      <c r="Y630">
        <f t="shared" si="259"/>
        <v>0</v>
      </c>
      <c r="Z630">
        <f t="shared" si="260"/>
        <v>1</v>
      </c>
      <c r="AA630">
        <f t="shared" si="261"/>
        <v>0</v>
      </c>
      <c r="AB630">
        <f t="shared" si="262"/>
        <v>0</v>
      </c>
      <c r="AC630">
        <f t="shared" si="263"/>
        <v>0</v>
      </c>
      <c r="AD630">
        <f t="shared" si="264"/>
        <v>0</v>
      </c>
      <c r="AE630">
        <f t="shared" si="265"/>
        <v>0</v>
      </c>
      <c r="AF630">
        <f t="shared" si="266"/>
        <v>0</v>
      </c>
      <c r="AG630">
        <f t="shared" si="267"/>
        <v>0</v>
      </c>
      <c r="AH630">
        <f t="shared" si="268"/>
        <v>1</v>
      </c>
      <c r="AI630">
        <f t="shared" si="269"/>
        <v>0</v>
      </c>
      <c r="AJ630">
        <f t="shared" si="270"/>
        <v>0</v>
      </c>
      <c r="AK630">
        <f t="shared" si="271"/>
        <v>1</v>
      </c>
      <c r="AL630">
        <f t="shared" si="272"/>
        <v>0</v>
      </c>
      <c r="AM630">
        <f t="shared" si="273"/>
        <v>0</v>
      </c>
      <c r="AN630">
        <f t="shared" si="274"/>
        <v>0</v>
      </c>
      <c r="AO630">
        <f t="shared" si="275"/>
        <v>1</v>
      </c>
      <c r="AP630">
        <f t="shared" si="276"/>
        <v>0</v>
      </c>
      <c r="AQ630">
        <f t="shared" si="277"/>
        <v>0</v>
      </c>
      <c r="AR630">
        <f t="shared" si="278"/>
        <v>1</v>
      </c>
      <c r="AS630">
        <f t="shared" si="279"/>
        <v>0</v>
      </c>
    </row>
    <row r="631" spans="2:45" x14ac:dyDescent="0.3">
      <c r="B631">
        <v>630</v>
      </c>
      <c r="C631" s="1">
        <v>41173</v>
      </c>
      <c r="D631">
        <v>3</v>
      </c>
      <c r="E631">
        <v>1</v>
      </c>
      <c r="F631">
        <v>9</v>
      </c>
      <c r="G631">
        <v>5</v>
      </c>
      <c r="H631">
        <v>1</v>
      </c>
      <c r="I631">
        <v>1250</v>
      </c>
      <c r="J631">
        <v>6917</v>
      </c>
      <c r="K631" s="8">
        <v>8167</v>
      </c>
      <c r="L631">
        <v>24.565847000000002</v>
      </c>
      <c r="M631">
        <v>28.598549999999999</v>
      </c>
      <c r="N631">
        <v>66.875</v>
      </c>
      <c r="O631">
        <v>10.333342999999999</v>
      </c>
      <c r="P631">
        <v>0</v>
      </c>
      <c r="Q631">
        <v>1</v>
      </c>
      <c r="R631">
        <f t="shared" si="252"/>
        <v>0</v>
      </c>
      <c r="S631">
        <f t="shared" si="253"/>
        <v>0</v>
      </c>
      <c r="T631">
        <f t="shared" si="254"/>
        <v>0</v>
      </c>
      <c r="U631">
        <f t="shared" si="255"/>
        <v>0</v>
      </c>
      <c r="V631">
        <f t="shared" si="256"/>
        <v>0</v>
      </c>
      <c r="W631">
        <f t="shared" si="257"/>
        <v>0</v>
      </c>
      <c r="X631">
        <f t="shared" si="258"/>
        <v>0</v>
      </c>
      <c r="Y631">
        <f t="shared" si="259"/>
        <v>0</v>
      </c>
      <c r="Z631">
        <f t="shared" si="260"/>
        <v>1</v>
      </c>
      <c r="AA631">
        <f t="shared" si="261"/>
        <v>0</v>
      </c>
      <c r="AB631">
        <f t="shared" si="262"/>
        <v>0</v>
      </c>
      <c r="AC631">
        <f t="shared" si="263"/>
        <v>0</v>
      </c>
      <c r="AD631">
        <f t="shared" si="264"/>
        <v>0</v>
      </c>
      <c r="AE631">
        <f t="shared" si="265"/>
        <v>0</v>
      </c>
      <c r="AF631">
        <f t="shared" si="266"/>
        <v>0</v>
      </c>
      <c r="AG631">
        <f t="shared" si="267"/>
        <v>0</v>
      </c>
      <c r="AH631">
        <f t="shared" si="268"/>
        <v>0</v>
      </c>
      <c r="AI631">
        <f t="shared" si="269"/>
        <v>1</v>
      </c>
      <c r="AJ631">
        <f t="shared" si="270"/>
        <v>0</v>
      </c>
      <c r="AK631">
        <f t="shared" si="271"/>
        <v>1</v>
      </c>
      <c r="AL631">
        <f t="shared" si="272"/>
        <v>0</v>
      </c>
      <c r="AM631">
        <f t="shared" si="273"/>
        <v>0</v>
      </c>
      <c r="AN631">
        <f t="shared" si="274"/>
        <v>0</v>
      </c>
      <c r="AO631">
        <f t="shared" si="275"/>
        <v>1</v>
      </c>
      <c r="AP631">
        <f t="shared" si="276"/>
        <v>0</v>
      </c>
      <c r="AQ631">
        <f t="shared" si="277"/>
        <v>0</v>
      </c>
      <c r="AR631">
        <f t="shared" si="278"/>
        <v>1</v>
      </c>
      <c r="AS631">
        <f t="shared" si="279"/>
        <v>0</v>
      </c>
    </row>
    <row r="632" spans="2:45" x14ac:dyDescent="0.3">
      <c r="B632">
        <v>631</v>
      </c>
      <c r="C632" s="1">
        <v>41174</v>
      </c>
      <c r="D632">
        <v>3</v>
      </c>
      <c r="E632">
        <v>1</v>
      </c>
      <c r="F632">
        <v>9</v>
      </c>
      <c r="G632">
        <v>6</v>
      </c>
      <c r="H632">
        <v>1</v>
      </c>
      <c r="I632">
        <v>2512</v>
      </c>
      <c r="J632">
        <v>5883</v>
      </c>
      <c r="K632" s="8">
        <v>8395</v>
      </c>
      <c r="L632">
        <v>26.65</v>
      </c>
      <c r="M632">
        <v>30.5244</v>
      </c>
      <c r="N632">
        <v>64.666700000000006</v>
      </c>
      <c r="O632">
        <v>19.000060999999999</v>
      </c>
      <c r="P632">
        <v>0</v>
      </c>
      <c r="Q632">
        <v>0</v>
      </c>
      <c r="R632">
        <f t="shared" si="252"/>
        <v>0</v>
      </c>
      <c r="S632">
        <f t="shared" si="253"/>
        <v>0</v>
      </c>
      <c r="T632">
        <f t="shared" si="254"/>
        <v>0</v>
      </c>
      <c r="U632">
        <f t="shared" si="255"/>
        <v>0</v>
      </c>
      <c r="V632">
        <f t="shared" si="256"/>
        <v>0</v>
      </c>
      <c r="W632">
        <f t="shared" si="257"/>
        <v>0</v>
      </c>
      <c r="X632">
        <f t="shared" si="258"/>
        <v>0</v>
      </c>
      <c r="Y632">
        <f t="shared" si="259"/>
        <v>0</v>
      </c>
      <c r="Z632">
        <f t="shared" si="260"/>
        <v>1</v>
      </c>
      <c r="AA632">
        <f t="shared" si="261"/>
        <v>0</v>
      </c>
      <c r="AB632">
        <f t="shared" si="262"/>
        <v>0</v>
      </c>
      <c r="AC632">
        <f t="shared" si="263"/>
        <v>0</v>
      </c>
      <c r="AD632">
        <f t="shared" si="264"/>
        <v>0</v>
      </c>
      <c r="AE632">
        <f t="shared" si="265"/>
        <v>0</v>
      </c>
      <c r="AF632">
        <f t="shared" si="266"/>
        <v>0</v>
      </c>
      <c r="AG632">
        <f t="shared" si="267"/>
        <v>0</v>
      </c>
      <c r="AH632">
        <f t="shared" si="268"/>
        <v>0</v>
      </c>
      <c r="AI632">
        <f t="shared" si="269"/>
        <v>0</v>
      </c>
      <c r="AJ632">
        <f t="shared" si="270"/>
        <v>1</v>
      </c>
      <c r="AK632">
        <f t="shared" si="271"/>
        <v>1</v>
      </c>
      <c r="AL632">
        <f t="shared" si="272"/>
        <v>0</v>
      </c>
      <c r="AM632">
        <f t="shared" si="273"/>
        <v>0</v>
      </c>
      <c r="AN632">
        <f t="shared" si="274"/>
        <v>0</v>
      </c>
      <c r="AO632">
        <f t="shared" si="275"/>
        <v>1</v>
      </c>
      <c r="AP632">
        <f t="shared" si="276"/>
        <v>0</v>
      </c>
      <c r="AQ632">
        <f t="shared" si="277"/>
        <v>0</v>
      </c>
      <c r="AR632">
        <f t="shared" si="278"/>
        <v>1</v>
      </c>
      <c r="AS632">
        <f t="shared" si="279"/>
        <v>0</v>
      </c>
    </row>
    <row r="633" spans="2:45" x14ac:dyDescent="0.3">
      <c r="B633">
        <v>632</v>
      </c>
      <c r="C633" s="1">
        <v>41175</v>
      </c>
      <c r="D633">
        <v>4</v>
      </c>
      <c r="E633">
        <v>1</v>
      </c>
      <c r="F633">
        <v>9</v>
      </c>
      <c r="G633">
        <v>0</v>
      </c>
      <c r="H633">
        <v>1</v>
      </c>
      <c r="I633">
        <v>2454</v>
      </c>
      <c r="J633">
        <v>5453</v>
      </c>
      <c r="K633" s="8">
        <v>7907</v>
      </c>
      <c r="L633">
        <v>21.695847000000001</v>
      </c>
      <c r="M633">
        <v>25.946650000000002</v>
      </c>
      <c r="N633">
        <v>46.708300000000001</v>
      </c>
      <c r="O633">
        <v>14.958285999999999</v>
      </c>
      <c r="P633">
        <v>0</v>
      </c>
      <c r="Q633">
        <v>0</v>
      </c>
      <c r="R633">
        <f t="shared" si="252"/>
        <v>0</v>
      </c>
      <c r="S633">
        <f t="shared" si="253"/>
        <v>0</v>
      </c>
      <c r="T633">
        <f t="shared" si="254"/>
        <v>0</v>
      </c>
      <c r="U633">
        <f t="shared" si="255"/>
        <v>0</v>
      </c>
      <c r="V633">
        <f t="shared" si="256"/>
        <v>0</v>
      </c>
      <c r="W633">
        <f t="shared" si="257"/>
        <v>0</v>
      </c>
      <c r="X633">
        <f t="shared" si="258"/>
        <v>0</v>
      </c>
      <c r="Y633">
        <f t="shared" si="259"/>
        <v>0</v>
      </c>
      <c r="Z633">
        <f t="shared" si="260"/>
        <v>1</v>
      </c>
      <c r="AA633">
        <f t="shared" si="261"/>
        <v>0</v>
      </c>
      <c r="AB633">
        <f t="shared" si="262"/>
        <v>0</v>
      </c>
      <c r="AC633">
        <f t="shared" si="263"/>
        <v>0</v>
      </c>
      <c r="AD633">
        <f t="shared" si="264"/>
        <v>1</v>
      </c>
      <c r="AE633">
        <f t="shared" si="265"/>
        <v>0</v>
      </c>
      <c r="AF633">
        <f t="shared" si="266"/>
        <v>0</v>
      </c>
      <c r="AG633">
        <f t="shared" si="267"/>
        <v>0</v>
      </c>
      <c r="AH633">
        <f t="shared" si="268"/>
        <v>0</v>
      </c>
      <c r="AI633">
        <f t="shared" si="269"/>
        <v>0</v>
      </c>
      <c r="AJ633">
        <f t="shared" si="270"/>
        <v>0</v>
      </c>
      <c r="AK633">
        <f t="shared" si="271"/>
        <v>1</v>
      </c>
      <c r="AL633">
        <f t="shared" si="272"/>
        <v>0</v>
      </c>
      <c r="AM633">
        <f t="shared" si="273"/>
        <v>0</v>
      </c>
      <c r="AN633">
        <f t="shared" si="274"/>
        <v>0</v>
      </c>
      <c r="AO633">
        <f t="shared" si="275"/>
        <v>1</v>
      </c>
      <c r="AP633">
        <f t="shared" si="276"/>
        <v>0</v>
      </c>
      <c r="AQ633">
        <f t="shared" si="277"/>
        <v>0</v>
      </c>
      <c r="AR633">
        <f t="shared" si="278"/>
        <v>0</v>
      </c>
      <c r="AS633">
        <f t="shared" si="279"/>
        <v>1</v>
      </c>
    </row>
    <row r="634" spans="2:45" x14ac:dyDescent="0.3">
      <c r="B634">
        <v>633</v>
      </c>
      <c r="C634" s="1">
        <v>41176</v>
      </c>
      <c r="D634">
        <v>4</v>
      </c>
      <c r="E634">
        <v>1</v>
      </c>
      <c r="F634">
        <v>9</v>
      </c>
      <c r="G634">
        <v>1</v>
      </c>
      <c r="H634">
        <v>1</v>
      </c>
      <c r="I634">
        <v>1001</v>
      </c>
      <c r="J634">
        <v>6435</v>
      </c>
      <c r="K634" s="8">
        <v>7436</v>
      </c>
      <c r="L634">
        <v>21.080846999999999</v>
      </c>
      <c r="M634">
        <v>25.12565</v>
      </c>
      <c r="N634">
        <v>49.291699999999999</v>
      </c>
      <c r="O634">
        <v>9.5410679999999992</v>
      </c>
      <c r="P634">
        <v>0</v>
      </c>
      <c r="Q634">
        <v>1</v>
      </c>
      <c r="R634">
        <f t="shared" si="252"/>
        <v>0</v>
      </c>
      <c r="S634">
        <f t="shared" si="253"/>
        <v>0</v>
      </c>
      <c r="T634">
        <f t="shared" si="254"/>
        <v>0</v>
      </c>
      <c r="U634">
        <f t="shared" si="255"/>
        <v>0</v>
      </c>
      <c r="V634">
        <f t="shared" si="256"/>
        <v>0</v>
      </c>
      <c r="W634">
        <f t="shared" si="257"/>
        <v>0</v>
      </c>
      <c r="X634">
        <f t="shared" si="258"/>
        <v>0</v>
      </c>
      <c r="Y634">
        <f t="shared" si="259"/>
        <v>0</v>
      </c>
      <c r="Z634">
        <f t="shared" si="260"/>
        <v>1</v>
      </c>
      <c r="AA634">
        <f t="shared" si="261"/>
        <v>0</v>
      </c>
      <c r="AB634">
        <f t="shared" si="262"/>
        <v>0</v>
      </c>
      <c r="AC634">
        <f t="shared" si="263"/>
        <v>0</v>
      </c>
      <c r="AD634">
        <f t="shared" si="264"/>
        <v>0</v>
      </c>
      <c r="AE634">
        <f t="shared" si="265"/>
        <v>1</v>
      </c>
      <c r="AF634">
        <f t="shared" si="266"/>
        <v>0</v>
      </c>
      <c r="AG634">
        <f t="shared" si="267"/>
        <v>0</v>
      </c>
      <c r="AH634">
        <f t="shared" si="268"/>
        <v>0</v>
      </c>
      <c r="AI634">
        <f t="shared" si="269"/>
        <v>0</v>
      </c>
      <c r="AJ634">
        <f t="shared" si="270"/>
        <v>0</v>
      </c>
      <c r="AK634">
        <f t="shared" si="271"/>
        <v>1</v>
      </c>
      <c r="AL634">
        <f t="shared" si="272"/>
        <v>0</v>
      </c>
      <c r="AM634">
        <f t="shared" si="273"/>
        <v>0</v>
      </c>
      <c r="AN634">
        <f t="shared" si="274"/>
        <v>0</v>
      </c>
      <c r="AO634">
        <f t="shared" si="275"/>
        <v>1</v>
      </c>
      <c r="AP634">
        <f t="shared" si="276"/>
        <v>0</v>
      </c>
      <c r="AQ634">
        <f t="shared" si="277"/>
        <v>0</v>
      </c>
      <c r="AR634">
        <f t="shared" si="278"/>
        <v>0</v>
      </c>
      <c r="AS634">
        <f t="shared" si="279"/>
        <v>1</v>
      </c>
    </row>
    <row r="635" spans="2:45" x14ac:dyDescent="0.3">
      <c r="B635">
        <v>634</v>
      </c>
      <c r="C635" s="1">
        <v>41177</v>
      </c>
      <c r="D635">
        <v>4</v>
      </c>
      <c r="E635">
        <v>1</v>
      </c>
      <c r="F635">
        <v>9</v>
      </c>
      <c r="G635">
        <v>2</v>
      </c>
      <c r="H635">
        <v>1</v>
      </c>
      <c r="I635">
        <v>845</v>
      </c>
      <c r="J635">
        <v>6693</v>
      </c>
      <c r="K635" s="8">
        <v>7538</v>
      </c>
      <c r="L635">
        <v>22.55</v>
      </c>
      <c r="M635">
        <v>27.208950000000002</v>
      </c>
      <c r="N635">
        <v>57</v>
      </c>
      <c r="O635">
        <v>15.833507000000001</v>
      </c>
      <c r="P635">
        <v>0</v>
      </c>
      <c r="Q635">
        <v>1</v>
      </c>
      <c r="R635">
        <f t="shared" si="252"/>
        <v>0</v>
      </c>
      <c r="S635">
        <f t="shared" si="253"/>
        <v>0</v>
      </c>
      <c r="T635">
        <f t="shared" si="254"/>
        <v>0</v>
      </c>
      <c r="U635">
        <f t="shared" si="255"/>
        <v>0</v>
      </c>
      <c r="V635">
        <f t="shared" si="256"/>
        <v>0</v>
      </c>
      <c r="W635">
        <f t="shared" si="257"/>
        <v>0</v>
      </c>
      <c r="X635">
        <f t="shared" si="258"/>
        <v>0</v>
      </c>
      <c r="Y635">
        <f t="shared" si="259"/>
        <v>0</v>
      </c>
      <c r="Z635">
        <f t="shared" si="260"/>
        <v>1</v>
      </c>
      <c r="AA635">
        <f t="shared" si="261"/>
        <v>0</v>
      </c>
      <c r="AB635">
        <f t="shared" si="262"/>
        <v>0</v>
      </c>
      <c r="AC635">
        <f t="shared" si="263"/>
        <v>0</v>
      </c>
      <c r="AD635">
        <f t="shared" si="264"/>
        <v>0</v>
      </c>
      <c r="AE635">
        <f t="shared" si="265"/>
        <v>0</v>
      </c>
      <c r="AF635">
        <f t="shared" si="266"/>
        <v>1</v>
      </c>
      <c r="AG635">
        <f t="shared" si="267"/>
        <v>0</v>
      </c>
      <c r="AH635">
        <f t="shared" si="268"/>
        <v>0</v>
      </c>
      <c r="AI635">
        <f t="shared" si="269"/>
        <v>0</v>
      </c>
      <c r="AJ635">
        <f t="shared" si="270"/>
        <v>0</v>
      </c>
      <c r="AK635">
        <f t="shared" si="271"/>
        <v>1</v>
      </c>
      <c r="AL635">
        <f t="shared" si="272"/>
        <v>0</v>
      </c>
      <c r="AM635">
        <f t="shared" si="273"/>
        <v>0</v>
      </c>
      <c r="AN635">
        <f t="shared" si="274"/>
        <v>0</v>
      </c>
      <c r="AO635">
        <f t="shared" si="275"/>
        <v>1</v>
      </c>
      <c r="AP635">
        <f t="shared" si="276"/>
        <v>0</v>
      </c>
      <c r="AQ635">
        <f t="shared" si="277"/>
        <v>0</v>
      </c>
      <c r="AR635">
        <f t="shared" si="278"/>
        <v>0</v>
      </c>
      <c r="AS635">
        <f t="shared" si="279"/>
        <v>1</v>
      </c>
    </row>
    <row r="636" spans="2:45" x14ac:dyDescent="0.3">
      <c r="B636">
        <v>635</v>
      </c>
      <c r="C636" s="1">
        <v>41178</v>
      </c>
      <c r="D636">
        <v>4</v>
      </c>
      <c r="E636">
        <v>1</v>
      </c>
      <c r="F636">
        <v>9</v>
      </c>
      <c r="G636">
        <v>3</v>
      </c>
      <c r="H636">
        <v>1</v>
      </c>
      <c r="I636">
        <v>787</v>
      </c>
      <c r="J636">
        <v>6946</v>
      </c>
      <c r="K636" s="8">
        <v>7733</v>
      </c>
      <c r="L636">
        <v>26.035</v>
      </c>
      <c r="M636">
        <v>29.830649999999999</v>
      </c>
      <c r="N636">
        <v>63.083300000000001</v>
      </c>
      <c r="O636">
        <v>16.3748</v>
      </c>
      <c r="P636">
        <v>0</v>
      </c>
      <c r="Q636">
        <v>1</v>
      </c>
      <c r="R636">
        <f t="shared" si="252"/>
        <v>0</v>
      </c>
      <c r="S636">
        <f t="shared" si="253"/>
        <v>0</v>
      </c>
      <c r="T636">
        <f t="shared" si="254"/>
        <v>0</v>
      </c>
      <c r="U636">
        <f t="shared" si="255"/>
        <v>0</v>
      </c>
      <c r="V636">
        <f t="shared" si="256"/>
        <v>0</v>
      </c>
      <c r="W636">
        <f t="shared" si="257"/>
        <v>0</v>
      </c>
      <c r="X636">
        <f t="shared" si="258"/>
        <v>0</v>
      </c>
      <c r="Y636">
        <f t="shared" si="259"/>
        <v>0</v>
      </c>
      <c r="Z636">
        <f t="shared" si="260"/>
        <v>1</v>
      </c>
      <c r="AA636">
        <f t="shared" si="261"/>
        <v>0</v>
      </c>
      <c r="AB636">
        <f t="shared" si="262"/>
        <v>0</v>
      </c>
      <c r="AC636">
        <f t="shared" si="263"/>
        <v>0</v>
      </c>
      <c r="AD636">
        <f t="shared" si="264"/>
        <v>0</v>
      </c>
      <c r="AE636">
        <f t="shared" si="265"/>
        <v>0</v>
      </c>
      <c r="AF636">
        <f t="shared" si="266"/>
        <v>0</v>
      </c>
      <c r="AG636">
        <f t="shared" si="267"/>
        <v>1</v>
      </c>
      <c r="AH636">
        <f t="shared" si="268"/>
        <v>0</v>
      </c>
      <c r="AI636">
        <f t="shared" si="269"/>
        <v>0</v>
      </c>
      <c r="AJ636">
        <f t="shared" si="270"/>
        <v>0</v>
      </c>
      <c r="AK636">
        <f t="shared" si="271"/>
        <v>1</v>
      </c>
      <c r="AL636">
        <f t="shared" si="272"/>
        <v>0</v>
      </c>
      <c r="AM636">
        <f t="shared" si="273"/>
        <v>0</v>
      </c>
      <c r="AN636">
        <f t="shared" si="274"/>
        <v>0</v>
      </c>
      <c r="AO636">
        <f t="shared" si="275"/>
        <v>1</v>
      </c>
      <c r="AP636">
        <f t="shared" si="276"/>
        <v>0</v>
      </c>
      <c r="AQ636">
        <f t="shared" si="277"/>
        <v>0</v>
      </c>
      <c r="AR636">
        <f t="shared" si="278"/>
        <v>0</v>
      </c>
      <c r="AS636">
        <f t="shared" si="279"/>
        <v>1</v>
      </c>
    </row>
    <row r="637" spans="2:45" x14ac:dyDescent="0.3">
      <c r="B637">
        <v>636</v>
      </c>
      <c r="C637" s="1">
        <v>41179</v>
      </c>
      <c r="D637">
        <v>4</v>
      </c>
      <c r="E637">
        <v>1</v>
      </c>
      <c r="F637">
        <v>9</v>
      </c>
      <c r="G637">
        <v>4</v>
      </c>
      <c r="H637">
        <v>2</v>
      </c>
      <c r="I637">
        <v>751</v>
      </c>
      <c r="J637">
        <v>6642</v>
      </c>
      <c r="K637" s="8">
        <v>7393</v>
      </c>
      <c r="L637">
        <v>26.65</v>
      </c>
      <c r="M637">
        <v>30.39875</v>
      </c>
      <c r="N637">
        <v>69.083299999999994</v>
      </c>
      <c r="O637">
        <v>9.0009139999999999</v>
      </c>
      <c r="P637">
        <v>0</v>
      </c>
      <c r="Q637">
        <v>1</v>
      </c>
      <c r="R637">
        <f t="shared" si="252"/>
        <v>0</v>
      </c>
      <c r="S637">
        <f t="shared" si="253"/>
        <v>0</v>
      </c>
      <c r="T637">
        <f t="shared" si="254"/>
        <v>0</v>
      </c>
      <c r="U637">
        <f t="shared" si="255"/>
        <v>0</v>
      </c>
      <c r="V637">
        <f t="shared" si="256"/>
        <v>0</v>
      </c>
      <c r="W637">
        <f t="shared" si="257"/>
        <v>0</v>
      </c>
      <c r="X637">
        <f t="shared" si="258"/>
        <v>0</v>
      </c>
      <c r="Y637">
        <f t="shared" si="259"/>
        <v>0</v>
      </c>
      <c r="Z637">
        <f t="shared" si="260"/>
        <v>1</v>
      </c>
      <c r="AA637">
        <f t="shared" si="261"/>
        <v>0</v>
      </c>
      <c r="AB637">
        <f t="shared" si="262"/>
        <v>0</v>
      </c>
      <c r="AC637">
        <f t="shared" si="263"/>
        <v>0</v>
      </c>
      <c r="AD637">
        <f t="shared" si="264"/>
        <v>0</v>
      </c>
      <c r="AE637">
        <f t="shared" si="265"/>
        <v>0</v>
      </c>
      <c r="AF637">
        <f t="shared" si="266"/>
        <v>0</v>
      </c>
      <c r="AG637">
        <f t="shared" si="267"/>
        <v>0</v>
      </c>
      <c r="AH637">
        <f t="shared" si="268"/>
        <v>1</v>
      </c>
      <c r="AI637">
        <f t="shared" si="269"/>
        <v>0</v>
      </c>
      <c r="AJ637">
        <f t="shared" si="270"/>
        <v>0</v>
      </c>
      <c r="AK637">
        <f t="shared" si="271"/>
        <v>0</v>
      </c>
      <c r="AL637">
        <f t="shared" si="272"/>
        <v>1</v>
      </c>
      <c r="AM637">
        <f t="shared" si="273"/>
        <v>0</v>
      </c>
      <c r="AN637">
        <f t="shared" si="274"/>
        <v>0</v>
      </c>
      <c r="AO637">
        <f t="shared" si="275"/>
        <v>1</v>
      </c>
      <c r="AP637">
        <f t="shared" si="276"/>
        <v>0</v>
      </c>
      <c r="AQ637">
        <f t="shared" si="277"/>
        <v>0</v>
      </c>
      <c r="AR637">
        <f t="shared" si="278"/>
        <v>0</v>
      </c>
      <c r="AS637">
        <f t="shared" si="279"/>
        <v>1</v>
      </c>
    </row>
    <row r="638" spans="2:45" x14ac:dyDescent="0.3">
      <c r="B638">
        <v>637</v>
      </c>
      <c r="C638" s="1">
        <v>41180</v>
      </c>
      <c r="D638">
        <v>4</v>
      </c>
      <c r="E638">
        <v>1</v>
      </c>
      <c r="F638">
        <v>9</v>
      </c>
      <c r="G638">
        <v>5</v>
      </c>
      <c r="H638">
        <v>2</v>
      </c>
      <c r="I638">
        <v>1045</v>
      </c>
      <c r="J638">
        <v>6370</v>
      </c>
      <c r="K638" s="8">
        <v>7415</v>
      </c>
      <c r="L638">
        <v>25.385846999999998</v>
      </c>
      <c r="M638">
        <v>29.293150000000001</v>
      </c>
      <c r="N638">
        <v>69</v>
      </c>
      <c r="O638">
        <v>10.999993</v>
      </c>
      <c r="P638">
        <v>0</v>
      </c>
      <c r="Q638">
        <v>1</v>
      </c>
      <c r="R638">
        <f t="shared" si="252"/>
        <v>0</v>
      </c>
      <c r="S638">
        <f t="shared" si="253"/>
        <v>0</v>
      </c>
      <c r="T638">
        <f t="shared" si="254"/>
        <v>0</v>
      </c>
      <c r="U638">
        <f t="shared" si="255"/>
        <v>0</v>
      </c>
      <c r="V638">
        <f t="shared" si="256"/>
        <v>0</v>
      </c>
      <c r="W638">
        <f t="shared" si="257"/>
        <v>0</v>
      </c>
      <c r="X638">
        <f t="shared" si="258"/>
        <v>0</v>
      </c>
      <c r="Y638">
        <f t="shared" si="259"/>
        <v>0</v>
      </c>
      <c r="Z638">
        <f t="shared" si="260"/>
        <v>1</v>
      </c>
      <c r="AA638">
        <f t="shared" si="261"/>
        <v>0</v>
      </c>
      <c r="AB638">
        <f t="shared" si="262"/>
        <v>0</v>
      </c>
      <c r="AC638">
        <f t="shared" si="263"/>
        <v>0</v>
      </c>
      <c r="AD638">
        <f t="shared" si="264"/>
        <v>0</v>
      </c>
      <c r="AE638">
        <f t="shared" si="265"/>
        <v>0</v>
      </c>
      <c r="AF638">
        <f t="shared" si="266"/>
        <v>0</v>
      </c>
      <c r="AG638">
        <f t="shared" si="267"/>
        <v>0</v>
      </c>
      <c r="AH638">
        <f t="shared" si="268"/>
        <v>0</v>
      </c>
      <c r="AI638">
        <f t="shared" si="269"/>
        <v>1</v>
      </c>
      <c r="AJ638">
        <f t="shared" si="270"/>
        <v>0</v>
      </c>
      <c r="AK638">
        <f t="shared" si="271"/>
        <v>0</v>
      </c>
      <c r="AL638">
        <f t="shared" si="272"/>
        <v>1</v>
      </c>
      <c r="AM638">
        <f t="shared" si="273"/>
        <v>0</v>
      </c>
      <c r="AN638">
        <f t="shared" si="274"/>
        <v>0</v>
      </c>
      <c r="AO638">
        <f t="shared" si="275"/>
        <v>1</v>
      </c>
      <c r="AP638">
        <f t="shared" si="276"/>
        <v>0</v>
      </c>
      <c r="AQ638">
        <f t="shared" si="277"/>
        <v>0</v>
      </c>
      <c r="AR638">
        <f t="shared" si="278"/>
        <v>0</v>
      </c>
      <c r="AS638">
        <f t="shared" si="279"/>
        <v>1</v>
      </c>
    </row>
    <row r="639" spans="2:45" x14ac:dyDescent="0.3">
      <c r="B639">
        <v>638</v>
      </c>
      <c r="C639" s="1">
        <v>41181</v>
      </c>
      <c r="D639">
        <v>4</v>
      </c>
      <c r="E639">
        <v>1</v>
      </c>
      <c r="F639">
        <v>9</v>
      </c>
      <c r="G639">
        <v>6</v>
      </c>
      <c r="H639">
        <v>1</v>
      </c>
      <c r="I639">
        <v>2589</v>
      </c>
      <c r="J639">
        <v>5966</v>
      </c>
      <c r="K639" s="8">
        <v>8555</v>
      </c>
      <c r="L639">
        <v>22.2425</v>
      </c>
      <c r="M639">
        <v>26.514800000000001</v>
      </c>
      <c r="N639">
        <v>54.291699999999999</v>
      </c>
      <c r="O639">
        <v>15.249468</v>
      </c>
      <c r="P639">
        <v>0</v>
      </c>
      <c r="Q639">
        <v>0</v>
      </c>
      <c r="R639">
        <f t="shared" si="252"/>
        <v>0</v>
      </c>
      <c r="S639">
        <f t="shared" si="253"/>
        <v>0</v>
      </c>
      <c r="T639">
        <f t="shared" si="254"/>
        <v>0</v>
      </c>
      <c r="U639">
        <f t="shared" si="255"/>
        <v>0</v>
      </c>
      <c r="V639">
        <f t="shared" si="256"/>
        <v>0</v>
      </c>
      <c r="W639">
        <f t="shared" si="257"/>
        <v>0</v>
      </c>
      <c r="X639">
        <f t="shared" si="258"/>
        <v>0</v>
      </c>
      <c r="Y639">
        <f t="shared" si="259"/>
        <v>0</v>
      </c>
      <c r="Z639">
        <f t="shared" si="260"/>
        <v>1</v>
      </c>
      <c r="AA639">
        <f t="shared" si="261"/>
        <v>0</v>
      </c>
      <c r="AB639">
        <f t="shared" si="262"/>
        <v>0</v>
      </c>
      <c r="AC639">
        <f t="shared" si="263"/>
        <v>0</v>
      </c>
      <c r="AD639">
        <f t="shared" si="264"/>
        <v>0</v>
      </c>
      <c r="AE639">
        <f t="shared" si="265"/>
        <v>0</v>
      </c>
      <c r="AF639">
        <f t="shared" si="266"/>
        <v>0</v>
      </c>
      <c r="AG639">
        <f t="shared" si="267"/>
        <v>0</v>
      </c>
      <c r="AH639">
        <f t="shared" si="268"/>
        <v>0</v>
      </c>
      <c r="AI639">
        <f t="shared" si="269"/>
        <v>0</v>
      </c>
      <c r="AJ639">
        <f t="shared" si="270"/>
        <v>1</v>
      </c>
      <c r="AK639">
        <f t="shared" si="271"/>
        <v>1</v>
      </c>
      <c r="AL639">
        <f t="shared" si="272"/>
        <v>0</v>
      </c>
      <c r="AM639">
        <f t="shared" si="273"/>
        <v>0</v>
      </c>
      <c r="AN639">
        <f t="shared" si="274"/>
        <v>0</v>
      </c>
      <c r="AO639">
        <f t="shared" si="275"/>
        <v>1</v>
      </c>
      <c r="AP639">
        <f t="shared" si="276"/>
        <v>0</v>
      </c>
      <c r="AQ639">
        <f t="shared" si="277"/>
        <v>0</v>
      </c>
      <c r="AR639">
        <f t="shared" si="278"/>
        <v>0</v>
      </c>
      <c r="AS639">
        <f t="shared" si="279"/>
        <v>1</v>
      </c>
    </row>
    <row r="640" spans="2:45" x14ac:dyDescent="0.3">
      <c r="B640">
        <v>639</v>
      </c>
      <c r="C640" s="1">
        <v>41182</v>
      </c>
      <c r="D640">
        <v>4</v>
      </c>
      <c r="E640">
        <v>1</v>
      </c>
      <c r="F640">
        <v>9</v>
      </c>
      <c r="G640">
        <v>0</v>
      </c>
      <c r="H640">
        <v>1</v>
      </c>
      <c r="I640">
        <v>2015</v>
      </c>
      <c r="J640">
        <v>4874</v>
      </c>
      <c r="K640" s="8">
        <v>6889</v>
      </c>
      <c r="L640">
        <v>21.593347000000001</v>
      </c>
      <c r="M640">
        <v>25.883150000000001</v>
      </c>
      <c r="N640">
        <v>58.333300000000001</v>
      </c>
      <c r="O640">
        <v>9.0421859999999992</v>
      </c>
      <c r="P640">
        <v>0</v>
      </c>
      <c r="Q640">
        <v>0</v>
      </c>
      <c r="R640">
        <f t="shared" si="252"/>
        <v>0</v>
      </c>
      <c r="S640">
        <f t="shared" si="253"/>
        <v>0</v>
      </c>
      <c r="T640">
        <f t="shared" si="254"/>
        <v>0</v>
      </c>
      <c r="U640">
        <f t="shared" si="255"/>
        <v>0</v>
      </c>
      <c r="V640">
        <f t="shared" si="256"/>
        <v>0</v>
      </c>
      <c r="W640">
        <f t="shared" si="257"/>
        <v>0</v>
      </c>
      <c r="X640">
        <f t="shared" si="258"/>
        <v>0</v>
      </c>
      <c r="Y640">
        <f t="shared" si="259"/>
        <v>0</v>
      </c>
      <c r="Z640">
        <f t="shared" si="260"/>
        <v>1</v>
      </c>
      <c r="AA640">
        <f t="shared" si="261"/>
        <v>0</v>
      </c>
      <c r="AB640">
        <f t="shared" si="262"/>
        <v>0</v>
      </c>
      <c r="AC640">
        <f t="shared" si="263"/>
        <v>0</v>
      </c>
      <c r="AD640">
        <f t="shared" si="264"/>
        <v>1</v>
      </c>
      <c r="AE640">
        <f t="shared" si="265"/>
        <v>0</v>
      </c>
      <c r="AF640">
        <f t="shared" si="266"/>
        <v>0</v>
      </c>
      <c r="AG640">
        <f t="shared" si="267"/>
        <v>0</v>
      </c>
      <c r="AH640">
        <f t="shared" si="268"/>
        <v>0</v>
      </c>
      <c r="AI640">
        <f t="shared" si="269"/>
        <v>0</v>
      </c>
      <c r="AJ640">
        <f t="shared" si="270"/>
        <v>0</v>
      </c>
      <c r="AK640">
        <f t="shared" si="271"/>
        <v>1</v>
      </c>
      <c r="AL640">
        <f t="shared" si="272"/>
        <v>0</v>
      </c>
      <c r="AM640">
        <f t="shared" si="273"/>
        <v>0</v>
      </c>
      <c r="AN640">
        <f t="shared" si="274"/>
        <v>0</v>
      </c>
      <c r="AO640">
        <f t="shared" si="275"/>
        <v>1</v>
      </c>
      <c r="AP640">
        <f t="shared" si="276"/>
        <v>0</v>
      </c>
      <c r="AQ640">
        <f t="shared" si="277"/>
        <v>0</v>
      </c>
      <c r="AR640">
        <f t="shared" si="278"/>
        <v>0</v>
      </c>
      <c r="AS640">
        <f t="shared" si="279"/>
        <v>1</v>
      </c>
    </row>
    <row r="641" spans="2:45" x14ac:dyDescent="0.3">
      <c r="B641">
        <v>640</v>
      </c>
      <c r="C641" s="1">
        <v>41183</v>
      </c>
      <c r="D641">
        <v>4</v>
      </c>
      <c r="E641">
        <v>1</v>
      </c>
      <c r="F641">
        <v>10</v>
      </c>
      <c r="G641">
        <v>1</v>
      </c>
      <c r="H641">
        <v>2</v>
      </c>
      <c r="I641">
        <v>763</v>
      </c>
      <c r="J641">
        <v>6015</v>
      </c>
      <c r="K641" s="8">
        <v>6778</v>
      </c>
      <c r="L641">
        <v>21.354153</v>
      </c>
      <c r="M641">
        <v>25.6</v>
      </c>
      <c r="N641">
        <v>64.916700000000006</v>
      </c>
      <c r="O641">
        <v>6.0838814000000001</v>
      </c>
      <c r="P641">
        <v>0</v>
      </c>
      <c r="Q641">
        <v>1</v>
      </c>
      <c r="R641">
        <f t="shared" si="252"/>
        <v>0</v>
      </c>
      <c r="S641">
        <f t="shared" si="253"/>
        <v>0</v>
      </c>
      <c r="T641">
        <f t="shared" si="254"/>
        <v>0</v>
      </c>
      <c r="U641">
        <f t="shared" si="255"/>
        <v>0</v>
      </c>
      <c r="V641">
        <f t="shared" si="256"/>
        <v>0</v>
      </c>
      <c r="W641">
        <f t="shared" si="257"/>
        <v>0</v>
      </c>
      <c r="X641">
        <f t="shared" si="258"/>
        <v>0</v>
      </c>
      <c r="Y641">
        <f t="shared" si="259"/>
        <v>0</v>
      </c>
      <c r="Z641">
        <f t="shared" si="260"/>
        <v>0</v>
      </c>
      <c r="AA641">
        <f t="shared" si="261"/>
        <v>1</v>
      </c>
      <c r="AB641">
        <f t="shared" si="262"/>
        <v>0</v>
      </c>
      <c r="AC641">
        <f t="shared" si="263"/>
        <v>0</v>
      </c>
      <c r="AD641">
        <f t="shared" si="264"/>
        <v>0</v>
      </c>
      <c r="AE641">
        <f t="shared" si="265"/>
        <v>1</v>
      </c>
      <c r="AF641">
        <f t="shared" si="266"/>
        <v>0</v>
      </c>
      <c r="AG641">
        <f t="shared" si="267"/>
        <v>0</v>
      </c>
      <c r="AH641">
        <f t="shared" si="268"/>
        <v>0</v>
      </c>
      <c r="AI641">
        <f t="shared" si="269"/>
        <v>0</v>
      </c>
      <c r="AJ641">
        <f t="shared" si="270"/>
        <v>0</v>
      </c>
      <c r="AK641">
        <f t="shared" si="271"/>
        <v>0</v>
      </c>
      <c r="AL641">
        <f t="shared" si="272"/>
        <v>1</v>
      </c>
      <c r="AM641">
        <f t="shared" si="273"/>
        <v>0</v>
      </c>
      <c r="AN641">
        <f t="shared" si="274"/>
        <v>0</v>
      </c>
      <c r="AO641">
        <f t="shared" si="275"/>
        <v>1</v>
      </c>
      <c r="AP641">
        <f t="shared" si="276"/>
        <v>0</v>
      </c>
      <c r="AQ641">
        <f t="shared" si="277"/>
        <v>0</v>
      </c>
      <c r="AR641">
        <f t="shared" si="278"/>
        <v>0</v>
      </c>
      <c r="AS641">
        <f t="shared" si="279"/>
        <v>1</v>
      </c>
    </row>
    <row r="642" spans="2:45" x14ac:dyDescent="0.3">
      <c r="B642">
        <v>641</v>
      </c>
      <c r="C642" s="1">
        <v>41184</v>
      </c>
      <c r="D642">
        <v>4</v>
      </c>
      <c r="E642">
        <v>1</v>
      </c>
      <c r="F642">
        <v>10</v>
      </c>
      <c r="G642">
        <v>2</v>
      </c>
      <c r="H642">
        <v>3</v>
      </c>
      <c r="I642">
        <v>315</v>
      </c>
      <c r="J642">
        <v>4324</v>
      </c>
      <c r="K642" s="8">
        <v>4639</v>
      </c>
      <c r="L642">
        <v>24.224153000000001</v>
      </c>
      <c r="M642">
        <v>27.11665</v>
      </c>
      <c r="N642">
        <v>87.166700000000006</v>
      </c>
      <c r="O642">
        <v>6.9998250000000004</v>
      </c>
      <c r="P642">
        <v>0</v>
      </c>
      <c r="Q642">
        <v>1</v>
      </c>
      <c r="R642">
        <f t="shared" si="252"/>
        <v>0</v>
      </c>
      <c r="S642">
        <f t="shared" si="253"/>
        <v>0</v>
      </c>
      <c r="T642">
        <f t="shared" si="254"/>
        <v>0</v>
      </c>
      <c r="U642">
        <f t="shared" si="255"/>
        <v>0</v>
      </c>
      <c r="V642">
        <f t="shared" si="256"/>
        <v>0</v>
      </c>
      <c r="W642">
        <f t="shared" si="257"/>
        <v>0</v>
      </c>
      <c r="X642">
        <f t="shared" si="258"/>
        <v>0</v>
      </c>
      <c r="Y642">
        <f t="shared" si="259"/>
        <v>0</v>
      </c>
      <c r="Z642">
        <f t="shared" si="260"/>
        <v>0</v>
      </c>
      <c r="AA642">
        <f t="shared" si="261"/>
        <v>1</v>
      </c>
      <c r="AB642">
        <f t="shared" si="262"/>
        <v>0</v>
      </c>
      <c r="AC642">
        <f t="shared" si="263"/>
        <v>0</v>
      </c>
      <c r="AD642">
        <f t="shared" si="264"/>
        <v>0</v>
      </c>
      <c r="AE642">
        <f t="shared" si="265"/>
        <v>0</v>
      </c>
      <c r="AF642">
        <f t="shared" si="266"/>
        <v>1</v>
      </c>
      <c r="AG642">
        <f t="shared" si="267"/>
        <v>0</v>
      </c>
      <c r="AH642">
        <f t="shared" si="268"/>
        <v>0</v>
      </c>
      <c r="AI642">
        <f t="shared" si="269"/>
        <v>0</v>
      </c>
      <c r="AJ642">
        <f t="shared" si="270"/>
        <v>0</v>
      </c>
      <c r="AK642">
        <f t="shared" si="271"/>
        <v>0</v>
      </c>
      <c r="AL642">
        <f t="shared" si="272"/>
        <v>0</v>
      </c>
      <c r="AM642">
        <f t="shared" si="273"/>
        <v>1</v>
      </c>
      <c r="AN642">
        <f t="shared" si="274"/>
        <v>0</v>
      </c>
      <c r="AO642">
        <f t="shared" si="275"/>
        <v>1</v>
      </c>
      <c r="AP642">
        <f t="shared" si="276"/>
        <v>0</v>
      </c>
      <c r="AQ642">
        <f t="shared" si="277"/>
        <v>0</v>
      </c>
      <c r="AR642">
        <f t="shared" si="278"/>
        <v>0</v>
      </c>
      <c r="AS642">
        <f t="shared" si="279"/>
        <v>1</v>
      </c>
    </row>
    <row r="643" spans="2:45" x14ac:dyDescent="0.3">
      <c r="B643">
        <v>642</v>
      </c>
      <c r="C643" s="1">
        <v>41185</v>
      </c>
      <c r="D643">
        <v>4</v>
      </c>
      <c r="E643">
        <v>1</v>
      </c>
      <c r="F643">
        <v>10</v>
      </c>
      <c r="G643">
        <v>3</v>
      </c>
      <c r="H643">
        <v>2</v>
      </c>
      <c r="I643">
        <v>728</v>
      </c>
      <c r="J643">
        <v>6844</v>
      </c>
      <c r="K643" s="8">
        <v>7572</v>
      </c>
      <c r="L643">
        <v>26.9575</v>
      </c>
      <c r="M643">
        <v>29.95665</v>
      </c>
      <c r="N643">
        <v>79.375</v>
      </c>
      <c r="O643">
        <v>4.4585686000000004</v>
      </c>
      <c r="P643">
        <v>0</v>
      </c>
      <c r="Q643">
        <v>1</v>
      </c>
      <c r="R643">
        <f t="shared" ref="R643:R706" si="280">IF($F643=1,1,0)</f>
        <v>0</v>
      </c>
      <c r="S643">
        <f t="shared" ref="S643:S706" si="281">IF($F643=2,1,0)</f>
        <v>0</v>
      </c>
      <c r="T643">
        <f t="shared" ref="T643:T706" si="282">IF($F643=3,1,0)</f>
        <v>0</v>
      </c>
      <c r="U643">
        <f t="shared" ref="U643:U706" si="283">IF($F643=4,1,0)</f>
        <v>0</v>
      </c>
      <c r="V643">
        <f t="shared" ref="V643:V706" si="284">IF($F643=5,1,0)</f>
        <v>0</v>
      </c>
      <c r="W643">
        <f t="shared" ref="W643:W706" si="285">IF($F643=6,1,0)</f>
        <v>0</v>
      </c>
      <c r="X643">
        <f t="shared" ref="X643:X706" si="286">IF($F643=7,1,0)</f>
        <v>0</v>
      </c>
      <c r="Y643">
        <f t="shared" ref="Y643:Y706" si="287">IF($F643=8,1,0)</f>
        <v>0</v>
      </c>
      <c r="Z643">
        <f t="shared" ref="Z643:Z706" si="288">IF($F643=9,1,0)</f>
        <v>0</v>
      </c>
      <c r="AA643">
        <f t="shared" ref="AA643:AA706" si="289">IF($F643=10,1,0)</f>
        <v>1</v>
      </c>
      <c r="AB643">
        <f t="shared" ref="AB643:AB706" si="290">IF($F643=11,1,0)</f>
        <v>0</v>
      </c>
      <c r="AC643">
        <f t="shared" ref="AC643:AC706" si="291">IF($F643=12,1,0)</f>
        <v>0</v>
      </c>
      <c r="AD643">
        <f t="shared" ref="AD643:AD706" si="292">IF($G643=0,1,0)</f>
        <v>0</v>
      </c>
      <c r="AE643">
        <f t="shared" ref="AE643:AE706" si="293">IF($G643=1,1,0)</f>
        <v>0</v>
      </c>
      <c r="AF643">
        <f t="shared" ref="AF643:AF706" si="294">IF($G643=2,1,0)</f>
        <v>0</v>
      </c>
      <c r="AG643">
        <f t="shared" ref="AG643:AG706" si="295">IF($G643=3,1,0)</f>
        <v>1</v>
      </c>
      <c r="AH643">
        <f t="shared" ref="AH643:AH706" si="296">IF($G643=4,1,0)</f>
        <v>0</v>
      </c>
      <c r="AI643">
        <f t="shared" ref="AI643:AI706" si="297">IF($G643=5,1,0)</f>
        <v>0</v>
      </c>
      <c r="AJ643">
        <f t="shared" ref="AJ643:AJ706" si="298">IF($G643=6,1,0)</f>
        <v>0</v>
      </c>
      <c r="AK643">
        <f t="shared" ref="AK643:AK706" si="299">IF($H643=1,1,0)</f>
        <v>0</v>
      </c>
      <c r="AL643">
        <f t="shared" ref="AL643:AL706" si="300">IF($H643=2,1,0)</f>
        <v>1</v>
      </c>
      <c r="AM643">
        <f t="shared" ref="AM643:AM706" si="301">IF($H643=3,1,0)</f>
        <v>0</v>
      </c>
      <c r="AN643">
        <f t="shared" ref="AN643:AN706" si="302">IF($E643=0,1,0)</f>
        <v>0</v>
      </c>
      <c r="AO643">
        <f t="shared" ref="AO643:AO706" si="303">IF($E643=1,1,0)</f>
        <v>1</v>
      </c>
      <c r="AP643">
        <f t="shared" ref="AP643:AP706" si="304">IF($D643=1,1,0)</f>
        <v>0</v>
      </c>
      <c r="AQ643">
        <f t="shared" ref="AQ643:AQ706" si="305">IF($D643=2,1,0)</f>
        <v>0</v>
      </c>
      <c r="AR643">
        <f t="shared" ref="AR643:AR706" si="306">IF($D643=3,1,0)</f>
        <v>0</v>
      </c>
      <c r="AS643">
        <f t="shared" ref="AS643:AS706" si="307">IF($D643=4,1,0)</f>
        <v>1</v>
      </c>
    </row>
    <row r="644" spans="2:45" x14ac:dyDescent="0.3">
      <c r="B644">
        <v>643</v>
      </c>
      <c r="C644" s="1">
        <v>41186</v>
      </c>
      <c r="D644">
        <v>4</v>
      </c>
      <c r="E644">
        <v>1</v>
      </c>
      <c r="F644">
        <v>10</v>
      </c>
      <c r="G644">
        <v>4</v>
      </c>
      <c r="H644">
        <v>2</v>
      </c>
      <c r="I644">
        <v>891</v>
      </c>
      <c r="J644">
        <v>6437</v>
      </c>
      <c r="K644" s="8">
        <v>7328</v>
      </c>
      <c r="L644">
        <v>26.9575</v>
      </c>
      <c r="M644">
        <v>30.39875</v>
      </c>
      <c r="N644">
        <v>72.291700000000006</v>
      </c>
      <c r="O644">
        <v>7.8755819999999996</v>
      </c>
      <c r="P644">
        <v>0</v>
      </c>
      <c r="Q644">
        <v>1</v>
      </c>
      <c r="R644">
        <f t="shared" si="280"/>
        <v>0</v>
      </c>
      <c r="S644">
        <f t="shared" si="281"/>
        <v>0</v>
      </c>
      <c r="T644">
        <f t="shared" si="282"/>
        <v>0</v>
      </c>
      <c r="U644">
        <f t="shared" si="283"/>
        <v>0</v>
      </c>
      <c r="V644">
        <f t="shared" si="284"/>
        <v>0</v>
      </c>
      <c r="W644">
        <f t="shared" si="285"/>
        <v>0</v>
      </c>
      <c r="X644">
        <f t="shared" si="286"/>
        <v>0</v>
      </c>
      <c r="Y644">
        <f t="shared" si="287"/>
        <v>0</v>
      </c>
      <c r="Z644">
        <f t="shared" si="288"/>
        <v>0</v>
      </c>
      <c r="AA644">
        <f t="shared" si="289"/>
        <v>1</v>
      </c>
      <c r="AB644">
        <f t="shared" si="290"/>
        <v>0</v>
      </c>
      <c r="AC644">
        <f t="shared" si="291"/>
        <v>0</v>
      </c>
      <c r="AD644">
        <f t="shared" si="292"/>
        <v>0</v>
      </c>
      <c r="AE644">
        <f t="shared" si="293"/>
        <v>0</v>
      </c>
      <c r="AF644">
        <f t="shared" si="294"/>
        <v>0</v>
      </c>
      <c r="AG644">
        <f t="shared" si="295"/>
        <v>0</v>
      </c>
      <c r="AH644">
        <f t="shared" si="296"/>
        <v>1</v>
      </c>
      <c r="AI644">
        <f t="shared" si="297"/>
        <v>0</v>
      </c>
      <c r="AJ644">
        <f t="shared" si="298"/>
        <v>0</v>
      </c>
      <c r="AK644">
        <f t="shared" si="299"/>
        <v>0</v>
      </c>
      <c r="AL644">
        <f t="shared" si="300"/>
        <v>1</v>
      </c>
      <c r="AM644">
        <f t="shared" si="301"/>
        <v>0</v>
      </c>
      <c r="AN644">
        <f t="shared" si="302"/>
        <v>0</v>
      </c>
      <c r="AO644">
        <f t="shared" si="303"/>
        <v>1</v>
      </c>
      <c r="AP644">
        <f t="shared" si="304"/>
        <v>0</v>
      </c>
      <c r="AQ644">
        <f t="shared" si="305"/>
        <v>0</v>
      </c>
      <c r="AR644">
        <f t="shared" si="306"/>
        <v>0</v>
      </c>
      <c r="AS644">
        <f t="shared" si="307"/>
        <v>1</v>
      </c>
    </row>
    <row r="645" spans="2:45" x14ac:dyDescent="0.3">
      <c r="B645">
        <v>644</v>
      </c>
      <c r="C645" s="1">
        <v>41187</v>
      </c>
      <c r="D645">
        <v>4</v>
      </c>
      <c r="E645">
        <v>1</v>
      </c>
      <c r="F645">
        <v>10</v>
      </c>
      <c r="G645">
        <v>5</v>
      </c>
      <c r="H645">
        <v>1</v>
      </c>
      <c r="I645">
        <v>1516</v>
      </c>
      <c r="J645">
        <v>6640</v>
      </c>
      <c r="K645" s="8">
        <v>8156</v>
      </c>
      <c r="L645">
        <v>25.215</v>
      </c>
      <c r="M645">
        <v>29.009350000000001</v>
      </c>
      <c r="N645">
        <v>62.75</v>
      </c>
      <c r="O645">
        <v>7.1254499999999998</v>
      </c>
      <c r="P645">
        <v>0</v>
      </c>
      <c r="Q645">
        <v>1</v>
      </c>
      <c r="R645">
        <f t="shared" si="280"/>
        <v>0</v>
      </c>
      <c r="S645">
        <f t="shared" si="281"/>
        <v>0</v>
      </c>
      <c r="T645">
        <f t="shared" si="282"/>
        <v>0</v>
      </c>
      <c r="U645">
        <f t="shared" si="283"/>
        <v>0</v>
      </c>
      <c r="V645">
        <f t="shared" si="284"/>
        <v>0</v>
      </c>
      <c r="W645">
        <f t="shared" si="285"/>
        <v>0</v>
      </c>
      <c r="X645">
        <f t="shared" si="286"/>
        <v>0</v>
      </c>
      <c r="Y645">
        <f t="shared" si="287"/>
        <v>0</v>
      </c>
      <c r="Z645">
        <f t="shared" si="288"/>
        <v>0</v>
      </c>
      <c r="AA645">
        <f t="shared" si="289"/>
        <v>1</v>
      </c>
      <c r="AB645">
        <f t="shared" si="290"/>
        <v>0</v>
      </c>
      <c r="AC645">
        <f t="shared" si="291"/>
        <v>0</v>
      </c>
      <c r="AD645">
        <f t="shared" si="292"/>
        <v>0</v>
      </c>
      <c r="AE645">
        <f t="shared" si="293"/>
        <v>0</v>
      </c>
      <c r="AF645">
        <f t="shared" si="294"/>
        <v>0</v>
      </c>
      <c r="AG645">
        <f t="shared" si="295"/>
        <v>0</v>
      </c>
      <c r="AH645">
        <f t="shared" si="296"/>
        <v>0</v>
      </c>
      <c r="AI645">
        <f t="shared" si="297"/>
        <v>1</v>
      </c>
      <c r="AJ645">
        <f t="shared" si="298"/>
        <v>0</v>
      </c>
      <c r="AK645">
        <f t="shared" si="299"/>
        <v>1</v>
      </c>
      <c r="AL645">
        <f t="shared" si="300"/>
        <v>0</v>
      </c>
      <c r="AM645">
        <f t="shared" si="301"/>
        <v>0</v>
      </c>
      <c r="AN645">
        <f t="shared" si="302"/>
        <v>0</v>
      </c>
      <c r="AO645">
        <f t="shared" si="303"/>
        <v>1</v>
      </c>
      <c r="AP645">
        <f t="shared" si="304"/>
        <v>0</v>
      </c>
      <c r="AQ645">
        <f t="shared" si="305"/>
        <v>0</v>
      </c>
      <c r="AR645">
        <f t="shared" si="306"/>
        <v>0</v>
      </c>
      <c r="AS645">
        <f t="shared" si="307"/>
        <v>1</v>
      </c>
    </row>
    <row r="646" spans="2:45" x14ac:dyDescent="0.3">
      <c r="B646">
        <v>645</v>
      </c>
      <c r="C646" s="1">
        <v>41188</v>
      </c>
      <c r="D646">
        <v>4</v>
      </c>
      <c r="E646">
        <v>1</v>
      </c>
      <c r="F646">
        <v>10</v>
      </c>
      <c r="G646">
        <v>6</v>
      </c>
      <c r="H646">
        <v>1</v>
      </c>
      <c r="I646">
        <v>3031</v>
      </c>
      <c r="J646">
        <v>4934</v>
      </c>
      <c r="K646" s="8">
        <v>7965</v>
      </c>
      <c r="L646">
        <v>22.720846999999999</v>
      </c>
      <c r="M646">
        <v>26.92605</v>
      </c>
      <c r="N646">
        <v>66.416700000000006</v>
      </c>
      <c r="O646">
        <v>17.957674999999998</v>
      </c>
      <c r="P646">
        <v>0</v>
      </c>
      <c r="Q646">
        <v>0</v>
      </c>
      <c r="R646">
        <f t="shared" si="280"/>
        <v>0</v>
      </c>
      <c r="S646">
        <f t="shared" si="281"/>
        <v>0</v>
      </c>
      <c r="T646">
        <f t="shared" si="282"/>
        <v>0</v>
      </c>
      <c r="U646">
        <f t="shared" si="283"/>
        <v>0</v>
      </c>
      <c r="V646">
        <f t="shared" si="284"/>
        <v>0</v>
      </c>
      <c r="W646">
        <f t="shared" si="285"/>
        <v>0</v>
      </c>
      <c r="X646">
        <f t="shared" si="286"/>
        <v>0</v>
      </c>
      <c r="Y646">
        <f t="shared" si="287"/>
        <v>0</v>
      </c>
      <c r="Z646">
        <f t="shared" si="288"/>
        <v>0</v>
      </c>
      <c r="AA646">
        <f t="shared" si="289"/>
        <v>1</v>
      </c>
      <c r="AB646">
        <f t="shared" si="290"/>
        <v>0</v>
      </c>
      <c r="AC646">
        <f t="shared" si="291"/>
        <v>0</v>
      </c>
      <c r="AD646">
        <f t="shared" si="292"/>
        <v>0</v>
      </c>
      <c r="AE646">
        <f t="shared" si="293"/>
        <v>0</v>
      </c>
      <c r="AF646">
        <f t="shared" si="294"/>
        <v>0</v>
      </c>
      <c r="AG646">
        <f t="shared" si="295"/>
        <v>0</v>
      </c>
      <c r="AH646">
        <f t="shared" si="296"/>
        <v>0</v>
      </c>
      <c r="AI646">
        <f t="shared" si="297"/>
        <v>0</v>
      </c>
      <c r="AJ646">
        <f t="shared" si="298"/>
        <v>1</v>
      </c>
      <c r="AK646">
        <f t="shared" si="299"/>
        <v>1</v>
      </c>
      <c r="AL646">
        <f t="shared" si="300"/>
        <v>0</v>
      </c>
      <c r="AM646">
        <f t="shared" si="301"/>
        <v>0</v>
      </c>
      <c r="AN646">
        <f t="shared" si="302"/>
        <v>0</v>
      </c>
      <c r="AO646">
        <f t="shared" si="303"/>
        <v>1</v>
      </c>
      <c r="AP646">
        <f t="shared" si="304"/>
        <v>0</v>
      </c>
      <c r="AQ646">
        <f t="shared" si="305"/>
        <v>0</v>
      </c>
      <c r="AR646">
        <f t="shared" si="306"/>
        <v>0</v>
      </c>
      <c r="AS646">
        <f t="shared" si="307"/>
        <v>1</v>
      </c>
    </row>
    <row r="647" spans="2:45" x14ac:dyDescent="0.3">
      <c r="B647">
        <v>646</v>
      </c>
      <c r="C647" s="1">
        <v>41189</v>
      </c>
      <c r="D647">
        <v>4</v>
      </c>
      <c r="E647">
        <v>1</v>
      </c>
      <c r="F647">
        <v>10</v>
      </c>
      <c r="G647">
        <v>0</v>
      </c>
      <c r="H647">
        <v>2</v>
      </c>
      <c r="I647">
        <v>781</v>
      </c>
      <c r="J647">
        <v>2729</v>
      </c>
      <c r="K647" s="8">
        <v>3510</v>
      </c>
      <c r="L647">
        <v>17.049153</v>
      </c>
      <c r="M647">
        <v>20.990649999999999</v>
      </c>
      <c r="N647">
        <v>70.833299999999994</v>
      </c>
      <c r="O647">
        <v>9.4578539999999993</v>
      </c>
      <c r="P647">
        <v>0</v>
      </c>
      <c r="Q647">
        <v>0</v>
      </c>
      <c r="R647">
        <f t="shared" si="280"/>
        <v>0</v>
      </c>
      <c r="S647">
        <f t="shared" si="281"/>
        <v>0</v>
      </c>
      <c r="T647">
        <f t="shared" si="282"/>
        <v>0</v>
      </c>
      <c r="U647">
        <f t="shared" si="283"/>
        <v>0</v>
      </c>
      <c r="V647">
        <f t="shared" si="284"/>
        <v>0</v>
      </c>
      <c r="W647">
        <f t="shared" si="285"/>
        <v>0</v>
      </c>
      <c r="X647">
        <f t="shared" si="286"/>
        <v>0</v>
      </c>
      <c r="Y647">
        <f t="shared" si="287"/>
        <v>0</v>
      </c>
      <c r="Z647">
        <f t="shared" si="288"/>
        <v>0</v>
      </c>
      <c r="AA647">
        <f t="shared" si="289"/>
        <v>1</v>
      </c>
      <c r="AB647">
        <f t="shared" si="290"/>
        <v>0</v>
      </c>
      <c r="AC647">
        <f t="shared" si="291"/>
        <v>0</v>
      </c>
      <c r="AD647">
        <f t="shared" si="292"/>
        <v>1</v>
      </c>
      <c r="AE647">
        <f t="shared" si="293"/>
        <v>0</v>
      </c>
      <c r="AF647">
        <f t="shared" si="294"/>
        <v>0</v>
      </c>
      <c r="AG647">
        <f t="shared" si="295"/>
        <v>0</v>
      </c>
      <c r="AH647">
        <f t="shared" si="296"/>
        <v>0</v>
      </c>
      <c r="AI647">
        <f t="shared" si="297"/>
        <v>0</v>
      </c>
      <c r="AJ647">
        <f t="shared" si="298"/>
        <v>0</v>
      </c>
      <c r="AK647">
        <f t="shared" si="299"/>
        <v>0</v>
      </c>
      <c r="AL647">
        <f t="shared" si="300"/>
        <v>1</v>
      </c>
      <c r="AM647">
        <f t="shared" si="301"/>
        <v>0</v>
      </c>
      <c r="AN647">
        <f t="shared" si="302"/>
        <v>0</v>
      </c>
      <c r="AO647">
        <f t="shared" si="303"/>
        <v>1</v>
      </c>
      <c r="AP647">
        <f t="shared" si="304"/>
        <v>0</v>
      </c>
      <c r="AQ647">
        <f t="shared" si="305"/>
        <v>0</v>
      </c>
      <c r="AR647">
        <f t="shared" si="306"/>
        <v>0</v>
      </c>
      <c r="AS647">
        <f t="shared" si="307"/>
        <v>1</v>
      </c>
    </row>
    <row r="648" spans="2:45" x14ac:dyDescent="0.3">
      <c r="B648">
        <v>647</v>
      </c>
      <c r="C648" s="1">
        <v>41190</v>
      </c>
      <c r="D648">
        <v>4</v>
      </c>
      <c r="E648">
        <v>1</v>
      </c>
      <c r="F648">
        <v>10</v>
      </c>
      <c r="G648">
        <v>1</v>
      </c>
      <c r="H648">
        <v>2</v>
      </c>
      <c r="I648">
        <v>874</v>
      </c>
      <c r="J648">
        <v>4604</v>
      </c>
      <c r="K648" s="8">
        <v>5478</v>
      </c>
      <c r="L648">
        <v>15.716653000000001</v>
      </c>
      <c r="M648">
        <v>19.380400000000002</v>
      </c>
      <c r="N648">
        <v>70.958299999999994</v>
      </c>
      <c r="O648">
        <v>12.708493000000001</v>
      </c>
      <c r="P648">
        <v>1</v>
      </c>
      <c r="Q648">
        <v>0</v>
      </c>
      <c r="R648">
        <f t="shared" si="280"/>
        <v>0</v>
      </c>
      <c r="S648">
        <f t="shared" si="281"/>
        <v>0</v>
      </c>
      <c r="T648">
        <f t="shared" si="282"/>
        <v>0</v>
      </c>
      <c r="U648">
        <f t="shared" si="283"/>
        <v>0</v>
      </c>
      <c r="V648">
        <f t="shared" si="284"/>
        <v>0</v>
      </c>
      <c r="W648">
        <f t="shared" si="285"/>
        <v>0</v>
      </c>
      <c r="X648">
        <f t="shared" si="286"/>
        <v>0</v>
      </c>
      <c r="Y648">
        <f t="shared" si="287"/>
        <v>0</v>
      </c>
      <c r="Z648">
        <f t="shared" si="288"/>
        <v>0</v>
      </c>
      <c r="AA648">
        <f t="shared" si="289"/>
        <v>1</v>
      </c>
      <c r="AB648">
        <f t="shared" si="290"/>
        <v>0</v>
      </c>
      <c r="AC648">
        <f t="shared" si="291"/>
        <v>0</v>
      </c>
      <c r="AD648">
        <f t="shared" si="292"/>
        <v>0</v>
      </c>
      <c r="AE648">
        <f t="shared" si="293"/>
        <v>1</v>
      </c>
      <c r="AF648">
        <f t="shared" si="294"/>
        <v>0</v>
      </c>
      <c r="AG648">
        <f t="shared" si="295"/>
        <v>0</v>
      </c>
      <c r="AH648">
        <f t="shared" si="296"/>
        <v>0</v>
      </c>
      <c r="AI648">
        <f t="shared" si="297"/>
        <v>0</v>
      </c>
      <c r="AJ648">
        <f t="shared" si="298"/>
        <v>0</v>
      </c>
      <c r="AK648">
        <f t="shared" si="299"/>
        <v>0</v>
      </c>
      <c r="AL648">
        <f t="shared" si="300"/>
        <v>1</v>
      </c>
      <c r="AM648">
        <f t="shared" si="301"/>
        <v>0</v>
      </c>
      <c r="AN648">
        <f t="shared" si="302"/>
        <v>0</v>
      </c>
      <c r="AO648">
        <f t="shared" si="303"/>
        <v>1</v>
      </c>
      <c r="AP648">
        <f t="shared" si="304"/>
        <v>0</v>
      </c>
      <c r="AQ648">
        <f t="shared" si="305"/>
        <v>0</v>
      </c>
      <c r="AR648">
        <f t="shared" si="306"/>
        <v>0</v>
      </c>
      <c r="AS648">
        <f t="shared" si="307"/>
        <v>1</v>
      </c>
    </row>
    <row r="649" spans="2:45" x14ac:dyDescent="0.3">
      <c r="B649">
        <v>648</v>
      </c>
      <c r="C649" s="1">
        <v>41191</v>
      </c>
      <c r="D649">
        <v>4</v>
      </c>
      <c r="E649">
        <v>1</v>
      </c>
      <c r="F649">
        <v>10</v>
      </c>
      <c r="G649">
        <v>2</v>
      </c>
      <c r="H649">
        <v>2</v>
      </c>
      <c r="I649">
        <v>601</v>
      </c>
      <c r="J649">
        <v>5791</v>
      </c>
      <c r="K649" s="8">
        <v>6392</v>
      </c>
      <c r="L649">
        <v>18.313347</v>
      </c>
      <c r="M649">
        <v>21.9056</v>
      </c>
      <c r="N649">
        <v>76.166700000000006</v>
      </c>
      <c r="O649">
        <v>12.7501</v>
      </c>
      <c r="P649">
        <v>0</v>
      </c>
      <c r="Q649">
        <v>1</v>
      </c>
      <c r="R649">
        <f t="shared" si="280"/>
        <v>0</v>
      </c>
      <c r="S649">
        <f t="shared" si="281"/>
        <v>0</v>
      </c>
      <c r="T649">
        <f t="shared" si="282"/>
        <v>0</v>
      </c>
      <c r="U649">
        <f t="shared" si="283"/>
        <v>0</v>
      </c>
      <c r="V649">
        <f t="shared" si="284"/>
        <v>0</v>
      </c>
      <c r="W649">
        <f t="shared" si="285"/>
        <v>0</v>
      </c>
      <c r="X649">
        <f t="shared" si="286"/>
        <v>0</v>
      </c>
      <c r="Y649">
        <f t="shared" si="287"/>
        <v>0</v>
      </c>
      <c r="Z649">
        <f t="shared" si="288"/>
        <v>0</v>
      </c>
      <c r="AA649">
        <f t="shared" si="289"/>
        <v>1</v>
      </c>
      <c r="AB649">
        <f t="shared" si="290"/>
        <v>0</v>
      </c>
      <c r="AC649">
        <f t="shared" si="291"/>
        <v>0</v>
      </c>
      <c r="AD649">
        <f t="shared" si="292"/>
        <v>0</v>
      </c>
      <c r="AE649">
        <f t="shared" si="293"/>
        <v>0</v>
      </c>
      <c r="AF649">
        <f t="shared" si="294"/>
        <v>1</v>
      </c>
      <c r="AG649">
        <f t="shared" si="295"/>
        <v>0</v>
      </c>
      <c r="AH649">
        <f t="shared" si="296"/>
        <v>0</v>
      </c>
      <c r="AI649">
        <f t="shared" si="297"/>
        <v>0</v>
      </c>
      <c r="AJ649">
        <f t="shared" si="298"/>
        <v>0</v>
      </c>
      <c r="AK649">
        <f t="shared" si="299"/>
        <v>0</v>
      </c>
      <c r="AL649">
        <f t="shared" si="300"/>
        <v>1</v>
      </c>
      <c r="AM649">
        <f t="shared" si="301"/>
        <v>0</v>
      </c>
      <c r="AN649">
        <f t="shared" si="302"/>
        <v>0</v>
      </c>
      <c r="AO649">
        <f t="shared" si="303"/>
        <v>1</v>
      </c>
      <c r="AP649">
        <f t="shared" si="304"/>
        <v>0</v>
      </c>
      <c r="AQ649">
        <f t="shared" si="305"/>
        <v>0</v>
      </c>
      <c r="AR649">
        <f t="shared" si="306"/>
        <v>0</v>
      </c>
      <c r="AS649">
        <f t="shared" si="307"/>
        <v>1</v>
      </c>
    </row>
    <row r="650" spans="2:45" x14ac:dyDescent="0.3">
      <c r="B650">
        <v>649</v>
      </c>
      <c r="C650" s="1">
        <v>41192</v>
      </c>
      <c r="D650">
        <v>4</v>
      </c>
      <c r="E650">
        <v>1</v>
      </c>
      <c r="F650">
        <v>10</v>
      </c>
      <c r="G650">
        <v>3</v>
      </c>
      <c r="H650">
        <v>1</v>
      </c>
      <c r="I650">
        <v>780</v>
      </c>
      <c r="J650">
        <v>6911</v>
      </c>
      <c r="K650" s="8">
        <v>7691</v>
      </c>
      <c r="L650">
        <v>21.080846999999999</v>
      </c>
      <c r="M650">
        <v>25.1571</v>
      </c>
      <c r="N650">
        <v>63.083300000000001</v>
      </c>
      <c r="O650">
        <v>12.584007</v>
      </c>
      <c r="P650">
        <v>0</v>
      </c>
      <c r="Q650">
        <v>1</v>
      </c>
      <c r="R650">
        <f t="shared" si="280"/>
        <v>0</v>
      </c>
      <c r="S650">
        <f t="shared" si="281"/>
        <v>0</v>
      </c>
      <c r="T650">
        <f t="shared" si="282"/>
        <v>0</v>
      </c>
      <c r="U650">
        <f t="shared" si="283"/>
        <v>0</v>
      </c>
      <c r="V650">
        <f t="shared" si="284"/>
        <v>0</v>
      </c>
      <c r="W650">
        <f t="shared" si="285"/>
        <v>0</v>
      </c>
      <c r="X650">
        <f t="shared" si="286"/>
        <v>0</v>
      </c>
      <c r="Y650">
        <f t="shared" si="287"/>
        <v>0</v>
      </c>
      <c r="Z650">
        <f t="shared" si="288"/>
        <v>0</v>
      </c>
      <c r="AA650">
        <f t="shared" si="289"/>
        <v>1</v>
      </c>
      <c r="AB650">
        <f t="shared" si="290"/>
        <v>0</v>
      </c>
      <c r="AC650">
        <f t="shared" si="291"/>
        <v>0</v>
      </c>
      <c r="AD650">
        <f t="shared" si="292"/>
        <v>0</v>
      </c>
      <c r="AE650">
        <f t="shared" si="293"/>
        <v>0</v>
      </c>
      <c r="AF650">
        <f t="shared" si="294"/>
        <v>0</v>
      </c>
      <c r="AG650">
        <f t="shared" si="295"/>
        <v>1</v>
      </c>
      <c r="AH650">
        <f t="shared" si="296"/>
        <v>0</v>
      </c>
      <c r="AI650">
        <f t="shared" si="297"/>
        <v>0</v>
      </c>
      <c r="AJ650">
        <f t="shared" si="298"/>
        <v>0</v>
      </c>
      <c r="AK650">
        <f t="shared" si="299"/>
        <v>1</v>
      </c>
      <c r="AL650">
        <f t="shared" si="300"/>
        <v>0</v>
      </c>
      <c r="AM650">
        <f t="shared" si="301"/>
        <v>0</v>
      </c>
      <c r="AN650">
        <f t="shared" si="302"/>
        <v>0</v>
      </c>
      <c r="AO650">
        <f t="shared" si="303"/>
        <v>1</v>
      </c>
      <c r="AP650">
        <f t="shared" si="304"/>
        <v>0</v>
      </c>
      <c r="AQ650">
        <f t="shared" si="305"/>
        <v>0</v>
      </c>
      <c r="AR650">
        <f t="shared" si="306"/>
        <v>0</v>
      </c>
      <c r="AS650">
        <f t="shared" si="307"/>
        <v>1</v>
      </c>
    </row>
    <row r="651" spans="2:45" x14ac:dyDescent="0.3">
      <c r="B651">
        <v>650</v>
      </c>
      <c r="C651" s="1">
        <v>41193</v>
      </c>
      <c r="D651">
        <v>4</v>
      </c>
      <c r="E651">
        <v>1</v>
      </c>
      <c r="F651">
        <v>10</v>
      </c>
      <c r="G651">
        <v>4</v>
      </c>
      <c r="H651">
        <v>1</v>
      </c>
      <c r="I651">
        <v>834</v>
      </c>
      <c r="J651">
        <v>6736</v>
      </c>
      <c r="K651" s="8">
        <v>7570</v>
      </c>
      <c r="L651">
        <v>17.835000000000001</v>
      </c>
      <c r="M651">
        <v>21.558350000000001</v>
      </c>
      <c r="N651">
        <v>46.333300000000001</v>
      </c>
      <c r="O651">
        <v>12.166931999999999</v>
      </c>
      <c r="P651">
        <v>0</v>
      </c>
      <c r="Q651">
        <v>1</v>
      </c>
      <c r="R651">
        <f t="shared" si="280"/>
        <v>0</v>
      </c>
      <c r="S651">
        <f t="shared" si="281"/>
        <v>0</v>
      </c>
      <c r="T651">
        <f t="shared" si="282"/>
        <v>0</v>
      </c>
      <c r="U651">
        <f t="shared" si="283"/>
        <v>0</v>
      </c>
      <c r="V651">
        <f t="shared" si="284"/>
        <v>0</v>
      </c>
      <c r="W651">
        <f t="shared" si="285"/>
        <v>0</v>
      </c>
      <c r="X651">
        <f t="shared" si="286"/>
        <v>0</v>
      </c>
      <c r="Y651">
        <f t="shared" si="287"/>
        <v>0</v>
      </c>
      <c r="Z651">
        <f t="shared" si="288"/>
        <v>0</v>
      </c>
      <c r="AA651">
        <f t="shared" si="289"/>
        <v>1</v>
      </c>
      <c r="AB651">
        <f t="shared" si="290"/>
        <v>0</v>
      </c>
      <c r="AC651">
        <f t="shared" si="291"/>
        <v>0</v>
      </c>
      <c r="AD651">
        <f t="shared" si="292"/>
        <v>0</v>
      </c>
      <c r="AE651">
        <f t="shared" si="293"/>
        <v>0</v>
      </c>
      <c r="AF651">
        <f t="shared" si="294"/>
        <v>0</v>
      </c>
      <c r="AG651">
        <f t="shared" si="295"/>
        <v>0</v>
      </c>
      <c r="AH651">
        <f t="shared" si="296"/>
        <v>1</v>
      </c>
      <c r="AI651">
        <f t="shared" si="297"/>
        <v>0</v>
      </c>
      <c r="AJ651">
        <f t="shared" si="298"/>
        <v>0</v>
      </c>
      <c r="AK651">
        <f t="shared" si="299"/>
        <v>1</v>
      </c>
      <c r="AL651">
        <f t="shared" si="300"/>
        <v>0</v>
      </c>
      <c r="AM651">
        <f t="shared" si="301"/>
        <v>0</v>
      </c>
      <c r="AN651">
        <f t="shared" si="302"/>
        <v>0</v>
      </c>
      <c r="AO651">
        <f t="shared" si="303"/>
        <v>1</v>
      </c>
      <c r="AP651">
        <f t="shared" si="304"/>
        <v>0</v>
      </c>
      <c r="AQ651">
        <f t="shared" si="305"/>
        <v>0</v>
      </c>
      <c r="AR651">
        <f t="shared" si="306"/>
        <v>0</v>
      </c>
      <c r="AS651">
        <f t="shared" si="307"/>
        <v>1</v>
      </c>
    </row>
    <row r="652" spans="2:45" x14ac:dyDescent="0.3">
      <c r="B652">
        <v>651</v>
      </c>
      <c r="C652" s="1">
        <v>41194</v>
      </c>
      <c r="D652">
        <v>4</v>
      </c>
      <c r="E652">
        <v>1</v>
      </c>
      <c r="F652">
        <v>10</v>
      </c>
      <c r="G652">
        <v>5</v>
      </c>
      <c r="H652">
        <v>1</v>
      </c>
      <c r="I652">
        <v>1060</v>
      </c>
      <c r="J652">
        <v>6222</v>
      </c>
      <c r="K652" s="8">
        <v>7282</v>
      </c>
      <c r="L652">
        <v>17.9375</v>
      </c>
      <c r="M652">
        <v>21.653549999999999</v>
      </c>
      <c r="N652">
        <v>53.916699999999999</v>
      </c>
      <c r="O652">
        <v>15.751163999999999</v>
      </c>
      <c r="P652">
        <v>0</v>
      </c>
      <c r="Q652">
        <v>1</v>
      </c>
      <c r="R652">
        <f t="shared" si="280"/>
        <v>0</v>
      </c>
      <c r="S652">
        <f t="shared" si="281"/>
        <v>0</v>
      </c>
      <c r="T652">
        <f t="shared" si="282"/>
        <v>0</v>
      </c>
      <c r="U652">
        <f t="shared" si="283"/>
        <v>0</v>
      </c>
      <c r="V652">
        <f t="shared" si="284"/>
        <v>0</v>
      </c>
      <c r="W652">
        <f t="shared" si="285"/>
        <v>0</v>
      </c>
      <c r="X652">
        <f t="shared" si="286"/>
        <v>0</v>
      </c>
      <c r="Y652">
        <f t="shared" si="287"/>
        <v>0</v>
      </c>
      <c r="Z652">
        <f t="shared" si="288"/>
        <v>0</v>
      </c>
      <c r="AA652">
        <f t="shared" si="289"/>
        <v>1</v>
      </c>
      <c r="AB652">
        <f t="shared" si="290"/>
        <v>0</v>
      </c>
      <c r="AC652">
        <f t="shared" si="291"/>
        <v>0</v>
      </c>
      <c r="AD652">
        <f t="shared" si="292"/>
        <v>0</v>
      </c>
      <c r="AE652">
        <f t="shared" si="293"/>
        <v>0</v>
      </c>
      <c r="AF652">
        <f t="shared" si="294"/>
        <v>0</v>
      </c>
      <c r="AG652">
        <f t="shared" si="295"/>
        <v>0</v>
      </c>
      <c r="AH652">
        <f t="shared" si="296"/>
        <v>0</v>
      </c>
      <c r="AI652">
        <f t="shared" si="297"/>
        <v>1</v>
      </c>
      <c r="AJ652">
        <f t="shared" si="298"/>
        <v>0</v>
      </c>
      <c r="AK652">
        <f t="shared" si="299"/>
        <v>1</v>
      </c>
      <c r="AL652">
        <f t="shared" si="300"/>
        <v>0</v>
      </c>
      <c r="AM652">
        <f t="shared" si="301"/>
        <v>0</v>
      </c>
      <c r="AN652">
        <f t="shared" si="302"/>
        <v>0</v>
      </c>
      <c r="AO652">
        <f t="shared" si="303"/>
        <v>1</v>
      </c>
      <c r="AP652">
        <f t="shared" si="304"/>
        <v>0</v>
      </c>
      <c r="AQ652">
        <f t="shared" si="305"/>
        <v>0</v>
      </c>
      <c r="AR652">
        <f t="shared" si="306"/>
        <v>0</v>
      </c>
      <c r="AS652">
        <f t="shared" si="307"/>
        <v>1</v>
      </c>
    </row>
    <row r="653" spans="2:45" x14ac:dyDescent="0.3">
      <c r="B653">
        <v>652</v>
      </c>
      <c r="C653" s="1">
        <v>41195</v>
      </c>
      <c r="D653">
        <v>4</v>
      </c>
      <c r="E653">
        <v>1</v>
      </c>
      <c r="F653">
        <v>10</v>
      </c>
      <c r="G653">
        <v>6</v>
      </c>
      <c r="H653">
        <v>1</v>
      </c>
      <c r="I653">
        <v>2252</v>
      </c>
      <c r="J653">
        <v>4857</v>
      </c>
      <c r="K653" s="8">
        <v>7109</v>
      </c>
      <c r="L653">
        <v>16.126653000000001</v>
      </c>
      <c r="M653">
        <v>19.569800000000001</v>
      </c>
      <c r="N653">
        <v>49.458300000000001</v>
      </c>
      <c r="O653">
        <v>9.7915139999999994</v>
      </c>
      <c r="P653">
        <v>0</v>
      </c>
      <c r="Q653">
        <v>0</v>
      </c>
      <c r="R653">
        <f t="shared" si="280"/>
        <v>0</v>
      </c>
      <c r="S653">
        <f t="shared" si="281"/>
        <v>0</v>
      </c>
      <c r="T653">
        <f t="shared" si="282"/>
        <v>0</v>
      </c>
      <c r="U653">
        <f t="shared" si="283"/>
        <v>0</v>
      </c>
      <c r="V653">
        <f t="shared" si="284"/>
        <v>0</v>
      </c>
      <c r="W653">
        <f t="shared" si="285"/>
        <v>0</v>
      </c>
      <c r="X653">
        <f t="shared" si="286"/>
        <v>0</v>
      </c>
      <c r="Y653">
        <f t="shared" si="287"/>
        <v>0</v>
      </c>
      <c r="Z653">
        <f t="shared" si="288"/>
        <v>0</v>
      </c>
      <c r="AA653">
        <f t="shared" si="289"/>
        <v>1</v>
      </c>
      <c r="AB653">
        <f t="shared" si="290"/>
        <v>0</v>
      </c>
      <c r="AC653">
        <f t="shared" si="291"/>
        <v>0</v>
      </c>
      <c r="AD653">
        <f t="shared" si="292"/>
        <v>0</v>
      </c>
      <c r="AE653">
        <f t="shared" si="293"/>
        <v>0</v>
      </c>
      <c r="AF653">
        <f t="shared" si="294"/>
        <v>0</v>
      </c>
      <c r="AG653">
        <f t="shared" si="295"/>
        <v>0</v>
      </c>
      <c r="AH653">
        <f t="shared" si="296"/>
        <v>0</v>
      </c>
      <c r="AI653">
        <f t="shared" si="297"/>
        <v>0</v>
      </c>
      <c r="AJ653">
        <f t="shared" si="298"/>
        <v>1</v>
      </c>
      <c r="AK653">
        <f t="shared" si="299"/>
        <v>1</v>
      </c>
      <c r="AL653">
        <f t="shared" si="300"/>
        <v>0</v>
      </c>
      <c r="AM653">
        <f t="shared" si="301"/>
        <v>0</v>
      </c>
      <c r="AN653">
        <f t="shared" si="302"/>
        <v>0</v>
      </c>
      <c r="AO653">
        <f t="shared" si="303"/>
        <v>1</v>
      </c>
      <c r="AP653">
        <f t="shared" si="304"/>
        <v>0</v>
      </c>
      <c r="AQ653">
        <f t="shared" si="305"/>
        <v>0</v>
      </c>
      <c r="AR653">
        <f t="shared" si="306"/>
        <v>0</v>
      </c>
      <c r="AS653">
        <f t="shared" si="307"/>
        <v>1</v>
      </c>
    </row>
    <row r="654" spans="2:45" x14ac:dyDescent="0.3">
      <c r="B654">
        <v>653</v>
      </c>
      <c r="C654" s="1">
        <v>41196</v>
      </c>
      <c r="D654">
        <v>4</v>
      </c>
      <c r="E654">
        <v>1</v>
      </c>
      <c r="F654">
        <v>10</v>
      </c>
      <c r="G654">
        <v>0</v>
      </c>
      <c r="H654">
        <v>1</v>
      </c>
      <c r="I654">
        <v>2080</v>
      </c>
      <c r="J654">
        <v>4559</v>
      </c>
      <c r="K654" s="8">
        <v>6639</v>
      </c>
      <c r="L654">
        <v>21.388347</v>
      </c>
      <c r="M654">
        <v>25.4102</v>
      </c>
      <c r="N654">
        <v>64.041700000000006</v>
      </c>
      <c r="O654">
        <v>18.667003999999999</v>
      </c>
      <c r="P654">
        <v>0</v>
      </c>
      <c r="Q654">
        <v>0</v>
      </c>
      <c r="R654">
        <f t="shared" si="280"/>
        <v>0</v>
      </c>
      <c r="S654">
        <f t="shared" si="281"/>
        <v>0</v>
      </c>
      <c r="T654">
        <f t="shared" si="282"/>
        <v>0</v>
      </c>
      <c r="U654">
        <f t="shared" si="283"/>
        <v>0</v>
      </c>
      <c r="V654">
        <f t="shared" si="284"/>
        <v>0</v>
      </c>
      <c r="W654">
        <f t="shared" si="285"/>
        <v>0</v>
      </c>
      <c r="X654">
        <f t="shared" si="286"/>
        <v>0</v>
      </c>
      <c r="Y654">
        <f t="shared" si="287"/>
        <v>0</v>
      </c>
      <c r="Z654">
        <f t="shared" si="288"/>
        <v>0</v>
      </c>
      <c r="AA654">
        <f t="shared" si="289"/>
        <v>1</v>
      </c>
      <c r="AB654">
        <f t="shared" si="290"/>
        <v>0</v>
      </c>
      <c r="AC654">
        <f t="shared" si="291"/>
        <v>0</v>
      </c>
      <c r="AD654">
        <f t="shared" si="292"/>
        <v>1</v>
      </c>
      <c r="AE654">
        <f t="shared" si="293"/>
        <v>0</v>
      </c>
      <c r="AF654">
        <f t="shared" si="294"/>
        <v>0</v>
      </c>
      <c r="AG654">
        <f t="shared" si="295"/>
        <v>0</v>
      </c>
      <c r="AH654">
        <f t="shared" si="296"/>
        <v>0</v>
      </c>
      <c r="AI654">
        <f t="shared" si="297"/>
        <v>0</v>
      </c>
      <c r="AJ654">
        <f t="shared" si="298"/>
        <v>0</v>
      </c>
      <c r="AK654">
        <f t="shared" si="299"/>
        <v>1</v>
      </c>
      <c r="AL654">
        <f t="shared" si="300"/>
        <v>0</v>
      </c>
      <c r="AM654">
        <f t="shared" si="301"/>
        <v>0</v>
      </c>
      <c r="AN654">
        <f t="shared" si="302"/>
        <v>0</v>
      </c>
      <c r="AO654">
        <f t="shared" si="303"/>
        <v>1</v>
      </c>
      <c r="AP654">
        <f t="shared" si="304"/>
        <v>0</v>
      </c>
      <c r="AQ654">
        <f t="shared" si="305"/>
        <v>0</v>
      </c>
      <c r="AR654">
        <f t="shared" si="306"/>
        <v>0</v>
      </c>
      <c r="AS654">
        <f t="shared" si="307"/>
        <v>1</v>
      </c>
    </row>
    <row r="655" spans="2:45" x14ac:dyDescent="0.3">
      <c r="B655">
        <v>654</v>
      </c>
      <c r="C655" s="1">
        <v>41197</v>
      </c>
      <c r="D655">
        <v>4</v>
      </c>
      <c r="E655">
        <v>1</v>
      </c>
      <c r="F655">
        <v>10</v>
      </c>
      <c r="G655">
        <v>1</v>
      </c>
      <c r="H655">
        <v>2</v>
      </c>
      <c r="I655">
        <v>760</v>
      </c>
      <c r="J655">
        <v>5115</v>
      </c>
      <c r="K655" s="8">
        <v>5875</v>
      </c>
      <c r="L655">
        <v>23.028347</v>
      </c>
      <c r="M655">
        <v>26.9575</v>
      </c>
      <c r="N655">
        <v>70.75</v>
      </c>
      <c r="O655">
        <v>19.834479000000002</v>
      </c>
      <c r="P655">
        <v>0</v>
      </c>
      <c r="Q655">
        <v>1</v>
      </c>
      <c r="R655">
        <f t="shared" si="280"/>
        <v>0</v>
      </c>
      <c r="S655">
        <f t="shared" si="281"/>
        <v>0</v>
      </c>
      <c r="T655">
        <f t="shared" si="282"/>
        <v>0</v>
      </c>
      <c r="U655">
        <f t="shared" si="283"/>
        <v>0</v>
      </c>
      <c r="V655">
        <f t="shared" si="284"/>
        <v>0</v>
      </c>
      <c r="W655">
        <f t="shared" si="285"/>
        <v>0</v>
      </c>
      <c r="X655">
        <f t="shared" si="286"/>
        <v>0</v>
      </c>
      <c r="Y655">
        <f t="shared" si="287"/>
        <v>0</v>
      </c>
      <c r="Z655">
        <f t="shared" si="288"/>
        <v>0</v>
      </c>
      <c r="AA655">
        <f t="shared" si="289"/>
        <v>1</v>
      </c>
      <c r="AB655">
        <f t="shared" si="290"/>
        <v>0</v>
      </c>
      <c r="AC655">
        <f t="shared" si="291"/>
        <v>0</v>
      </c>
      <c r="AD655">
        <f t="shared" si="292"/>
        <v>0</v>
      </c>
      <c r="AE655">
        <f t="shared" si="293"/>
        <v>1</v>
      </c>
      <c r="AF655">
        <f t="shared" si="294"/>
        <v>0</v>
      </c>
      <c r="AG655">
        <f t="shared" si="295"/>
        <v>0</v>
      </c>
      <c r="AH655">
        <f t="shared" si="296"/>
        <v>0</v>
      </c>
      <c r="AI655">
        <f t="shared" si="297"/>
        <v>0</v>
      </c>
      <c r="AJ655">
        <f t="shared" si="298"/>
        <v>0</v>
      </c>
      <c r="AK655">
        <f t="shared" si="299"/>
        <v>0</v>
      </c>
      <c r="AL655">
        <f t="shared" si="300"/>
        <v>1</v>
      </c>
      <c r="AM655">
        <f t="shared" si="301"/>
        <v>0</v>
      </c>
      <c r="AN655">
        <f t="shared" si="302"/>
        <v>0</v>
      </c>
      <c r="AO655">
        <f t="shared" si="303"/>
        <v>1</v>
      </c>
      <c r="AP655">
        <f t="shared" si="304"/>
        <v>0</v>
      </c>
      <c r="AQ655">
        <f t="shared" si="305"/>
        <v>0</v>
      </c>
      <c r="AR655">
        <f t="shared" si="306"/>
        <v>0</v>
      </c>
      <c r="AS655">
        <f t="shared" si="307"/>
        <v>1</v>
      </c>
    </row>
    <row r="656" spans="2:45" x14ac:dyDescent="0.3">
      <c r="B656">
        <v>655</v>
      </c>
      <c r="C656" s="1">
        <v>41198</v>
      </c>
      <c r="D656">
        <v>4</v>
      </c>
      <c r="E656">
        <v>1</v>
      </c>
      <c r="F656">
        <v>10</v>
      </c>
      <c r="G656">
        <v>2</v>
      </c>
      <c r="H656">
        <v>1</v>
      </c>
      <c r="I656">
        <v>922</v>
      </c>
      <c r="J656">
        <v>6612</v>
      </c>
      <c r="K656" s="8">
        <v>7534</v>
      </c>
      <c r="L656">
        <v>19.201653</v>
      </c>
      <c r="M656">
        <v>23.042300000000001</v>
      </c>
      <c r="N656">
        <v>55.833300000000001</v>
      </c>
      <c r="O656">
        <v>12.208807</v>
      </c>
      <c r="P656">
        <v>0</v>
      </c>
      <c r="Q656">
        <v>1</v>
      </c>
      <c r="R656">
        <f t="shared" si="280"/>
        <v>0</v>
      </c>
      <c r="S656">
        <f t="shared" si="281"/>
        <v>0</v>
      </c>
      <c r="T656">
        <f t="shared" si="282"/>
        <v>0</v>
      </c>
      <c r="U656">
        <f t="shared" si="283"/>
        <v>0</v>
      </c>
      <c r="V656">
        <f t="shared" si="284"/>
        <v>0</v>
      </c>
      <c r="W656">
        <f t="shared" si="285"/>
        <v>0</v>
      </c>
      <c r="X656">
        <f t="shared" si="286"/>
        <v>0</v>
      </c>
      <c r="Y656">
        <f t="shared" si="287"/>
        <v>0</v>
      </c>
      <c r="Z656">
        <f t="shared" si="288"/>
        <v>0</v>
      </c>
      <c r="AA656">
        <f t="shared" si="289"/>
        <v>1</v>
      </c>
      <c r="AB656">
        <f t="shared" si="290"/>
        <v>0</v>
      </c>
      <c r="AC656">
        <f t="shared" si="291"/>
        <v>0</v>
      </c>
      <c r="AD656">
        <f t="shared" si="292"/>
        <v>0</v>
      </c>
      <c r="AE656">
        <f t="shared" si="293"/>
        <v>0</v>
      </c>
      <c r="AF656">
        <f t="shared" si="294"/>
        <v>1</v>
      </c>
      <c r="AG656">
        <f t="shared" si="295"/>
        <v>0</v>
      </c>
      <c r="AH656">
        <f t="shared" si="296"/>
        <v>0</v>
      </c>
      <c r="AI656">
        <f t="shared" si="297"/>
        <v>0</v>
      </c>
      <c r="AJ656">
        <f t="shared" si="298"/>
        <v>0</v>
      </c>
      <c r="AK656">
        <f t="shared" si="299"/>
        <v>1</v>
      </c>
      <c r="AL656">
        <f t="shared" si="300"/>
        <v>0</v>
      </c>
      <c r="AM656">
        <f t="shared" si="301"/>
        <v>0</v>
      </c>
      <c r="AN656">
        <f t="shared" si="302"/>
        <v>0</v>
      </c>
      <c r="AO656">
        <f t="shared" si="303"/>
        <v>1</v>
      </c>
      <c r="AP656">
        <f t="shared" si="304"/>
        <v>0</v>
      </c>
      <c r="AQ656">
        <f t="shared" si="305"/>
        <v>0</v>
      </c>
      <c r="AR656">
        <f t="shared" si="306"/>
        <v>0</v>
      </c>
      <c r="AS656">
        <f t="shared" si="307"/>
        <v>1</v>
      </c>
    </row>
    <row r="657" spans="2:45" x14ac:dyDescent="0.3">
      <c r="B657">
        <v>656</v>
      </c>
      <c r="C657" s="1">
        <v>41199</v>
      </c>
      <c r="D657">
        <v>4</v>
      </c>
      <c r="E657">
        <v>1</v>
      </c>
      <c r="F657">
        <v>10</v>
      </c>
      <c r="G657">
        <v>3</v>
      </c>
      <c r="H657">
        <v>1</v>
      </c>
      <c r="I657">
        <v>979</v>
      </c>
      <c r="J657">
        <v>6482</v>
      </c>
      <c r="K657" s="8">
        <v>7461</v>
      </c>
      <c r="L657">
        <v>18.689153000000001</v>
      </c>
      <c r="M657">
        <v>22.505400000000002</v>
      </c>
      <c r="N657">
        <v>69.291700000000006</v>
      </c>
      <c r="O657">
        <v>6.7918570000000003</v>
      </c>
      <c r="P657">
        <v>0</v>
      </c>
      <c r="Q657">
        <v>1</v>
      </c>
      <c r="R657">
        <f t="shared" si="280"/>
        <v>0</v>
      </c>
      <c r="S657">
        <f t="shared" si="281"/>
        <v>0</v>
      </c>
      <c r="T657">
        <f t="shared" si="282"/>
        <v>0</v>
      </c>
      <c r="U657">
        <f t="shared" si="283"/>
        <v>0</v>
      </c>
      <c r="V657">
        <f t="shared" si="284"/>
        <v>0</v>
      </c>
      <c r="W657">
        <f t="shared" si="285"/>
        <v>0</v>
      </c>
      <c r="X657">
        <f t="shared" si="286"/>
        <v>0</v>
      </c>
      <c r="Y657">
        <f t="shared" si="287"/>
        <v>0</v>
      </c>
      <c r="Z657">
        <f t="shared" si="288"/>
        <v>0</v>
      </c>
      <c r="AA657">
        <f t="shared" si="289"/>
        <v>1</v>
      </c>
      <c r="AB657">
        <f t="shared" si="290"/>
        <v>0</v>
      </c>
      <c r="AC657">
        <f t="shared" si="291"/>
        <v>0</v>
      </c>
      <c r="AD657">
        <f t="shared" si="292"/>
        <v>0</v>
      </c>
      <c r="AE657">
        <f t="shared" si="293"/>
        <v>0</v>
      </c>
      <c r="AF657">
        <f t="shared" si="294"/>
        <v>0</v>
      </c>
      <c r="AG657">
        <f t="shared" si="295"/>
        <v>1</v>
      </c>
      <c r="AH657">
        <f t="shared" si="296"/>
        <v>0</v>
      </c>
      <c r="AI657">
        <f t="shared" si="297"/>
        <v>0</v>
      </c>
      <c r="AJ657">
        <f t="shared" si="298"/>
        <v>0</v>
      </c>
      <c r="AK657">
        <f t="shared" si="299"/>
        <v>1</v>
      </c>
      <c r="AL657">
        <f t="shared" si="300"/>
        <v>0</v>
      </c>
      <c r="AM657">
        <f t="shared" si="301"/>
        <v>0</v>
      </c>
      <c r="AN657">
        <f t="shared" si="302"/>
        <v>0</v>
      </c>
      <c r="AO657">
        <f t="shared" si="303"/>
        <v>1</v>
      </c>
      <c r="AP657">
        <f t="shared" si="304"/>
        <v>0</v>
      </c>
      <c r="AQ657">
        <f t="shared" si="305"/>
        <v>0</v>
      </c>
      <c r="AR657">
        <f t="shared" si="306"/>
        <v>0</v>
      </c>
      <c r="AS657">
        <f t="shared" si="307"/>
        <v>1</v>
      </c>
    </row>
    <row r="658" spans="2:45" x14ac:dyDescent="0.3">
      <c r="B658">
        <v>657</v>
      </c>
      <c r="C658" s="1">
        <v>41200</v>
      </c>
      <c r="D658">
        <v>4</v>
      </c>
      <c r="E658">
        <v>1</v>
      </c>
      <c r="F658">
        <v>10</v>
      </c>
      <c r="G658">
        <v>4</v>
      </c>
      <c r="H658">
        <v>2</v>
      </c>
      <c r="I658">
        <v>1008</v>
      </c>
      <c r="J658">
        <v>6501</v>
      </c>
      <c r="K658" s="8">
        <v>7509</v>
      </c>
      <c r="L658">
        <v>21.422499999999999</v>
      </c>
      <c r="M658">
        <v>25.631250000000001</v>
      </c>
      <c r="N658">
        <v>72.833299999999994</v>
      </c>
      <c r="O658">
        <v>15.874779</v>
      </c>
      <c r="P658">
        <v>0</v>
      </c>
      <c r="Q658">
        <v>1</v>
      </c>
      <c r="R658">
        <f t="shared" si="280"/>
        <v>0</v>
      </c>
      <c r="S658">
        <f t="shared" si="281"/>
        <v>0</v>
      </c>
      <c r="T658">
        <f t="shared" si="282"/>
        <v>0</v>
      </c>
      <c r="U658">
        <f t="shared" si="283"/>
        <v>0</v>
      </c>
      <c r="V658">
        <f t="shared" si="284"/>
        <v>0</v>
      </c>
      <c r="W658">
        <f t="shared" si="285"/>
        <v>0</v>
      </c>
      <c r="X658">
        <f t="shared" si="286"/>
        <v>0</v>
      </c>
      <c r="Y658">
        <f t="shared" si="287"/>
        <v>0</v>
      </c>
      <c r="Z658">
        <f t="shared" si="288"/>
        <v>0</v>
      </c>
      <c r="AA658">
        <f t="shared" si="289"/>
        <v>1</v>
      </c>
      <c r="AB658">
        <f t="shared" si="290"/>
        <v>0</v>
      </c>
      <c r="AC658">
        <f t="shared" si="291"/>
        <v>0</v>
      </c>
      <c r="AD658">
        <f t="shared" si="292"/>
        <v>0</v>
      </c>
      <c r="AE658">
        <f t="shared" si="293"/>
        <v>0</v>
      </c>
      <c r="AF658">
        <f t="shared" si="294"/>
        <v>0</v>
      </c>
      <c r="AG658">
        <f t="shared" si="295"/>
        <v>0</v>
      </c>
      <c r="AH658">
        <f t="shared" si="296"/>
        <v>1</v>
      </c>
      <c r="AI658">
        <f t="shared" si="297"/>
        <v>0</v>
      </c>
      <c r="AJ658">
        <f t="shared" si="298"/>
        <v>0</v>
      </c>
      <c r="AK658">
        <f t="shared" si="299"/>
        <v>0</v>
      </c>
      <c r="AL658">
        <f t="shared" si="300"/>
        <v>1</v>
      </c>
      <c r="AM658">
        <f t="shared" si="301"/>
        <v>0</v>
      </c>
      <c r="AN658">
        <f t="shared" si="302"/>
        <v>0</v>
      </c>
      <c r="AO658">
        <f t="shared" si="303"/>
        <v>1</v>
      </c>
      <c r="AP658">
        <f t="shared" si="304"/>
        <v>0</v>
      </c>
      <c r="AQ658">
        <f t="shared" si="305"/>
        <v>0</v>
      </c>
      <c r="AR658">
        <f t="shared" si="306"/>
        <v>0</v>
      </c>
      <c r="AS658">
        <f t="shared" si="307"/>
        <v>1</v>
      </c>
    </row>
    <row r="659" spans="2:45" x14ac:dyDescent="0.3">
      <c r="B659">
        <v>658</v>
      </c>
      <c r="C659" s="1">
        <v>41201</v>
      </c>
      <c r="D659">
        <v>4</v>
      </c>
      <c r="E659">
        <v>1</v>
      </c>
      <c r="F659">
        <v>10</v>
      </c>
      <c r="G659">
        <v>5</v>
      </c>
      <c r="H659">
        <v>2</v>
      </c>
      <c r="I659">
        <v>753</v>
      </c>
      <c r="J659">
        <v>4671</v>
      </c>
      <c r="K659" s="8">
        <v>5424</v>
      </c>
      <c r="L659">
        <v>23.096653</v>
      </c>
      <c r="M659">
        <v>26.8948</v>
      </c>
      <c r="N659">
        <v>81.5</v>
      </c>
      <c r="O659">
        <v>9.0419180000000008</v>
      </c>
      <c r="P659">
        <v>0</v>
      </c>
      <c r="Q659">
        <v>1</v>
      </c>
      <c r="R659">
        <f t="shared" si="280"/>
        <v>0</v>
      </c>
      <c r="S659">
        <f t="shared" si="281"/>
        <v>0</v>
      </c>
      <c r="T659">
        <f t="shared" si="282"/>
        <v>0</v>
      </c>
      <c r="U659">
        <f t="shared" si="283"/>
        <v>0</v>
      </c>
      <c r="V659">
        <f t="shared" si="284"/>
        <v>0</v>
      </c>
      <c r="W659">
        <f t="shared" si="285"/>
        <v>0</v>
      </c>
      <c r="X659">
        <f t="shared" si="286"/>
        <v>0</v>
      </c>
      <c r="Y659">
        <f t="shared" si="287"/>
        <v>0</v>
      </c>
      <c r="Z659">
        <f t="shared" si="288"/>
        <v>0</v>
      </c>
      <c r="AA659">
        <f t="shared" si="289"/>
        <v>1</v>
      </c>
      <c r="AB659">
        <f t="shared" si="290"/>
        <v>0</v>
      </c>
      <c r="AC659">
        <f t="shared" si="291"/>
        <v>0</v>
      </c>
      <c r="AD659">
        <f t="shared" si="292"/>
        <v>0</v>
      </c>
      <c r="AE659">
        <f t="shared" si="293"/>
        <v>0</v>
      </c>
      <c r="AF659">
        <f t="shared" si="294"/>
        <v>0</v>
      </c>
      <c r="AG659">
        <f t="shared" si="295"/>
        <v>0</v>
      </c>
      <c r="AH659">
        <f t="shared" si="296"/>
        <v>0</v>
      </c>
      <c r="AI659">
        <f t="shared" si="297"/>
        <v>1</v>
      </c>
      <c r="AJ659">
        <f t="shared" si="298"/>
        <v>0</v>
      </c>
      <c r="AK659">
        <f t="shared" si="299"/>
        <v>0</v>
      </c>
      <c r="AL659">
        <f t="shared" si="300"/>
        <v>1</v>
      </c>
      <c r="AM659">
        <f t="shared" si="301"/>
        <v>0</v>
      </c>
      <c r="AN659">
        <f t="shared" si="302"/>
        <v>0</v>
      </c>
      <c r="AO659">
        <f t="shared" si="303"/>
        <v>1</v>
      </c>
      <c r="AP659">
        <f t="shared" si="304"/>
        <v>0</v>
      </c>
      <c r="AQ659">
        <f t="shared" si="305"/>
        <v>0</v>
      </c>
      <c r="AR659">
        <f t="shared" si="306"/>
        <v>0</v>
      </c>
      <c r="AS659">
        <f t="shared" si="307"/>
        <v>1</v>
      </c>
    </row>
    <row r="660" spans="2:45" x14ac:dyDescent="0.3">
      <c r="B660">
        <v>659</v>
      </c>
      <c r="C660" s="1">
        <v>41202</v>
      </c>
      <c r="D660">
        <v>4</v>
      </c>
      <c r="E660">
        <v>1</v>
      </c>
      <c r="F660">
        <v>10</v>
      </c>
      <c r="G660">
        <v>6</v>
      </c>
      <c r="H660">
        <v>1</v>
      </c>
      <c r="I660">
        <v>2806</v>
      </c>
      <c r="J660">
        <v>5284</v>
      </c>
      <c r="K660" s="8">
        <v>8090</v>
      </c>
      <c r="L660">
        <v>19.850847000000002</v>
      </c>
      <c r="M660">
        <v>23.642099999999999</v>
      </c>
      <c r="N660">
        <v>57.291699999999999</v>
      </c>
      <c r="O660">
        <v>7.8749789999999997</v>
      </c>
      <c r="P660">
        <v>0</v>
      </c>
      <c r="Q660">
        <v>0</v>
      </c>
      <c r="R660">
        <f t="shared" si="280"/>
        <v>0</v>
      </c>
      <c r="S660">
        <f t="shared" si="281"/>
        <v>0</v>
      </c>
      <c r="T660">
        <f t="shared" si="282"/>
        <v>0</v>
      </c>
      <c r="U660">
        <f t="shared" si="283"/>
        <v>0</v>
      </c>
      <c r="V660">
        <f t="shared" si="284"/>
        <v>0</v>
      </c>
      <c r="W660">
        <f t="shared" si="285"/>
        <v>0</v>
      </c>
      <c r="X660">
        <f t="shared" si="286"/>
        <v>0</v>
      </c>
      <c r="Y660">
        <f t="shared" si="287"/>
        <v>0</v>
      </c>
      <c r="Z660">
        <f t="shared" si="288"/>
        <v>0</v>
      </c>
      <c r="AA660">
        <f t="shared" si="289"/>
        <v>1</v>
      </c>
      <c r="AB660">
        <f t="shared" si="290"/>
        <v>0</v>
      </c>
      <c r="AC660">
        <f t="shared" si="291"/>
        <v>0</v>
      </c>
      <c r="AD660">
        <f t="shared" si="292"/>
        <v>0</v>
      </c>
      <c r="AE660">
        <f t="shared" si="293"/>
        <v>0</v>
      </c>
      <c r="AF660">
        <f t="shared" si="294"/>
        <v>0</v>
      </c>
      <c r="AG660">
        <f t="shared" si="295"/>
        <v>0</v>
      </c>
      <c r="AH660">
        <f t="shared" si="296"/>
        <v>0</v>
      </c>
      <c r="AI660">
        <f t="shared" si="297"/>
        <v>0</v>
      </c>
      <c r="AJ660">
        <f t="shared" si="298"/>
        <v>1</v>
      </c>
      <c r="AK660">
        <f t="shared" si="299"/>
        <v>1</v>
      </c>
      <c r="AL660">
        <f t="shared" si="300"/>
        <v>0</v>
      </c>
      <c r="AM660">
        <f t="shared" si="301"/>
        <v>0</v>
      </c>
      <c r="AN660">
        <f t="shared" si="302"/>
        <v>0</v>
      </c>
      <c r="AO660">
        <f t="shared" si="303"/>
        <v>1</v>
      </c>
      <c r="AP660">
        <f t="shared" si="304"/>
        <v>0</v>
      </c>
      <c r="AQ660">
        <f t="shared" si="305"/>
        <v>0</v>
      </c>
      <c r="AR660">
        <f t="shared" si="306"/>
        <v>0</v>
      </c>
      <c r="AS660">
        <f t="shared" si="307"/>
        <v>1</v>
      </c>
    </row>
    <row r="661" spans="2:45" x14ac:dyDescent="0.3">
      <c r="B661">
        <v>660</v>
      </c>
      <c r="C661" s="1">
        <v>41203</v>
      </c>
      <c r="D661">
        <v>4</v>
      </c>
      <c r="E661">
        <v>1</v>
      </c>
      <c r="F661">
        <v>10</v>
      </c>
      <c r="G661">
        <v>0</v>
      </c>
      <c r="H661">
        <v>1</v>
      </c>
      <c r="I661">
        <v>2132</v>
      </c>
      <c r="J661">
        <v>4692</v>
      </c>
      <c r="K661" s="8">
        <v>6824</v>
      </c>
      <c r="L661">
        <v>19.030847000000001</v>
      </c>
      <c r="M661">
        <v>22.821449999999999</v>
      </c>
      <c r="N661">
        <v>51</v>
      </c>
      <c r="O661">
        <v>11.125617999999999</v>
      </c>
      <c r="P661">
        <v>0</v>
      </c>
      <c r="Q661">
        <v>0</v>
      </c>
      <c r="R661">
        <f t="shared" si="280"/>
        <v>0</v>
      </c>
      <c r="S661">
        <f t="shared" si="281"/>
        <v>0</v>
      </c>
      <c r="T661">
        <f t="shared" si="282"/>
        <v>0</v>
      </c>
      <c r="U661">
        <f t="shared" si="283"/>
        <v>0</v>
      </c>
      <c r="V661">
        <f t="shared" si="284"/>
        <v>0</v>
      </c>
      <c r="W661">
        <f t="shared" si="285"/>
        <v>0</v>
      </c>
      <c r="X661">
        <f t="shared" si="286"/>
        <v>0</v>
      </c>
      <c r="Y661">
        <f t="shared" si="287"/>
        <v>0</v>
      </c>
      <c r="Z661">
        <f t="shared" si="288"/>
        <v>0</v>
      </c>
      <c r="AA661">
        <f t="shared" si="289"/>
        <v>1</v>
      </c>
      <c r="AB661">
        <f t="shared" si="290"/>
        <v>0</v>
      </c>
      <c r="AC661">
        <f t="shared" si="291"/>
        <v>0</v>
      </c>
      <c r="AD661">
        <f t="shared" si="292"/>
        <v>1</v>
      </c>
      <c r="AE661">
        <f t="shared" si="293"/>
        <v>0</v>
      </c>
      <c r="AF661">
        <f t="shared" si="294"/>
        <v>0</v>
      </c>
      <c r="AG661">
        <f t="shared" si="295"/>
        <v>0</v>
      </c>
      <c r="AH661">
        <f t="shared" si="296"/>
        <v>0</v>
      </c>
      <c r="AI661">
        <f t="shared" si="297"/>
        <v>0</v>
      </c>
      <c r="AJ661">
        <f t="shared" si="298"/>
        <v>0</v>
      </c>
      <c r="AK661">
        <f t="shared" si="299"/>
        <v>1</v>
      </c>
      <c r="AL661">
        <f t="shared" si="300"/>
        <v>0</v>
      </c>
      <c r="AM661">
        <f t="shared" si="301"/>
        <v>0</v>
      </c>
      <c r="AN661">
        <f t="shared" si="302"/>
        <v>0</v>
      </c>
      <c r="AO661">
        <f t="shared" si="303"/>
        <v>1</v>
      </c>
      <c r="AP661">
        <f t="shared" si="304"/>
        <v>0</v>
      </c>
      <c r="AQ661">
        <f t="shared" si="305"/>
        <v>0</v>
      </c>
      <c r="AR661">
        <f t="shared" si="306"/>
        <v>0</v>
      </c>
      <c r="AS661">
        <f t="shared" si="307"/>
        <v>1</v>
      </c>
    </row>
    <row r="662" spans="2:45" x14ac:dyDescent="0.3">
      <c r="B662">
        <v>661</v>
      </c>
      <c r="C662" s="1">
        <v>41204</v>
      </c>
      <c r="D662">
        <v>4</v>
      </c>
      <c r="E662">
        <v>1</v>
      </c>
      <c r="F662">
        <v>10</v>
      </c>
      <c r="G662">
        <v>1</v>
      </c>
      <c r="H662">
        <v>1</v>
      </c>
      <c r="I662">
        <v>830</v>
      </c>
      <c r="J662">
        <v>6228</v>
      </c>
      <c r="K662" s="8">
        <v>7058</v>
      </c>
      <c r="L662">
        <v>19.987500000000001</v>
      </c>
      <c r="M662">
        <v>24.147099999999998</v>
      </c>
      <c r="N662">
        <v>56.833300000000001</v>
      </c>
      <c r="O662">
        <v>5.4593810999999999</v>
      </c>
      <c r="P662">
        <v>0</v>
      </c>
      <c r="Q662">
        <v>1</v>
      </c>
      <c r="R662">
        <f t="shared" si="280"/>
        <v>0</v>
      </c>
      <c r="S662">
        <f t="shared" si="281"/>
        <v>0</v>
      </c>
      <c r="T662">
        <f t="shared" si="282"/>
        <v>0</v>
      </c>
      <c r="U662">
        <f t="shared" si="283"/>
        <v>0</v>
      </c>
      <c r="V662">
        <f t="shared" si="284"/>
        <v>0</v>
      </c>
      <c r="W662">
        <f t="shared" si="285"/>
        <v>0</v>
      </c>
      <c r="X662">
        <f t="shared" si="286"/>
        <v>0</v>
      </c>
      <c r="Y662">
        <f t="shared" si="287"/>
        <v>0</v>
      </c>
      <c r="Z662">
        <f t="shared" si="288"/>
        <v>0</v>
      </c>
      <c r="AA662">
        <f t="shared" si="289"/>
        <v>1</v>
      </c>
      <c r="AB662">
        <f t="shared" si="290"/>
        <v>0</v>
      </c>
      <c r="AC662">
        <f t="shared" si="291"/>
        <v>0</v>
      </c>
      <c r="AD662">
        <f t="shared" si="292"/>
        <v>0</v>
      </c>
      <c r="AE662">
        <f t="shared" si="293"/>
        <v>1</v>
      </c>
      <c r="AF662">
        <f t="shared" si="294"/>
        <v>0</v>
      </c>
      <c r="AG662">
        <f t="shared" si="295"/>
        <v>0</v>
      </c>
      <c r="AH662">
        <f t="shared" si="296"/>
        <v>0</v>
      </c>
      <c r="AI662">
        <f t="shared" si="297"/>
        <v>0</v>
      </c>
      <c r="AJ662">
        <f t="shared" si="298"/>
        <v>0</v>
      </c>
      <c r="AK662">
        <f t="shared" si="299"/>
        <v>1</v>
      </c>
      <c r="AL662">
        <f t="shared" si="300"/>
        <v>0</v>
      </c>
      <c r="AM662">
        <f t="shared" si="301"/>
        <v>0</v>
      </c>
      <c r="AN662">
        <f t="shared" si="302"/>
        <v>0</v>
      </c>
      <c r="AO662">
        <f t="shared" si="303"/>
        <v>1</v>
      </c>
      <c r="AP662">
        <f t="shared" si="304"/>
        <v>0</v>
      </c>
      <c r="AQ662">
        <f t="shared" si="305"/>
        <v>0</v>
      </c>
      <c r="AR662">
        <f t="shared" si="306"/>
        <v>0</v>
      </c>
      <c r="AS662">
        <f t="shared" si="307"/>
        <v>1</v>
      </c>
    </row>
    <row r="663" spans="2:45" x14ac:dyDescent="0.3">
      <c r="B663">
        <v>662</v>
      </c>
      <c r="C663" s="1">
        <v>41205</v>
      </c>
      <c r="D663">
        <v>4</v>
      </c>
      <c r="E663">
        <v>1</v>
      </c>
      <c r="F663">
        <v>10</v>
      </c>
      <c r="G663">
        <v>2</v>
      </c>
      <c r="H663">
        <v>1</v>
      </c>
      <c r="I663">
        <v>841</v>
      </c>
      <c r="J663">
        <v>6625</v>
      </c>
      <c r="K663" s="8">
        <v>7466</v>
      </c>
      <c r="L663">
        <v>22.310846999999999</v>
      </c>
      <c r="M663">
        <v>26.5152</v>
      </c>
      <c r="N663">
        <v>64.166700000000006</v>
      </c>
      <c r="O663">
        <v>6.3345685999999999</v>
      </c>
      <c r="P663">
        <v>0</v>
      </c>
      <c r="Q663">
        <v>1</v>
      </c>
      <c r="R663">
        <f t="shared" si="280"/>
        <v>0</v>
      </c>
      <c r="S663">
        <f t="shared" si="281"/>
        <v>0</v>
      </c>
      <c r="T663">
        <f t="shared" si="282"/>
        <v>0</v>
      </c>
      <c r="U663">
        <f t="shared" si="283"/>
        <v>0</v>
      </c>
      <c r="V663">
        <f t="shared" si="284"/>
        <v>0</v>
      </c>
      <c r="W663">
        <f t="shared" si="285"/>
        <v>0</v>
      </c>
      <c r="X663">
        <f t="shared" si="286"/>
        <v>0</v>
      </c>
      <c r="Y663">
        <f t="shared" si="287"/>
        <v>0</v>
      </c>
      <c r="Z663">
        <f t="shared" si="288"/>
        <v>0</v>
      </c>
      <c r="AA663">
        <f t="shared" si="289"/>
        <v>1</v>
      </c>
      <c r="AB663">
        <f t="shared" si="290"/>
        <v>0</v>
      </c>
      <c r="AC663">
        <f t="shared" si="291"/>
        <v>0</v>
      </c>
      <c r="AD663">
        <f t="shared" si="292"/>
        <v>0</v>
      </c>
      <c r="AE663">
        <f t="shared" si="293"/>
        <v>0</v>
      </c>
      <c r="AF663">
        <f t="shared" si="294"/>
        <v>1</v>
      </c>
      <c r="AG663">
        <f t="shared" si="295"/>
        <v>0</v>
      </c>
      <c r="AH663">
        <f t="shared" si="296"/>
        <v>0</v>
      </c>
      <c r="AI663">
        <f t="shared" si="297"/>
        <v>0</v>
      </c>
      <c r="AJ663">
        <f t="shared" si="298"/>
        <v>0</v>
      </c>
      <c r="AK663">
        <f t="shared" si="299"/>
        <v>1</v>
      </c>
      <c r="AL663">
        <f t="shared" si="300"/>
        <v>0</v>
      </c>
      <c r="AM663">
        <f t="shared" si="301"/>
        <v>0</v>
      </c>
      <c r="AN663">
        <f t="shared" si="302"/>
        <v>0</v>
      </c>
      <c r="AO663">
        <f t="shared" si="303"/>
        <v>1</v>
      </c>
      <c r="AP663">
        <f t="shared" si="304"/>
        <v>0</v>
      </c>
      <c r="AQ663">
        <f t="shared" si="305"/>
        <v>0</v>
      </c>
      <c r="AR663">
        <f t="shared" si="306"/>
        <v>0</v>
      </c>
      <c r="AS663">
        <f t="shared" si="307"/>
        <v>1</v>
      </c>
    </row>
    <row r="664" spans="2:45" x14ac:dyDescent="0.3">
      <c r="B664">
        <v>663</v>
      </c>
      <c r="C664" s="1">
        <v>41206</v>
      </c>
      <c r="D664">
        <v>4</v>
      </c>
      <c r="E664">
        <v>1</v>
      </c>
      <c r="F664">
        <v>10</v>
      </c>
      <c r="G664">
        <v>3</v>
      </c>
      <c r="H664">
        <v>1</v>
      </c>
      <c r="I664">
        <v>795</v>
      </c>
      <c r="J664">
        <v>6898</v>
      </c>
      <c r="K664" s="8">
        <v>7693</v>
      </c>
      <c r="L664">
        <v>24.087499999999999</v>
      </c>
      <c r="M664">
        <v>27.936050000000002</v>
      </c>
      <c r="N664">
        <v>63.625</v>
      </c>
      <c r="O664">
        <v>4.8762064000000001</v>
      </c>
      <c r="P664">
        <v>0</v>
      </c>
      <c r="Q664">
        <v>1</v>
      </c>
      <c r="R664">
        <f t="shared" si="280"/>
        <v>0</v>
      </c>
      <c r="S664">
        <f t="shared" si="281"/>
        <v>0</v>
      </c>
      <c r="T664">
        <f t="shared" si="282"/>
        <v>0</v>
      </c>
      <c r="U664">
        <f t="shared" si="283"/>
        <v>0</v>
      </c>
      <c r="V664">
        <f t="shared" si="284"/>
        <v>0</v>
      </c>
      <c r="W664">
        <f t="shared" si="285"/>
        <v>0</v>
      </c>
      <c r="X664">
        <f t="shared" si="286"/>
        <v>0</v>
      </c>
      <c r="Y664">
        <f t="shared" si="287"/>
        <v>0</v>
      </c>
      <c r="Z664">
        <f t="shared" si="288"/>
        <v>0</v>
      </c>
      <c r="AA664">
        <f t="shared" si="289"/>
        <v>1</v>
      </c>
      <c r="AB664">
        <f t="shared" si="290"/>
        <v>0</v>
      </c>
      <c r="AC664">
        <f t="shared" si="291"/>
        <v>0</v>
      </c>
      <c r="AD664">
        <f t="shared" si="292"/>
        <v>0</v>
      </c>
      <c r="AE664">
        <f t="shared" si="293"/>
        <v>0</v>
      </c>
      <c r="AF664">
        <f t="shared" si="294"/>
        <v>0</v>
      </c>
      <c r="AG664">
        <f t="shared" si="295"/>
        <v>1</v>
      </c>
      <c r="AH664">
        <f t="shared" si="296"/>
        <v>0</v>
      </c>
      <c r="AI664">
        <f t="shared" si="297"/>
        <v>0</v>
      </c>
      <c r="AJ664">
        <f t="shared" si="298"/>
        <v>0</v>
      </c>
      <c r="AK664">
        <f t="shared" si="299"/>
        <v>1</v>
      </c>
      <c r="AL664">
        <f t="shared" si="300"/>
        <v>0</v>
      </c>
      <c r="AM664">
        <f t="shared" si="301"/>
        <v>0</v>
      </c>
      <c r="AN664">
        <f t="shared" si="302"/>
        <v>0</v>
      </c>
      <c r="AO664">
        <f t="shared" si="303"/>
        <v>1</v>
      </c>
      <c r="AP664">
        <f t="shared" si="304"/>
        <v>0</v>
      </c>
      <c r="AQ664">
        <f t="shared" si="305"/>
        <v>0</v>
      </c>
      <c r="AR664">
        <f t="shared" si="306"/>
        <v>0</v>
      </c>
      <c r="AS664">
        <f t="shared" si="307"/>
        <v>1</v>
      </c>
    </row>
    <row r="665" spans="2:45" x14ac:dyDescent="0.3">
      <c r="B665">
        <v>664</v>
      </c>
      <c r="C665" s="1">
        <v>41207</v>
      </c>
      <c r="D665">
        <v>4</v>
      </c>
      <c r="E665">
        <v>1</v>
      </c>
      <c r="F665">
        <v>10</v>
      </c>
      <c r="G665">
        <v>4</v>
      </c>
      <c r="H665">
        <v>2</v>
      </c>
      <c r="I665">
        <v>875</v>
      </c>
      <c r="J665">
        <v>6484</v>
      </c>
      <c r="K665" s="8">
        <v>7359</v>
      </c>
      <c r="L665">
        <v>22.55</v>
      </c>
      <c r="M665">
        <v>26.484400000000001</v>
      </c>
      <c r="N665">
        <v>80.041700000000006</v>
      </c>
      <c r="O665">
        <v>8.3331250000000008</v>
      </c>
      <c r="P665">
        <v>0</v>
      </c>
      <c r="Q665">
        <v>1</v>
      </c>
      <c r="R665">
        <f t="shared" si="280"/>
        <v>0</v>
      </c>
      <c r="S665">
        <f t="shared" si="281"/>
        <v>0</v>
      </c>
      <c r="T665">
        <f t="shared" si="282"/>
        <v>0</v>
      </c>
      <c r="U665">
        <f t="shared" si="283"/>
        <v>0</v>
      </c>
      <c r="V665">
        <f t="shared" si="284"/>
        <v>0</v>
      </c>
      <c r="W665">
        <f t="shared" si="285"/>
        <v>0</v>
      </c>
      <c r="X665">
        <f t="shared" si="286"/>
        <v>0</v>
      </c>
      <c r="Y665">
        <f t="shared" si="287"/>
        <v>0</v>
      </c>
      <c r="Z665">
        <f t="shared" si="288"/>
        <v>0</v>
      </c>
      <c r="AA665">
        <f t="shared" si="289"/>
        <v>1</v>
      </c>
      <c r="AB665">
        <f t="shared" si="290"/>
        <v>0</v>
      </c>
      <c r="AC665">
        <f t="shared" si="291"/>
        <v>0</v>
      </c>
      <c r="AD665">
        <f t="shared" si="292"/>
        <v>0</v>
      </c>
      <c r="AE665">
        <f t="shared" si="293"/>
        <v>0</v>
      </c>
      <c r="AF665">
        <f t="shared" si="294"/>
        <v>0</v>
      </c>
      <c r="AG665">
        <f t="shared" si="295"/>
        <v>0</v>
      </c>
      <c r="AH665">
        <f t="shared" si="296"/>
        <v>1</v>
      </c>
      <c r="AI665">
        <f t="shared" si="297"/>
        <v>0</v>
      </c>
      <c r="AJ665">
        <f t="shared" si="298"/>
        <v>0</v>
      </c>
      <c r="AK665">
        <f t="shared" si="299"/>
        <v>0</v>
      </c>
      <c r="AL665">
        <f t="shared" si="300"/>
        <v>1</v>
      </c>
      <c r="AM665">
        <f t="shared" si="301"/>
        <v>0</v>
      </c>
      <c r="AN665">
        <f t="shared" si="302"/>
        <v>0</v>
      </c>
      <c r="AO665">
        <f t="shared" si="303"/>
        <v>1</v>
      </c>
      <c r="AP665">
        <f t="shared" si="304"/>
        <v>0</v>
      </c>
      <c r="AQ665">
        <f t="shared" si="305"/>
        <v>0</v>
      </c>
      <c r="AR665">
        <f t="shared" si="306"/>
        <v>0</v>
      </c>
      <c r="AS665">
        <f t="shared" si="307"/>
        <v>1</v>
      </c>
    </row>
    <row r="666" spans="2:45" x14ac:dyDescent="0.3">
      <c r="B666">
        <v>665</v>
      </c>
      <c r="C666" s="1">
        <v>41208</v>
      </c>
      <c r="D666">
        <v>4</v>
      </c>
      <c r="E666">
        <v>1</v>
      </c>
      <c r="F666">
        <v>10</v>
      </c>
      <c r="G666">
        <v>5</v>
      </c>
      <c r="H666">
        <v>2</v>
      </c>
      <c r="I666">
        <v>1182</v>
      </c>
      <c r="J666">
        <v>6262</v>
      </c>
      <c r="K666" s="8">
        <v>7444</v>
      </c>
      <c r="L666">
        <v>22.379152999999999</v>
      </c>
      <c r="M666">
        <v>26.137499999999999</v>
      </c>
      <c r="N666">
        <v>80.708299999999994</v>
      </c>
      <c r="O666">
        <v>8.8752890000000004</v>
      </c>
      <c r="P666">
        <v>0</v>
      </c>
      <c r="Q666">
        <v>1</v>
      </c>
      <c r="R666">
        <f t="shared" si="280"/>
        <v>0</v>
      </c>
      <c r="S666">
        <f t="shared" si="281"/>
        <v>0</v>
      </c>
      <c r="T666">
        <f t="shared" si="282"/>
        <v>0</v>
      </c>
      <c r="U666">
        <f t="shared" si="283"/>
        <v>0</v>
      </c>
      <c r="V666">
        <f t="shared" si="284"/>
        <v>0</v>
      </c>
      <c r="W666">
        <f t="shared" si="285"/>
        <v>0</v>
      </c>
      <c r="X666">
        <f t="shared" si="286"/>
        <v>0</v>
      </c>
      <c r="Y666">
        <f t="shared" si="287"/>
        <v>0</v>
      </c>
      <c r="Z666">
        <f t="shared" si="288"/>
        <v>0</v>
      </c>
      <c r="AA666">
        <f t="shared" si="289"/>
        <v>1</v>
      </c>
      <c r="AB666">
        <f t="shared" si="290"/>
        <v>0</v>
      </c>
      <c r="AC666">
        <f t="shared" si="291"/>
        <v>0</v>
      </c>
      <c r="AD666">
        <f t="shared" si="292"/>
        <v>0</v>
      </c>
      <c r="AE666">
        <f t="shared" si="293"/>
        <v>0</v>
      </c>
      <c r="AF666">
        <f t="shared" si="294"/>
        <v>0</v>
      </c>
      <c r="AG666">
        <f t="shared" si="295"/>
        <v>0</v>
      </c>
      <c r="AH666">
        <f t="shared" si="296"/>
        <v>0</v>
      </c>
      <c r="AI666">
        <f t="shared" si="297"/>
        <v>1</v>
      </c>
      <c r="AJ666">
        <f t="shared" si="298"/>
        <v>0</v>
      </c>
      <c r="AK666">
        <f t="shared" si="299"/>
        <v>0</v>
      </c>
      <c r="AL666">
        <f t="shared" si="300"/>
        <v>1</v>
      </c>
      <c r="AM666">
        <f t="shared" si="301"/>
        <v>0</v>
      </c>
      <c r="AN666">
        <f t="shared" si="302"/>
        <v>0</v>
      </c>
      <c r="AO666">
        <f t="shared" si="303"/>
        <v>1</v>
      </c>
      <c r="AP666">
        <f t="shared" si="304"/>
        <v>0</v>
      </c>
      <c r="AQ666">
        <f t="shared" si="305"/>
        <v>0</v>
      </c>
      <c r="AR666">
        <f t="shared" si="306"/>
        <v>0</v>
      </c>
      <c r="AS666">
        <f t="shared" si="307"/>
        <v>1</v>
      </c>
    </row>
    <row r="667" spans="2:45" x14ac:dyDescent="0.3">
      <c r="B667">
        <v>666</v>
      </c>
      <c r="C667" s="1">
        <v>41209</v>
      </c>
      <c r="D667">
        <v>4</v>
      </c>
      <c r="E667">
        <v>1</v>
      </c>
      <c r="F667">
        <v>10</v>
      </c>
      <c r="G667">
        <v>6</v>
      </c>
      <c r="H667">
        <v>2</v>
      </c>
      <c r="I667">
        <v>2643</v>
      </c>
      <c r="J667">
        <v>5209</v>
      </c>
      <c r="K667" s="8">
        <v>7852</v>
      </c>
      <c r="L667">
        <v>21.73</v>
      </c>
      <c r="M667">
        <v>25.75665</v>
      </c>
      <c r="N667">
        <v>72</v>
      </c>
      <c r="O667">
        <v>15.791364</v>
      </c>
      <c r="P667">
        <v>0</v>
      </c>
      <c r="Q667">
        <v>0</v>
      </c>
      <c r="R667">
        <f t="shared" si="280"/>
        <v>0</v>
      </c>
      <c r="S667">
        <f t="shared" si="281"/>
        <v>0</v>
      </c>
      <c r="T667">
        <f t="shared" si="282"/>
        <v>0</v>
      </c>
      <c r="U667">
        <f t="shared" si="283"/>
        <v>0</v>
      </c>
      <c r="V667">
        <f t="shared" si="284"/>
        <v>0</v>
      </c>
      <c r="W667">
        <f t="shared" si="285"/>
        <v>0</v>
      </c>
      <c r="X667">
        <f t="shared" si="286"/>
        <v>0</v>
      </c>
      <c r="Y667">
        <f t="shared" si="287"/>
        <v>0</v>
      </c>
      <c r="Z667">
        <f t="shared" si="288"/>
        <v>0</v>
      </c>
      <c r="AA667">
        <f t="shared" si="289"/>
        <v>1</v>
      </c>
      <c r="AB667">
        <f t="shared" si="290"/>
        <v>0</v>
      </c>
      <c r="AC667">
        <f t="shared" si="291"/>
        <v>0</v>
      </c>
      <c r="AD667">
        <f t="shared" si="292"/>
        <v>0</v>
      </c>
      <c r="AE667">
        <f t="shared" si="293"/>
        <v>0</v>
      </c>
      <c r="AF667">
        <f t="shared" si="294"/>
        <v>0</v>
      </c>
      <c r="AG667">
        <f t="shared" si="295"/>
        <v>0</v>
      </c>
      <c r="AH667">
        <f t="shared" si="296"/>
        <v>0</v>
      </c>
      <c r="AI667">
        <f t="shared" si="297"/>
        <v>0</v>
      </c>
      <c r="AJ667">
        <f t="shared" si="298"/>
        <v>1</v>
      </c>
      <c r="AK667">
        <f t="shared" si="299"/>
        <v>0</v>
      </c>
      <c r="AL667">
        <f t="shared" si="300"/>
        <v>1</v>
      </c>
      <c r="AM667">
        <f t="shared" si="301"/>
        <v>0</v>
      </c>
      <c r="AN667">
        <f t="shared" si="302"/>
        <v>0</v>
      </c>
      <c r="AO667">
        <f t="shared" si="303"/>
        <v>1</v>
      </c>
      <c r="AP667">
        <f t="shared" si="304"/>
        <v>0</v>
      </c>
      <c r="AQ667">
        <f t="shared" si="305"/>
        <v>0</v>
      </c>
      <c r="AR667">
        <f t="shared" si="306"/>
        <v>0</v>
      </c>
      <c r="AS667">
        <f t="shared" si="307"/>
        <v>1</v>
      </c>
    </row>
    <row r="668" spans="2:45" x14ac:dyDescent="0.3">
      <c r="B668">
        <v>667</v>
      </c>
      <c r="C668" s="1">
        <v>41210</v>
      </c>
      <c r="D668">
        <v>4</v>
      </c>
      <c r="E668">
        <v>1</v>
      </c>
      <c r="F668">
        <v>10</v>
      </c>
      <c r="G668">
        <v>0</v>
      </c>
      <c r="H668">
        <v>2</v>
      </c>
      <c r="I668">
        <v>998</v>
      </c>
      <c r="J668">
        <v>3461</v>
      </c>
      <c r="K668" s="8">
        <v>4459</v>
      </c>
      <c r="L668">
        <v>19.577500000000001</v>
      </c>
      <c r="M668">
        <v>23.388549999999999</v>
      </c>
      <c r="N668">
        <v>69.458299999999994</v>
      </c>
      <c r="O668">
        <v>26.666536000000001</v>
      </c>
      <c r="P668">
        <v>0</v>
      </c>
      <c r="Q668">
        <v>0</v>
      </c>
      <c r="R668">
        <f t="shared" si="280"/>
        <v>0</v>
      </c>
      <c r="S668">
        <f t="shared" si="281"/>
        <v>0</v>
      </c>
      <c r="T668">
        <f t="shared" si="282"/>
        <v>0</v>
      </c>
      <c r="U668">
        <f t="shared" si="283"/>
        <v>0</v>
      </c>
      <c r="V668">
        <f t="shared" si="284"/>
        <v>0</v>
      </c>
      <c r="W668">
        <f t="shared" si="285"/>
        <v>0</v>
      </c>
      <c r="X668">
        <f t="shared" si="286"/>
        <v>0</v>
      </c>
      <c r="Y668">
        <f t="shared" si="287"/>
        <v>0</v>
      </c>
      <c r="Z668">
        <f t="shared" si="288"/>
        <v>0</v>
      </c>
      <c r="AA668">
        <f t="shared" si="289"/>
        <v>1</v>
      </c>
      <c r="AB668">
        <f t="shared" si="290"/>
        <v>0</v>
      </c>
      <c r="AC668">
        <f t="shared" si="291"/>
        <v>0</v>
      </c>
      <c r="AD668">
        <f t="shared" si="292"/>
        <v>1</v>
      </c>
      <c r="AE668">
        <f t="shared" si="293"/>
        <v>0</v>
      </c>
      <c r="AF668">
        <f t="shared" si="294"/>
        <v>0</v>
      </c>
      <c r="AG668">
        <f t="shared" si="295"/>
        <v>0</v>
      </c>
      <c r="AH668">
        <f t="shared" si="296"/>
        <v>0</v>
      </c>
      <c r="AI668">
        <f t="shared" si="297"/>
        <v>0</v>
      </c>
      <c r="AJ668">
        <f t="shared" si="298"/>
        <v>0</v>
      </c>
      <c r="AK668">
        <f t="shared" si="299"/>
        <v>0</v>
      </c>
      <c r="AL668">
        <f t="shared" si="300"/>
        <v>1</v>
      </c>
      <c r="AM668">
        <f t="shared" si="301"/>
        <v>0</v>
      </c>
      <c r="AN668">
        <f t="shared" si="302"/>
        <v>0</v>
      </c>
      <c r="AO668">
        <f t="shared" si="303"/>
        <v>1</v>
      </c>
      <c r="AP668">
        <f t="shared" si="304"/>
        <v>0</v>
      </c>
      <c r="AQ668">
        <f t="shared" si="305"/>
        <v>0</v>
      </c>
      <c r="AR668">
        <f t="shared" si="306"/>
        <v>0</v>
      </c>
      <c r="AS668">
        <f t="shared" si="307"/>
        <v>1</v>
      </c>
    </row>
    <row r="669" spans="2:45" x14ac:dyDescent="0.3">
      <c r="B669">
        <v>668</v>
      </c>
      <c r="C669" s="1">
        <v>41211</v>
      </c>
      <c r="D669">
        <v>4</v>
      </c>
      <c r="E669">
        <v>1</v>
      </c>
      <c r="F669">
        <v>10</v>
      </c>
      <c r="G669">
        <v>1</v>
      </c>
      <c r="H669">
        <v>3</v>
      </c>
      <c r="I669">
        <v>2</v>
      </c>
      <c r="J669">
        <v>20</v>
      </c>
      <c r="K669" s="8">
        <v>22</v>
      </c>
      <c r="L669">
        <v>18.04</v>
      </c>
      <c r="M669">
        <v>21.97</v>
      </c>
      <c r="N669">
        <v>88</v>
      </c>
      <c r="O669">
        <v>23.999400000000001</v>
      </c>
      <c r="P669">
        <v>0</v>
      </c>
      <c r="Q669">
        <v>1</v>
      </c>
      <c r="R669">
        <f t="shared" si="280"/>
        <v>0</v>
      </c>
      <c r="S669">
        <f t="shared" si="281"/>
        <v>0</v>
      </c>
      <c r="T669">
        <f t="shared" si="282"/>
        <v>0</v>
      </c>
      <c r="U669">
        <f t="shared" si="283"/>
        <v>0</v>
      </c>
      <c r="V669">
        <f t="shared" si="284"/>
        <v>0</v>
      </c>
      <c r="W669">
        <f t="shared" si="285"/>
        <v>0</v>
      </c>
      <c r="X669">
        <f t="shared" si="286"/>
        <v>0</v>
      </c>
      <c r="Y669">
        <f t="shared" si="287"/>
        <v>0</v>
      </c>
      <c r="Z669">
        <f t="shared" si="288"/>
        <v>0</v>
      </c>
      <c r="AA669">
        <f t="shared" si="289"/>
        <v>1</v>
      </c>
      <c r="AB669">
        <f t="shared" si="290"/>
        <v>0</v>
      </c>
      <c r="AC669">
        <f t="shared" si="291"/>
        <v>0</v>
      </c>
      <c r="AD669">
        <f t="shared" si="292"/>
        <v>0</v>
      </c>
      <c r="AE669">
        <f t="shared" si="293"/>
        <v>1</v>
      </c>
      <c r="AF669">
        <f t="shared" si="294"/>
        <v>0</v>
      </c>
      <c r="AG669">
        <f t="shared" si="295"/>
        <v>0</v>
      </c>
      <c r="AH669">
        <f t="shared" si="296"/>
        <v>0</v>
      </c>
      <c r="AI669">
        <f t="shared" si="297"/>
        <v>0</v>
      </c>
      <c r="AJ669">
        <f t="shared" si="298"/>
        <v>0</v>
      </c>
      <c r="AK669">
        <f t="shared" si="299"/>
        <v>0</v>
      </c>
      <c r="AL669">
        <f t="shared" si="300"/>
        <v>0</v>
      </c>
      <c r="AM669">
        <f t="shared" si="301"/>
        <v>1</v>
      </c>
      <c r="AN669">
        <f t="shared" si="302"/>
        <v>0</v>
      </c>
      <c r="AO669">
        <f t="shared" si="303"/>
        <v>1</v>
      </c>
      <c r="AP669">
        <f t="shared" si="304"/>
        <v>0</v>
      </c>
      <c r="AQ669">
        <f t="shared" si="305"/>
        <v>0</v>
      </c>
      <c r="AR669">
        <f t="shared" si="306"/>
        <v>0</v>
      </c>
      <c r="AS669">
        <f t="shared" si="307"/>
        <v>1</v>
      </c>
    </row>
    <row r="670" spans="2:45" x14ac:dyDescent="0.3">
      <c r="B670">
        <v>669</v>
      </c>
      <c r="C670" s="1">
        <v>41212</v>
      </c>
      <c r="D670">
        <v>4</v>
      </c>
      <c r="E670">
        <v>1</v>
      </c>
      <c r="F670">
        <v>10</v>
      </c>
      <c r="G670">
        <v>2</v>
      </c>
      <c r="H670">
        <v>2</v>
      </c>
      <c r="I670">
        <v>87</v>
      </c>
      <c r="J670">
        <v>1009</v>
      </c>
      <c r="K670" s="8">
        <v>1096</v>
      </c>
      <c r="L670">
        <v>13.045462000000001</v>
      </c>
      <c r="M670">
        <v>15.49545</v>
      </c>
      <c r="N670">
        <v>82.545500000000004</v>
      </c>
      <c r="O670">
        <v>14.271603000000001</v>
      </c>
      <c r="P670">
        <v>0</v>
      </c>
      <c r="Q670">
        <v>1</v>
      </c>
      <c r="R670">
        <f t="shared" si="280"/>
        <v>0</v>
      </c>
      <c r="S670">
        <f t="shared" si="281"/>
        <v>0</v>
      </c>
      <c r="T670">
        <f t="shared" si="282"/>
        <v>0</v>
      </c>
      <c r="U670">
        <f t="shared" si="283"/>
        <v>0</v>
      </c>
      <c r="V670">
        <f t="shared" si="284"/>
        <v>0</v>
      </c>
      <c r="W670">
        <f t="shared" si="285"/>
        <v>0</v>
      </c>
      <c r="X670">
        <f t="shared" si="286"/>
        <v>0</v>
      </c>
      <c r="Y670">
        <f t="shared" si="287"/>
        <v>0</v>
      </c>
      <c r="Z670">
        <f t="shared" si="288"/>
        <v>0</v>
      </c>
      <c r="AA670">
        <f t="shared" si="289"/>
        <v>1</v>
      </c>
      <c r="AB670">
        <f t="shared" si="290"/>
        <v>0</v>
      </c>
      <c r="AC670">
        <f t="shared" si="291"/>
        <v>0</v>
      </c>
      <c r="AD670">
        <f t="shared" si="292"/>
        <v>0</v>
      </c>
      <c r="AE670">
        <f t="shared" si="293"/>
        <v>0</v>
      </c>
      <c r="AF670">
        <f t="shared" si="294"/>
        <v>1</v>
      </c>
      <c r="AG670">
        <f t="shared" si="295"/>
        <v>0</v>
      </c>
      <c r="AH670">
        <f t="shared" si="296"/>
        <v>0</v>
      </c>
      <c r="AI670">
        <f t="shared" si="297"/>
        <v>0</v>
      </c>
      <c r="AJ670">
        <f t="shared" si="298"/>
        <v>0</v>
      </c>
      <c r="AK670">
        <f t="shared" si="299"/>
        <v>0</v>
      </c>
      <c r="AL670">
        <f t="shared" si="300"/>
        <v>1</v>
      </c>
      <c r="AM670">
        <f t="shared" si="301"/>
        <v>0</v>
      </c>
      <c r="AN670">
        <f t="shared" si="302"/>
        <v>0</v>
      </c>
      <c r="AO670">
        <f t="shared" si="303"/>
        <v>1</v>
      </c>
      <c r="AP670">
        <f t="shared" si="304"/>
        <v>0</v>
      </c>
      <c r="AQ670">
        <f t="shared" si="305"/>
        <v>0</v>
      </c>
      <c r="AR670">
        <f t="shared" si="306"/>
        <v>0</v>
      </c>
      <c r="AS670">
        <f t="shared" si="307"/>
        <v>1</v>
      </c>
    </row>
    <row r="671" spans="2:45" x14ac:dyDescent="0.3">
      <c r="B671">
        <v>670</v>
      </c>
      <c r="C671" s="1">
        <v>41213</v>
      </c>
      <c r="D671">
        <v>4</v>
      </c>
      <c r="E671">
        <v>1</v>
      </c>
      <c r="F671">
        <v>10</v>
      </c>
      <c r="G671">
        <v>3</v>
      </c>
      <c r="H671">
        <v>2</v>
      </c>
      <c r="I671">
        <v>419</v>
      </c>
      <c r="J671">
        <v>5147</v>
      </c>
      <c r="K671" s="8">
        <v>5566</v>
      </c>
      <c r="L671">
        <v>14.657500000000001</v>
      </c>
      <c r="M671">
        <v>18.055</v>
      </c>
      <c r="N671">
        <v>66.666700000000006</v>
      </c>
      <c r="O671">
        <v>11.166689</v>
      </c>
      <c r="P671">
        <v>0</v>
      </c>
      <c r="Q671">
        <v>1</v>
      </c>
      <c r="R671">
        <f t="shared" si="280"/>
        <v>0</v>
      </c>
      <c r="S671">
        <f t="shared" si="281"/>
        <v>0</v>
      </c>
      <c r="T671">
        <f t="shared" si="282"/>
        <v>0</v>
      </c>
      <c r="U671">
        <f t="shared" si="283"/>
        <v>0</v>
      </c>
      <c r="V671">
        <f t="shared" si="284"/>
        <v>0</v>
      </c>
      <c r="W671">
        <f t="shared" si="285"/>
        <v>0</v>
      </c>
      <c r="X671">
        <f t="shared" si="286"/>
        <v>0</v>
      </c>
      <c r="Y671">
        <f t="shared" si="287"/>
        <v>0</v>
      </c>
      <c r="Z671">
        <f t="shared" si="288"/>
        <v>0</v>
      </c>
      <c r="AA671">
        <f t="shared" si="289"/>
        <v>1</v>
      </c>
      <c r="AB671">
        <f t="shared" si="290"/>
        <v>0</v>
      </c>
      <c r="AC671">
        <f t="shared" si="291"/>
        <v>0</v>
      </c>
      <c r="AD671">
        <f t="shared" si="292"/>
        <v>0</v>
      </c>
      <c r="AE671">
        <f t="shared" si="293"/>
        <v>0</v>
      </c>
      <c r="AF671">
        <f t="shared" si="294"/>
        <v>0</v>
      </c>
      <c r="AG671">
        <f t="shared" si="295"/>
        <v>1</v>
      </c>
      <c r="AH671">
        <f t="shared" si="296"/>
        <v>0</v>
      </c>
      <c r="AI671">
        <f t="shared" si="297"/>
        <v>0</v>
      </c>
      <c r="AJ671">
        <f t="shared" si="298"/>
        <v>0</v>
      </c>
      <c r="AK671">
        <f t="shared" si="299"/>
        <v>0</v>
      </c>
      <c r="AL671">
        <f t="shared" si="300"/>
        <v>1</v>
      </c>
      <c r="AM671">
        <f t="shared" si="301"/>
        <v>0</v>
      </c>
      <c r="AN671">
        <f t="shared" si="302"/>
        <v>0</v>
      </c>
      <c r="AO671">
        <f t="shared" si="303"/>
        <v>1</v>
      </c>
      <c r="AP671">
        <f t="shared" si="304"/>
        <v>0</v>
      </c>
      <c r="AQ671">
        <f t="shared" si="305"/>
        <v>0</v>
      </c>
      <c r="AR671">
        <f t="shared" si="306"/>
        <v>0</v>
      </c>
      <c r="AS671">
        <f t="shared" si="307"/>
        <v>1</v>
      </c>
    </row>
    <row r="672" spans="2:45" x14ac:dyDescent="0.3">
      <c r="B672">
        <v>671</v>
      </c>
      <c r="C672" s="1">
        <v>41214</v>
      </c>
      <c r="D672">
        <v>4</v>
      </c>
      <c r="E672">
        <v>1</v>
      </c>
      <c r="F672">
        <v>11</v>
      </c>
      <c r="G672">
        <v>4</v>
      </c>
      <c r="H672">
        <v>2</v>
      </c>
      <c r="I672">
        <v>466</v>
      </c>
      <c r="J672">
        <v>5520</v>
      </c>
      <c r="K672" s="8">
        <v>5986</v>
      </c>
      <c r="L672">
        <v>14.999153</v>
      </c>
      <c r="M672">
        <v>18.4971</v>
      </c>
      <c r="N672">
        <v>58.166699999999999</v>
      </c>
      <c r="O672">
        <v>10.542182</v>
      </c>
      <c r="P672">
        <v>0</v>
      </c>
      <c r="Q672">
        <v>1</v>
      </c>
      <c r="R672">
        <f t="shared" si="280"/>
        <v>0</v>
      </c>
      <c r="S672">
        <f t="shared" si="281"/>
        <v>0</v>
      </c>
      <c r="T672">
        <f t="shared" si="282"/>
        <v>0</v>
      </c>
      <c r="U672">
        <f t="shared" si="283"/>
        <v>0</v>
      </c>
      <c r="V672">
        <f t="shared" si="284"/>
        <v>0</v>
      </c>
      <c r="W672">
        <f t="shared" si="285"/>
        <v>0</v>
      </c>
      <c r="X672">
        <f t="shared" si="286"/>
        <v>0</v>
      </c>
      <c r="Y672">
        <f t="shared" si="287"/>
        <v>0</v>
      </c>
      <c r="Z672">
        <f t="shared" si="288"/>
        <v>0</v>
      </c>
      <c r="AA672">
        <f t="shared" si="289"/>
        <v>0</v>
      </c>
      <c r="AB672">
        <f t="shared" si="290"/>
        <v>1</v>
      </c>
      <c r="AC672">
        <f t="shared" si="291"/>
        <v>0</v>
      </c>
      <c r="AD672">
        <f t="shared" si="292"/>
        <v>0</v>
      </c>
      <c r="AE672">
        <f t="shared" si="293"/>
        <v>0</v>
      </c>
      <c r="AF672">
        <f t="shared" si="294"/>
        <v>0</v>
      </c>
      <c r="AG672">
        <f t="shared" si="295"/>
        <v>0</v>
      </c>
      <c r="AH672">
        <f t="shared" si="296"/>
        <v>1</v>
      </c>
      <c r="AI672">
        <f t="shared" si="297"/>
        <v>0</v>
      </c>
      <c r="AJ672">
        <f t="shared" si="298"/>
        <v>0</v>
      </c>
      <c r="AK672">
        <f t="shared" si="299"/>
        <v>0</v>
      </c>
      <c r="AL672">
        <f t="shared" si="300"/>
        <v>1</v>
      </c>
      <c r="AM672">
        <f t="shared" si="301"/>
        <v>0</v>
      </c>
      <c r="AN672">
        <f t="shared" si="302"/>
        <v>0</v>
      </c>
      <c r="AO672">
        <f t="shared" si="303"/>
        <v>1</v>
      </c>
      <c r="AP672">
        <f t="shared" si="304"/>
        <v>0</v>
      </c>
      <c r="AQ672">
        <f t="shared" si="305"/>
        <v>0</v>
      </c>
      <c r="AR672">
        <f t="shared" si="306"/>
        <v>0</v>
      </c>
      <c r="AS672">
        <f t="shared" si="307"/>
        <v>1</v>
      </c>
    </row>
    <row r="673" spans="2:45" x14ac:dyDescent="0.3">
      <c r="B673">
        <v>672</v>
      </c>
      <c r="C673" s="1">
        <v>41215</v>
      </c>
      <c r="D673">
        <v>4</v>
      </c>
      <c r="E673">
        <v>1</v>
      </c>
      <c r="F673">
        <v>11</v>
      </c>
      <c r="G673">
        <v>5</v>
      </c>
      <c r="H673">
        <v>1</v>
      </c>
      <c r="I673">
        <v>618</v>
      </c>
      <c r="J673">
        <v>5229</v>
      </c>
      <c r="K673" s="8">
        <v>5847</v>
      </c>
      <c r="L673">
        <v>14.555</v>
      </c>
      <c r="M673">
        <v>17.802099999999999</v>
      </c>
      <c r="N673">
        <v>52.208300000000001</v>
      </c>
      <c r="O673">
        <v>17.833725000000001</v>
      </c>
      <c r="P673">
        <v>0</v>
      </c>
      <c r="Q673">
        <v>1</v>
      </c>
      <c r="R673">
        <f t="shared" si="280"/>
        <v>0</v>
      </c>
      <c r="S673">
        <f t="shared" si="281"/>
        <v>0</v>
      </c>
      <c r="T673">
        <f t="shared" si="282"/>
        <v>0</v>
      </c>
      <c r="U673">
        <f t="shared" si="283"/>
        <v>0</v>
      </c>
      <c r="V673">
        <f t="shared" si="284"/>
        <v>0</v>
      </c>
      <c r="W673">
        <f t="shared" si="285"/>
        <v>0</v>
      </c>
      <c r="X673">
        <f t="shared" si="286"/>
        <v>0</v>
      </c>
      <c r="Y673">
        <f t="shared" si="287"/>
        <v>0</v>
      </c>
      <c r="Z673">
        <f t="shared" si="288"/>
        <v>0</v>
      </c>
      <c r="AA673">
        <f t="shared" si="289"/>
        <v>0</v>
      </c>
      <c r="AB673">
        <f t="shared" si="290"/>
        <v>1</v>
      </c>
      <c r="AC673">
        <f t="shared" si="291"/>
        <v>0</v>
      </c>
      <c r="AD673">
        <f t="shared" si="292"/>
        <v>0</v>
      </c>
      <c r="AE673">
        <f t="shared" si="293"/>
        <v>0</v>
      </c>
      <c r="AF673">
        <f t="shared" si="294"/>
        <v>0</v>
      </c>
      <c r="AG673">
        <f t="shared" si="295"/>
        <v>0</v>
      </c>
      <c r="AH673">
        <f t="shared" si="296"/>
        <v>0</v>
      </c>
      <c r="AI673">
        <f t="shared" si="297"/>
        <v>1</v>
      </c>
      <c r="AJ673">
        <f t="shared" si="298"/>
        <v>0</v>
      </c>
      <c r="AK673">
        <f t="shared" si="299"/>
        <v>1</v>
      </c>
      <c r="AL673">
        <f t="shared" si="300"/>
        <v>0</v>
      </c>
      <c r="AM673">
        <f t="shared" si="301"/>
        <v>0</v>
      </c>
      <c r="AN673">
        <f t="shared" si="302"/>
        <v>0</v>
      </c>
      <c r="AO673">
        <f t="shared" si="303"/>
        <v>1</v>
      </c>
      <c r="AP673">
        <f t="shared" si="304"/>
        <v>0</v>
      </c>
      <c r="AQ673">
        <f t="shared" si="305"/>
        <v>0</v>
      </c>
      <c r="AR673">
        <f t="shared" si="306"/>
        <v>0</v>
      </c>
      <c r="AS673">
        <f t="shared" si="307"/>
        <v>1</v>
      </c>
    </row>
    <row r="674" spans="2:45" x14ac:dyDescent="0.3">
      <c r="B674">
        <v>673</v>
      </c>
      <c r="C674" s="1">
        <v>41216</v>
      </c>
      <c r="D674">
        <v>4</v>
      </c>
      <c r="E674">
        <v>1</v>
      </c>
      <c r="F674">
        <v>11</v>
      </c>
      <c r="G674">
        <v>6</v>
      </c>
      <c r="H674">
        <v>2</v>
      </c>
      <c r="I674">
        <v>1029</v>
      </c>
      <c r="J674">
        <v>4109</v>
      </c>
      <c r="K674" s="8">
        <v>5138</v>
      </c>
      <c r="L674">
        <v>14.076653</v>
      </c>
      <c r="M674">
        <v>16.192299999999999</v>
      </c>
      <c r="N674">
        <v>49.125</v>
      </c>
      <c r="O674">
        <v>18.125443000000001</v>
      </c>
      <c r="P674">
        <v>0</v>
      </c>
      <c r="Q674">
        <v>0</v>
      </c>
      <c r="R674">
        <f t="shared" si="280"/>
        <v>0</v>
      </c>
      <c r="S674">
        <f t="shared" si="281"/>
        <v>0</v>
      </c>
      <c r="T674">
        <f t="shared" si="282"/>
        <v>0</v>
      </c>
      <c r="U674">
        <f t="shared" si="283"/>
        <v>0</v>
      </c>
      <c r="V674">
        <f t="shared" si="284"/>
        <v>0</v>
      </c>
      <c r="W674">
        <f t="shared" si="285"/>
        <v>0</v>
      </c>
      <c r="X674">
        <f t="shared" si="286"/>
        <v>0</v>
      </c>
      <c r="Y674">
        <f t="shared" si="287"/>
        <v>0</v>
      </c>
      <c r="Z674">
        <f t="shared" si="288"/>
        <v>0</v>
      </c>
      <c r="AA674">
        <f t="shared" si="289"/>
        <v>0</v>
      </c>
      <c r="AB674">
        <f t="shared" si="290"/>
        <v>1</v>
      </c>
      <c r="AC674">
        <f t="shared" si="291"/>
        <v>0</v>
      </c>
      <c r="AD674">
        <f t="shared" si="292"/>
        <v>0</v>
      </c>
      <c r="AE674">
        <f t="shared" si="293"/>
        <v>0</v>
      </c>
      <c r="AF674">
        <f t="shared" si="294"/>
        <v>0</v>
      </c>
      <c r="AG674">
        <f t="shared" si="295"/>
        <v>0</v>
      </c>
      <c r="AH674">
        <f t="shared" si="296"/>
        <v>0</v>
      </c>
      <c r="AI674">
        <f t="shared" si="297"/>
        <v>0</v>
      </c>
      <c r="AJ674">
        <f t="shared" si="298"/>
        <v>1</v>
      </c>
      <c r="AK674">
        <f t="shared" si="299"/>
        <v>0</v>
      </c>
      <c r="AL674">
        <f t="shared" si="300"/>
        <v>1</v>
      </c>
      <c r="AM674">
        <f t="shared" si="301"/>
        <v>0</v>
      </c>
      <c r="AN674">
        <f t="shared" si="302"/>
        <v>0</v>
      </c>
      <c r="AO674">
        <f t="shared" si="303"/>
        <v>1</v>
      </c>
      <c r="AP674">
        <f t="shared" si="304"/>
        <v>0</v>
      </c>
      <c r="AQ674">
        <f t="shared" si="305"/>
        <v>0</v>
      </c>
      <c r="AR674">
        <f t="shared" si="306"/>
        <v>0</v>
      </c>
      <c r="AS674">
        <f t="shared" si="307"/>
        <v>1</v>
      </c>
    </row>
    <row r="675" spans="2:45" x14ac:dyDescent="0.3">
      <c r="B675">
        <v>674</v>
      </c>
      <c r="C675" s="1">
        <v>41217</v>
      </c>
      <c r="D675">
        <v>4</v>
      </c>
      <c r="E675">
        <v>1</v>
      </c>
      <c r="F675">
        <v>11</v>
      </c>
      <c r="G675">
        <v>0</v>
      </c>
      <c r="H675">
        <v>1</v>
      </c>
      <c r="I675">
        <v>1201</v>
      </c>
      <c r="J675">
        <v>3906</v>
      </c>
      <c r="K675" s="8">
        <v>5107</v>
      </c>
      <c r="L675">
        <v>13.359152999999999</v>
      </c>
      <c r="M675">
        <v>16.476900000000001</v>
      </c>
      <c r="N675">
        <v>53.291699999999999</v>
      </c>
      <c r="O675">
        <v>12.000235999999999</v>
      </c>
      <c r="P675">
        <v>0</v>
      </c>
      <c r="Q675">
        <v>0</v>
      </c>
      <c r="R675">
        <f t="shared" si="280"/>
        <v>0</v>
      </c>
      <c r="S675">
        <f t="shared" si="281"/>
        <v>0</v>
      </c>
      <c r="T675">
        <f t="shared" si="282"/>
        <v>0</v>
      </c>
      <c r="U675">
        <f t="shared" si="283"/>
        <v>0</v>
      </c>
      <c r="V675">
        <f t="shared" si="284"/>
        <v>0</v>
      </c>
      <c r="W675">
        <f t="shared" si="285"/>
        <v>0</v>
      </c>
      <c r="X675">
        <f t="shared" si="286"/>
        <v>0</v>
      </c>
      <c r="Y675">
        <f t="shared" si="287"/>
        <v>0</v>
      </c>
      <c r="Z675">
        <f t="shared" si="288"/>
        <v>0</v>
      </c>
      <c r="AA675">
        <f t="shared" si="289"/>
        <v>0</v>
      </c>
      <c r="AB675">
        <f t="shared" si="290"/>
        <v>1</v>
      </c>
      <c r="AC675">
        <f t="shared" si="291"/>
        <v>0</v>
      </c>
      <c r="AD675">
        <f t="shared" si="292"/>
        <v>1</v>
      </c>
      <c r="AE675">
        <f t="shared" si="293"/>
        <v>0</v>
      </c>
      <c r="AF675">
        <f t="shared" si="294"/>
        <v>0</v>
      </c>
      <c r="AG675">
        <f t="shared" si="295"/>
        <v>0</v>
      </c>
      <c r="AH675">
        <f t="shared" si="296"/>
        <v>0</v>
      </c>
      <c r="AI675">
        <f t="shared" si="297"/>
        <v>0</v>
      </c>
      <c r="AJ675">
        <f t="shared" si="298"/>
        <v>0</v>
      </c>
      <c r="AK675">
        <f t="shared" si="299"/>
        <v>1</v>
      </c>
      <c r="AL675">
        <f t="shared" si="300"/>
        <v>0</v>
      </c>
      <c r="AM675">
        <f t="shared" si="301"/>
        <v>0</v>
      </c>
      <c r="AN675">
        <f t="shared" si="302"/>
        <v>0</v>
      </c>
      <c r="AO675">
        <f t="shared" si="303"/>
        <v>1</v>
      </c>
      <c r="AP675">
        <f t="shared" si="304"/>
        <v>0</v>
      </c>
      <c r="AQ675">
        <f t="shared" si="305"/>
        <v>0</v>
      </c>
      <c r="AR675">
        <f t="shared" si="306"/>
        <v>0</v>
      </c>
      <c r="AS675">
        <f t="shared" si="307"/>
        <v>1</v>
      </c>
    </row>
    <row r="676" spans="2:45" x14ac:dyDescent="0.3">
      <c r="B676">
        <v>675</v>
      </c>
      <c r="C676" s="1">
        <v>41218</v>
      </c>
      <c r="D676">
        <v>4</v>
      </c>
      <c r="E676">
        <v>1</v>
      </c>
      <c r="F676">
        <v>11</v>
      </c>
      <c r="G676">
        <v>1</v>
      </c>
      <c r="H676">
        <v>1</v>
      </c>
      <c r="I676">
        <v>378</v>
      </c>
      <c r="J676">
        <v>4881</v>
      </c>
      <c r="K676" s="8">
        <v>5259</v>
      </c>
      <c r="L676">
        <v>13.085846999999999</v>
      </c>
      <c r="M676">
        <v>15.40375</v>
      </c>
      <c r="N676">
        <v>49.416699999999999</v>
      </c>
      <c r="O676">
        <v>15.833774999999999</v>
      </c>
      <c r="P676">
        <v>0</v>
      </c>
      <c r="Q676">
        <v>1</v>
      </c>
      <c r="R676">
        <f t="shared" si="280"/>
        <v>0</v>
      </c>
      <c r="S676">
        <f t="shared" si="281"/>
        <v>0</v>
      </c>
      <c r="T676">
        <f t="shared" si="282"/>
        <v>0</v>
      </c>
      <c r="U676">
        <f t="shared" si="283"/>
        <v>0</v>
      </c>
      <c r="V676">
        <f t="shared" si="284"/>
        <v>0</v>
      </c>
      <c r="W676">
        <f t="shared" si="285"/>
        <v>0</v>
      </c>
      <c r="X676">
        <f t="shared" si="286"/>
        <v>0</v>
      </c>
      <c r="Y676">
        <f t="shared" si="287"/>
        <v>0</v>
      </c>
      <c r="Z676">
        <f t="shared" si="288"/>
        <v>0</v>
      </c>
      <c r="AA676">
        <f t="shared" si="289"/>
        <v>0</v>
      </c>
      <c r="AB676">
        <f t="shared" si="290"/>
        <v>1</v>
      </c>
      <c r="AC676">
        <f t="shared" si="291"/>
        <v>0</v>
      </c>
      <c r="AD676">
        <f t="shared" si="292"/>
        <v>0</v>
      </c>
      <c r="AE676">
        <f t="shared" si="293"/>
        <v>1</v>
      </c>
      <c r="AF676">
        <f t="shared" si="294"/>
        <v>0</v>
      </c>
      <c r="AG676">
        <f t="shared" si="295"/>
        <v>0</v>
      </c>
      <c r="AH676">
        <f t="shared" si="296"/>
        <v>0</v>
      </c>
      <c r="AI676">
        <f t="shared" si="297"/>
        <v>0</v>
      </c>
      <c r="AJ676">
        <f t="shared" si="298"/>
        <v>0</v>
      </c>
      <c r="AK676">
        <f t="shared" si="299"/>
        <v>1</v>
      </c>
      <c r="AL676">
        <f t="shared" si="300"/>
        <v>0</v>
      </c>
      <c r="AM676">
        <f t="shared" si="301"/>
        <v>0</v>
      </c>
      <c r="AN676">
        <f t="shared" si="302"/>
        <v>0</v>
      </c>
      <c r="AO676">
        <f t="shared" si="303"/>
        <v>1</v>
      </c>
      <c r="AP676">
        <f t="shared" si="304"/>
        <v>0</v>
      </c>
      <c r="AQ676">
        <f t="shared" si="305"/>
        <v>0</v>
      </c>
      <c r="AR676">
        <f t="shared" si="306"/>
        <v>0</v>
      </c>
      <c r="AS676">
        <f t="shared" si="307"/>
        <v>1</v>
      </c>
    </row>
    <row r="677" spans="2:45" x14ac:dyDescent="0.3">
      <c r="B677">
        <v>676</v>
      </c>
      <c r="C677" s="1">
        <v>41219</v>
      </c>
      <c r="D677">
        <v>4</v>
      </c>
      <c r="E677">
        <v>1</v>
      </c>
      <c r="F677">
        <v>11</v>
      </c>
      <c r="G677">
        <v>2</v>
      </c>
      <c r="H677">
        <v>1</v>
      </c>
      <c r="I677">
        <v>466</v>
      </c>
      <c r="J677">
        <v>5220</v>
      </c>
      <c r="K677" s="8">
        <v>5686</v>
      </c>
      <c r="L677">
        <v>11.514153</v>
      </c>
      <c r="M677">
        <v>14.07835</v>
      </c>
      <c r="N677">
        <v>56.708300000000001</v>
      </c>
      <c r="O677">
        <v>11.625370999999999</v>
      </c>
      <c r="P677">
        <v>0</v>
      </c>
      <c r="Q677">
        <v>1</v>
      </c>
      <c r="R677">
        <f t="shared" si="280"/>
        <v>0</v>
      </c>
      <c r="S677">
        <f t="shared" si="281"/>
        <v>0</v>
      </c>
      <c r="T677">
        <f t="shared" si="282"/>
        <v>0</v>
      </c>
      <c r="U677">
        <f t="shared" si="283"/>
        <v>0</v>
      </c>
      <c r="V677">
        <f t="shared" si="284"/>
        <v>0</v>
      </c>
      <c r="W677">
        <f t="shared" si="285"/>
        <v>0</v>
      </c>
      <c r="X677">
        <f t="shared" si="286"/>
        <v>0</v>
      </c>
      <c r="Y677">
        <f t="shared" si="287"/>
        <v>0</v>
      </c>
      <c r="Z677">
        <f t="shared" si="288"/>
        <v>0</v>
      </c>
      <c r="AA677">
        <f t="shared" si="289"/>
        <v>0</v>
      </c>
      <c r="AB677">
        <f t="shared" si="290"/>
        <v>1</v>
      </c>
      <c r="AC677">
        <f t="shared" si="291"/>
        <v>0</v>
      </c>
      <c r="AD677">
        <f t="shared" si="292"/>
        <v>0</v>
      </c>
      <c r="AE677">
        <f t="shared" si="293"/>
        <v>0</v>
      </c>
      <c r="AF677">
        <f t="shared" si="294"/>
        <v>1</v>
      </c>
      <c r="AG677">
        <f t="shared" si="295"/>
        <v>0</v>
      </c>
      <c r="AH677">
        <f t="shared" si="296"/>
        <v>0</v>
      </c>
      <c r="AI677">
        <f t="shared" si="297"/>
        <v>0</v>
      </c>
      <c r="AJ677">
        <f t="shared" si="298"/>
        <v>0</v>
      </c>
      <c r="AK677">
        <f t="shared" si="299"/>
        <v>1</v>
      </c>
      <c r="AL677">
        <f t="shared" si="300"/>
        <v>0</v>
      </c>
      <c r="AM677">
        <f t="shared" si="301"/>
        <v>0</v>
      </c>
      <c r="AN677">
        <f t="shared" si="302"/>
        <v>0</v>
      </c>
      <c r="AO677">
        <f t="shared" si="303"/>
        <v>1</v>
      </c>
      <c r="AP677">
        <f t="shared" si="304"/>
        <v>0</v>
      </c>
      <c r="AQ677">
        <f t="shared" si="305"/>
        <v>0</v>
      </c>
      <c r="AR677">
        <f t="shared" si="306"/>
        <v>0</v>
      </c>
      <c r="AS677">
        <f t="shared" si="307"/>
        <v>1</v>
      </c>
    </row>
    <row r="678" spans="2:45" x14ac:dyDescent="0.3">
      <c r="B678">
        <v>677</v>
      </c>
      <c r="C678" s="1">
        <v>41220</v>
      </c>
      <c r="D678">
        <v>4</v>
      </c>
      <c r="E678">
        <v>1</v>
      </c>
      <c r="F678">
        <v>11</v>
      </c>
      <c r="G678">
        <v>3</v>
      </c>
      <c r="H678">
        <v>2</v>
      </c>
      <c r="I678">
        <v>326</v>
      </c>
      <c r="J678">
        <v>4709</v>
      </c>
      <c r="K678" s="8">
        <v>5035</v>
      </c>
      <c r="L678">
        <v>12.129153000000001</v>
      </c>
      <c r="M678">
        <v>13.73105</v>
      </c>
      <c r="N678">
        <v>54.75</v>
      </c>
      <c r="O678">
        <v>20.375236000000001</v>
      </c>
      <c r="P678">
        <v>0</v>
      </c>
      <c r="Q678">
        <v>1</v>
      </c>
      <c r="R678">
        <f t="shared" si="280"/>
        <v>0</v>
      </c>
      <c r="S678">
        <f t="shared" si="281"/>
        <v>0</v>
      </c>
      <c r="T678">
        <f t="shared" si="282"/>
        <v>0</v>
      </c>
      <c r="U678">
        <f t="shared" si="283"/>
        <v>0</v>
      </c>
      <c r="V678">
        <f t="shared" si="284"/>
        <v>0</v>
      </c>
      <c r="W678">
        <f t="shared" si="285"/>
        <v>0</v>
      </c>
      <c r="X678">
        <f t="shared" si="286"/>
        <v>0</v>
      </c>
      <c r="Y678">
        <f t="shared" si="287"/>
        <v>0</v>
      </c>
      <c r="Z678">
        <f t="shared" si="288"/>
        <v>0</v>
      </c>
      <c r="AA678">
        <f t="shared" si="289"/>
        <v>0</v>
      </c>
      <c r="AB678">
        <f t="shared" si="290"/>
        <v>1</v>
      </c>
      <c r="AC678">
        <f t="shared" si="291"/>
        <v>0</v>
      </c>
      <c r="AD678">
        <f t="shared" si="292"/>
        <v>0</v>
      </c>
      <c r="AE678">
        <f t="shared" si="293"/>
        <v>0</v>
      </c>
      <c r="AF678">
        <f t="shared" si="294"/>
        <v>0</v>
      </c>
      <c r="AG678">
        <f t="shared" si="295"/>
        <v>1</v>
      </c>
      <c r="AH678">
        <f t="shared" si="296"/>
        <v>0</v>
      </c>
      <c r="AI678">
        <f t="shared" si="297"/>
        <v>0</v>
      </c>
      <c r="AJ678">
        <f t="shared" si="298"/>
        <v>0</v>
      </c>
      <c r="AK678">
        <f t="shared" si="299"/>
        <v>0</v>
      </c>
      <c r="AL678">
        <f t="shared" si="300"/>
        <v>1</v>
      </c>
      <c r="AM678">
        <f t="shared" si="301"/>
        <v>0</v>
      </c>
      <c r="AN678">
        <f t="shared" si="302"/>
        <v>0</v>
      </c>
      <c r="AO678">
        <f t="shared" si="303"/>
        <v>1</v>
      </c>
      <c r="AP678">
        <f t="shared" si="304"/>
        <v>0</v>
      </c>
      <c r="AQ678">
        <f t="shared" si="305"/>
        <v>0</v>
      </c>
      <c r="AR678">
        <f t="shared" si="306"/>
        <v>0</v>
      </c>
      <c r="AS678">
        <f t="shared" si="307"/>
        <v>1</v>
      </c>
    </row>
    <row r="679" spans="2:45" x14ac:dyDescent="0.3">
      <c r="B679">
        <v>678</v>
      </c>
      <c r="C679" s="1">
        <v>41221</v>
      </c>
      <c r="D679">
        <v>4</v>
      </c>
      <c r="E679">
        <v>1</v>
      </c>
      <c r="F679">
        <v>11</v>
      </c>
      <c r="G679">
        <v>4</v>
      </c>
      <c r="H679">
        <v>1</v>
      </c>
      <c r="I679">
        <v>340</v>
      </c>
      <c r="J679">
        <v>4975</v>
      </c>
      <c r="K679" s="8">
        <v>5315</v>
      </c>
      <c r="L679">
        <v>14.439133999999999</v>
      </c>
      <c r="M679">
        <v>17.094550000000002</v>
      </c>
      <c r="N679">
        <v>33.347799999999999</v>
      </c>
      <c r="O679">
        <v>23.304945</v>
      </c>
      <c r="P679">
        <v>0</v>
      </c>
      <c r="Q679">
        <v>1</v>
      </c>
      <c r="R679">
        <f t="shared" si="280"/>
        <v>0</v>
      </c>
      <c r="S679">
        <f t="shared" si="281"/>
        <v>0</v>
      </c>
      <c r="T679">
        <f t="shared" si="282"/>
        <v>0</v>
      </c>
      <c r="U679">
        <f t="shared" si="283"/>
        <v>0</v>
      </c>
      <c r="V679">
        <f t="shared" si="284"/>
        <v>0</v>
      </c>
      <c r="W679">
        <f t="shared" si="285"/>
        <v>0</v>
      </c>
      <c r="X679">
        <f t="shared" si="286"/>
        <v>0</v>
      </c>
      <c r="Y679">
        <f t="shared" si="287"/>
        <v>0</v>
      </c>
      <c r="Z679">
        <f t="shared" si="288"/>
        <v>0</v>
      </c>
      <c r="AA679">
        <f t="shared" si="289"/>
        <v>0</v>
      </c>
      <c r="AB679">
        <f t="shared" si="290"/>
        <v>1</v>
      </c>
      <c r="AC679">
        <f t="shared" si="291"/>
        <v>0</v>
      </c>
      <c r="AD679">
        <f t="shared" si="292"/>
        <v>0</v>
      </c>
      <c r="AE679">
        <f t="shared" si="293"/>
        <v>0</v>
      </c>
      <c r="AF679">
        <f t="shared" si="294"/>
        <v>0</v>
      </c>
      <c r="AG679">
        <f t="shared" si="295"/>
        <v>0</v>
      </c>
      <c r="AH679">
        <f t="shared" si="296"/>
        <v>1</v>
      </c>
      <c r="AI679">
        <f t="shared" si="297"/>
        <v>0</v>
      </c>
      <c r="AJ679">
        <f t="shared" si="298"/>
        <v>0</v>
      </c>
      <c r="AK679">
        <f t="shared" si="299"/>
        <v>1</v>
      </c>
      <c r="AL679">
        <f t="shared" si="300"/>
        <v>0</v>
      </c>
      <c r="AM679">
        <f t="shared" si="301"/>
        <v>0</v>
      </c>
      <c r="AN679">
        <f t="shared" si="302"/>
        <v>0</v>
      </c>
      <c r="AO679">
        <f t="shared" si="303"/>
        <v>1</v>
      </c>
      <c r="AP679">
        <f t="shared" si="304"/>
        <v>0</v>
      </c>
      <c r="AQ679">
        <f t="shared" si="305"/>
        <v>0</v>
      </c>
      <c r="AR679">
        <f t="shared" si="306"/>
        <v>0</v>
      </c>
      <c r="AS679">
        <f t="shared" si="307"/>
        <v>1</v>
      </c>
    </row>
    <row r="680" spans="2:45" x14ac:dyDescent="0.3">
      <c r="B680">
        <v>679</v>
      </c>
      <c r="C680" s="1">
        <v>41222</v>
      </c>
      <c r="D680">
        <v>4</v>
      </c>
      <c r="E680">
        <v>1</v>
      </c>
      <c r="F680">
        <v>11</v>
      </c>
      <c r="G680">
        <v>5</v>
      </c>
      <c r="H680">
        <v>1</v>
      </c>
      <c r="I680">
        <v>709</v>
      </c>
      <c r="J680">
        <v>5283</v>
      </c>
      <c r="K680" s="8">
        <v>5992</v>
      </c>
      <c r="L680">
        <v>14.828347000000001</v>
      </c>
      <c r="M680">
        <v>17.77065</v>
      </c>
      <c r="N680">
        <v>54.083300000000001</v>
      </c>
      <c r="O680">
        <v>14.375386000000001</v>
      </c>
      <c r="P680">
        <v>0</v>
      </c>
      <c r="Q680">
        <v>1</v>
      </c>
      <c r="R680">
        <f t="shared" si="280"/>
        <v>0</v>
      </c>
      <c r="S680">
        <f t="shared" si="281"/>
        <v>0</v>
      </c>
      <c r="T680">
        <f t="shared" si="282"/>
        <v>0</v>
      </c>
      <c r="U680">
        <f t="shared" si="283"/>
        <v>0</v>
      </c>
      <c r="V680">
        <f t="shared" si="284"/>
        <v>0</v>
      </c>
      <c r="W680">
        <f t="shared" si="285"/>
        <v>0</v>
      </c>
      <c r="X680">
        <f t="shared" si="286"/>
        <v>0</v>
      </c>
      <c r="Y680">
        <f t="shared" si="287"/>
        <v>0</v>
      </c>
      <c r="Z680">
        <f t="shared" si="288"/>
        <v>0</v>
      </c>
      <c r="AA680">
        <f t="shared" si="289"/>
        <v>0</v>
      </c>
      <c r="AB680">
        <f t="shared" si="290"/>
        <v>1</v>
      </c>
      <c r="AC680">
        <f t="shared" si="291"/>
        <v>0</v>
      </c>
      <c r="AD680">
        <f t="shared" si="292"/>
        <v>0</v>
      </c>
      <c r="AE680">
        <f t="shared" si="293"/>
        <v>0</v>
      </c>
      <c r="AF680">
        <f t="shared" si="294"/>
        <v>0</v>
      </c>
      <c r="AG680">
        <f t="shared" si="295"/>
        <v>0</v>
      </c>
      <c r="AH680">
        <f t="shared" si="296"/>
        <v>0</v>
      </c>
      <c r="AI680">
        <f t="shared" si="297"/>
        <v>1</v>
      </c>
      <c r="AJ680">
        <f t="shared" si="298"/>
        <v>0</v>
      </c>
      <c r="AK680">
        <f t="shared" si="299"/>
        <v>1</v>
      </c>
      <c r="AL680">
        <f t="shared" si="300"/>
        <v>0</v>
      </c>
      <c r="AM680">
        <f t="shared" si="301"/>
        <v>0</v>
      </c>
      <c r="AN680">
        <f t="shared" si="302"/>
        <v>0</v>
      </c>
      <c r="AO680">
        <f t="shared" si="303"/>
        <v>1</v>
      </c>
      <c r="AP680">
        <f t="shared" si="304"/>
        <v>0</v>
      </c>
      <c r="AQ680">
        <f t="shared" si="305"/>
        <v>0</v>
      </c>
      <c r="AR680">
        <f t="shared" si="306"/>
        <v>0</v>
      </c>
      <c r="AS680">
        <f t="shared" si="307"/>
        <v>1</v>
      </c>
    </row>
    <row r="681" spans="2:45" x14ac:dyDescent="0.3">
      <c r="B681">
        <v>680</v>
      </c>
      <c r="C681" s="1">
        <v>41223</v>
      </c>
      <c r="D681">
        <v>4</v>
      </c>
      <c r="E681">
        <v>1</v>
      </c>
      <c r="F681">
        <v>11</v>
      </c>
      <c r="G681">
        <v>6</v>
      </c>
      <c r="H681">
        <v>1</v>
      </c>
      <c r="I681">
        <v>2090</v>
      </c>
      <c r="J681">
        <v>4446</v>
      </c>
      <c r="K681" s="8">
        <v>6536</v>
      </c>
      <c r="L681">
        <v>15.955847</v>
      </c>
      <c r="M681">
        <v>19.696850000000001</v>
      </c>
      <c r="N681">
        <v>64.541700000000006</v>
      </c>
      <c r="O681">
        <v>3.8756686</v>
      </c>
      <c r="P681">
        <v>0</v>
      </c>
      <c r="Q681">
        <v>0</v>
      </c>
      <c r="R681">
        <f t="shared" si="280"/>
        <v>0</v>
      </c>
      <c r="S681">
        <f t="shared" si="281"/>
        <v>0</v>
      </c>
      <c r="T681">
        <f t="shared" si="282"/>
        <v>0</v>
      </c>
      <c r="U681">
        <f t="shared" si="283"/>
        <v>0</v>
      </c>
      <c r="V681">
        <f t="shared" si="284"/>
        <v>0</v>
      </c>
      <c r="W681">
        <f t="shared" si="285"/>
        <v>0</v>
      </c>
      <c r="X681">
        <f t="shared" si="286"/>
        <v>0</v>
      </c>
      <c r="Y681">
        <f t="shared" si="287"/>
        <v>0</v>
      </c>
      <c r="Z681">
        <f t="shared" si="288"/>
        <v>0</v>
      </c>
      <c r="AA681">
        <f t="shared" si="289"/>
        <v>0</v>
      </c>
      <c r="AB681">
        <f t="shared" si="290"/>
        <v>1</v>
      </c>
      <c r="AC681">
        <f t="shared" si="291"/>
        <v>0</v>
      </c>
      <c r="AD681">
        <f t="shared" si="292"/>
        <v>0</v>
      </c>
      <c r="AE681">
        <f t="shared" si="293"/>
        <v>0</v>
      </c>
      <c r="AF681">
        <f t="shared" si="294"/>
        <v>0</v>
      </c>
      <c r="AG681">
        <f t="shared" si="295"/>
        <v>0</v>
      </c>
      <c r="AH681">
        <f t="shared" si="296"/>
        <v>0</v>
      </c>
      <c r="AI681">
        <f t="shared" si="297"/>
        <v>0</v>
      </c>
      <c r="AJ681">
        <f t="shared" si="298"/>
        <v>1</v>
      </c>
      <c r="AK681">
        <f t="shared" si="299"/>
        <v>1</v>
      </c>
      <c r="AL681">
        <f t="shared" si="300"/>
        <v>0</v>
      </c>
      <c r="AM681">
        <f t="shared" si="301"/>
        <v>0</v>
      </c>
      <c r="AN681">
        <f t="shared" si="302"/>
        <v>0</v>
      </c>
      <c r="AO681">
        <f t="shared" si="303"/>
        <v>1</v>
      </c>
      <c r="AP681">
        <f t="shared" si="304"/>
        <v>0</v>
      </c>
      <c r="AQ681">
        <f t="shared" si="305"/>
        <v>0</v>
      </c>
      <c r="AR681">
        <f t="shared" si="306"/>
        <v>0</v>
      </c>
      <c r="AS681">
        <f t="shared" si="307"/>
        <v>1</v>
      </c>
    </row>
    <row r="682" spans="2:45" x14ac:dyDescent="0.3">
      <c r="B682">
        <v>681</v>
      </c>
      <c r="C682" s="1">
        <v>41224</v>
      </c>
      <c r="D682">
        <v>4</v>
      </c>
      <c r="E682">
        <v>1</v>
      </c>
      <c r="F682">
        <v>11</v>
      </c>
      <c r="G682">
        <v>0</v>
      </c>
      <c r="H682">
        <v>1</v>
      </c>
      <c r="I682">
        <v>2290</v>
      </c>
      <c r="J682">
        <v>4562</v>
      </c>
      <c r="K682" s="8">
        <v>6852</v>
      </c>
      <c r="L682">
        <v>17.254152999999999</v>
      </c>
      <c r="M682">
        <v>21.085650000000001</v>
      </c>
      <c r="N682">
        <v>65.916700000000006</v>
      </c>
      <c r="O682">
        <v>8.5425000000000004</v>
      </c>
      <c r="P682">
        <v>0</v>
      </c>
      <c r="Q682">
        <v>0</v>
      </c>
      <c r="R682">
        <f t="shared" si="280"/>
        <v>0</v>
      </c>
      <c r="S682">
        <f t="shared" si="281"/>
        <v>0</v>
      </c>
      <c r="T682">
        <f t="shared" si="282"/>
        <v>0</v>
      </c>
      <c r="U682">
        <f t="shared" si="283"/>
        <v>0</v>
      </c>
      <c r="V682">
        <f t="shared" si="284"/>
        <v>0</v>
      </c>
      <c r="W682">
        <f t="shared" si="285"/>
        <v>0</v>
      </c>
      <c r="X682">
        <f t="shared" si="286"/>
        <v>0</v>
      </c>
      <c r="Y682">
        <f t="shared" si="287"/>
        <v>0</v>
      </c>
      <c r="Z682">
        <f t="shared" si="288"/>
        <v>0</v>
      </c>
      <c r="AA682">
        <f t="shared" si="289"/>
        <v>0</v>
      </c>
      <c r="AB682">
        <f t="shared" si="290"/>
        <v>1</v>
      </c>
      <c r="AC682">
        <f t="shared" si="291"/>
        <v>0</v>
      </c>
      <c r="AD682">
        <f t="shared" si="292"/>
        <v>1</v>
      </c>
      <c r="AE682">
        <f t="shared" si="293"/>
        <v>0</v>
      </c>
      <c r="AF682">
        <f t="shared" si="294"/>
        <v>0</v>
      </c>
      <c r="AG682">
        <f t="shared" si="295"/>
        <v>0</v>
      </c>
      <c r="AH682">
        <f t="shared" si="296"/>
        <v>0</v>
      </c>
      <c r="AI682">
        <f t="shared" si="297"/>
        <v>0</v>
      </c>
      <c r="AJ682">
        <f t="shared" si="298"/>
        <v>0</v>
      </c>
      <c r="AK682">
        <f t="shared" si="299"/>
        <v>1</v>
      </c>
      <c r="AL682">
        <f t="shared" si="300"/>
        <v>0</v>
      </c>
      <c r="AM682">
        <f t="shared" si="301"/>
        <v>0</v>
      </c>
      <c r="AN682">
        <f t="shared" si="302"/>
        <v>0</v>
      </c>
      <c r="AO682">
        <f t="shared" si="303"/>
        <v>1</v>
      </c>
      <c r="AP682">
        <f t="shared" si="304"/>
        <v>0</v>
      </c>
      <c r="AQ682">
        <f t="shared" si="305"/>
        <v>0</v>
      </c>
      <c r="AR682">
        <f t="shared" si="306"/>
        <v>0</v>
      </c>
      <c r="AS682">
        <f t="shared" si="307"/>
        <v>1</v>
      </c>
    </row>
    <row r="683" spans="2:45" x14ac:dyDescent="0.3">
      <c r="B683">
        <v>682</v>
      </c>
      <c r="C683" s="1">
        <v>41225</v>
      </c>
      <c r="D683">
        <v>4</v>
      </c>
      <c r="E683">
        <v>1</v>
      </c>
      <c r="F683">
        <v>11</v>
      </c>
      <c r="G683">
        <v>1</v>
      </c>
      <c r="H683">
        <v>1</v>
      </c>
      <c r="I683">
        <v>1097</v>
      </c>
      <c r="J683">
        <v>5172</v>
      </c>
      <c r="K683" s="8">
        <v>6269</v>
      </c>
      <c r="L683">
        <v>19.885000000000002</v>
      </c>
      <c r="M683">
        <v>23.76915</v>
      </c>
      <c r="N683">
        <v>74.166700000000006</v>
      </c>
      <c r="O683">
        <v>11.625639</v>
      </c>
      <c r="P683">
        <v>1</v>
      </c>
      <c r="Q683">
        <v>0</v>
      </c>
      <c r="R683">
        <f t="shared" si="280"/>
        <v>0</v>
      </c>
      <c r="S683">
        <f t="shared" si="281"/>
        <v>0</v>
      </c>
      <c r="T683">
        <f t="shared" si="282"/>
        <v>0</v>
      </c>
      <c r="U683">
        <f t="shared" si="283"/>
        <v>0</v>
      </c>
      <c r="V683">
        <f t="shared" si="284"/>
        <v>0</v>
      </c>
      <c r="W683">
        <f t="shared" si="285"/>
        <v>0</v>
      </c>
      <c r="X683">
        <f t="shared" si="286"/>
        <v>0</v>
      </c>
      <c r="Y683">
        <f t="shared" si="287"/>
        <v>0</v>
      </c>
      <c r="Z683">
        <f t="shared" si="288"/>
        <v>0</v>
      </c>
      <c r="AA683">
        <f t="shared" si="289"/>
        <v>0</v>
      </c>
      <c r="AB683">
        <f t="shared" si="290"/>
        <v>1</v>
      </c>
      <c r="AC683">
        <f t="shared" si="291"/>
        <v>0</v>
      </c>
      <c r="AD683">
        <f t="shared" si="292"/>
        <v>0</v>
      </c>
      <c r="AE683">
        <f t="shared" si="293"/>
        <v>1</v>
      </c>
      <c r="AF683">
        <f t="shared" si="294"/>
        <v>0</v>
      </c>
      <c r="AG683">
        <f t="shared" si="295"/>
        <v>0</v>
      </c>
      <c r="AH683">
        <f t="shared" si="296"/>
        <v>0</v>
      </c>
      <c r="AI683">
        <f t="shared" si="297"/>
        <v>0</v>
      </c>
      <c r="AJ683">
        <f t="shared" si="298"/>
        <v>0</v>
      </c>
      <c r="AK683">
        <f t="shared" si="299"/>
        <v>1</v>
      </c>
      <c r="AL683">
        <f t="shared" si="300"/>
        <v>0</v>
      </c>
      <c r="AM683">
        <f t="shared" si="301"/>
        <v>0</v>
      </c>
      <c r="AN683">
        <f t="shared" si="302"/>
        <v>0</v>
      </c>
      <c r="AO683">
        <f t="shared" si="303"/>
        <v>1</v>
      </c>
      <c r="AP683">
        <f t="shared" si="304"/>
        <v>0</v>
      </c>
      <c r="AQ683">
        <f t="shared" si="305"/>
        <v>0</v>
      </c>
      <c r="AR683">
        <f t="shared" si="306"/>
        <v>0</v>
      </c>
      <c r="AS683">
        <f t="shared" si="307"/>
        <v>1</v>
      </c>
    </row>
    <row r="684" spans="2:45" x14ac:dyDescent="0.3">
      <c r="B684">
        <v>683</v>
      </c>
      <c r="C684" s="1">
        <v>41226</v>
      </c>
      <c r="D684">
        <v>4</v>
      </c>
      <c r="E684">
        <v>1</v>
      </c>
      <c r="F684">
        <v>11</v>
      </c>
      <c r="G684">
        <v>2</v>
      </c>
      <c r="H684">
        <v>2</v>
      </c>
      <c r="I684">
        <v>327</v>
      </c>
      <c r="J684">
        <v>3767</v>
      </c>
      <c r="K684" s="8">
        <v>4094</v>
      </c>
      <c r="L684">
        <v>14.076653</v>
      </c>
      <c r="M684">
        <v>16.161249999999999</v>
      </c>
      <c r="N684">
        <v>66.291700000000006</v>
      </c>
      <c r="O684">
        <v>22.917082000000001</v>
      </c>
      <c r="P684">
        <v>0</v>
      </c>
      <c r="Q684">
        <v>1</v>
      </c>
      <c r="R684">
        <f t="shared" si="280"/>
        <v>0</v>
      </c>
      <c r="S684">
        <f t="shared" si="281"/>
        <v>0</v>
      </c>
      <c r="T684">
        <f t="shared" si="282"/>
        <v>0</v>
      </c>
      <c r="U684">
        <f t="shared" si="283"/>
        <v>0</v>
      </c>
      <c r="V684">
        <f t="shared" si="284"/>
        <v>0</v>
      </c>
      <c r="W684">
        <f t="shared" si="285"/>
        <v>0</v>
      </c>
      <c r="X684">
        <f t="shared" si="286"/>
        <v>0</v>
      </c>
      <c r="Y684">
        <f t="shared" si="287"/>
        <v>0</v>
      </c>
      <c r="Z684">
        <f t="shared" si="288"/>
        <v>0</v>
      </c>
      <c r="AA684">
        <f t="shared" si="289"/>
        <v>0</v>
      </c>
      <c r="AB684">
        <f t="shared" si="290"/>
        <v>1</v>
      </c>
      <c r="AC684">
        <f t="shared" si="291"/>
        <v>0</v>
      </c>
      <c r="AD684">
        <f t="shared" si="292"/>
        <v>0</v>
      </c>
      <c r="AE684">
        <f t="shared" si="293"/>
        <v>0</v>
      </c>
      <c r="AF684">
        <f t="shared" si="294"/>
        <v>1</v>
      </c>
      <c r="AG684">
        <f t="shared" si="295"/>
        <v>0</v>
      </c>
      <c r="AH684">
        <f t="shared" si="296"/>
        <v>0</v>
      </c>
      <c r="AI684">
        <f t="shared" si="297"/>
        <v>0</v>
      </c>
      <c r="AJ684">
        <f t="shared" si="298"/>
        <v>0</v>
      </c>
      <c r="AK684">
        <f t="shared" si="299"/>
        <v>0</v>
      </c>
      <c r="AL684">
        <f t="shared" si="300"/>
        <v>1</v>
      </c>
      <c r="AM684">
        <f t="shared" si="301"/>
        <v>0</v>
      </c>
      <c r="AN684">
        <f t="shared" si="302"/>
        <v>0</v>
      </c>
      <c r="AO684">
        <f t="shared" si="303"/>
        <v>1</v>
      </c>
      <c r="AP684">
        <f t="shared" si="304"/>
        <v>0</v>
      </c>
      <c r="AQ684">
        <f t="shared" si="305"/>
        <v>0</v>
      </c>
      <c r="AR684">
        <f t="shared" si="306"/>
        <v>0</v>
      </c>
      <c r="AS684">
        <f t="shared" si="307"/>
        <v>1</v>
      </c>
    </row>
    <row r="685" spans="2:45" x14ac:dyDescent="0.3">
      <c r="B685">
        <v>684</v>
      </c>
      <c r="C685" s="1">
        <v>41227</v>
      </c>
      <c r="D685">
        <v>4</v>
      </c>
      <c r="E685">
        <v>1</v>
      </c>
      <c r="F685">
        <v>11</v>
      </c>
      <c r="G685">
        <v>3</v>
      </c>
      <c r="H685">
        <v>1</v>
      </c>
      <c r="I685">
        <v>373</v>
      </c>
      <c r="J685">
        <v>5122</v>
      </c>
      <c r="K685" s="8">
        <v>5495</v>
      </c>
      <c r="L685">
        <v>11.855847000000001</v>
      </c>
      <c r="M685">
        <v>14.078150000000001</v>
      </c>
      <c r="N685">
        <v>55.208300000000001</v>
      </c>
      <c r="O685">
        <v>13.374874999999999</v>
      </c>
      <c r="P685">
        <v>0</v>
      </c>
      <c r="Q685">
        <v>1</v>
      </c>
      <c r="R685">
        <f t="shared" si="280"/>
        <v>0</v>
      </c>
      <c r="S685">
        <f t="shared" si="281"/>
        <v>0</v>
      </c>
      <c r="T685">
        <f t="shared" si="282"/>
        <v>0</v>
      </c>
      <c r="U685">
        <f t="shared" si="283"/>
        <v>0</v>
      </c>
      <c r="V685">
        <f t="shared" si="284"/>
        <v>0</v>
      </c>
      <c r="W685">
        <f t="shared" si="285"/>
        <v>0</v>
      </c>
      <c r="X685">
        <f t="shared" si="286"/>
        <v>0</v>
      </c>
      <c r="Y685">
        <f t="shared" si="287"/>
        <v>0</v>
      </c>
      <c r="Z685">
        <f t="shared" si="288"/>
        <v>0</v>
      </c>
      <c r="AA685">
        <f t="shared" si="289"/>
        <v>0</v>
      </c>
      <c r="AB685">
        <f t="shared" si="290"/>
        <v>1</v>
      </c>
      <c r="AC685">
        <f t="shared" si="291"/>
        <v>0</v>
      </c>
      <c r="AD685">
        <f t="shared" si="292"/>
        <v>0</v>
      </c>
      <c r="AE685">
        <f t="shared" si="293"/>
        <v>0</v>
      </c>
      <c r="AF685">
        <f t="shared" si="294"/>
        <v>0</v>
      </c>
      <c r="AG685">
        <f t="shared" si="295"/>
        <v>1</v>
      </c>
      <c r="AH685">
        <f t="shared" si="296"/>
        <v>0</v>
      </c>
      <c r="AI685">
        <f t="shared" si="297"/>
        <v>0</v>
      </c>
      <c r="AJ685">
        <f t="shared" si="298"/>
        <v>0</v>
      </c>
      <c r="AK685">
        <f t="shared" si="299"/>
        <v>1</v>
      </c>
      <c r="AL685">
        <f t="shared" si="300"/>
        <v>0</v>
      </c>
      <c r="AM685">
        <f t="shared" si="301"/>
        <v>0</v>
      </c>
      <c r="AN685">
        <f t="shared" si="302"/>
        <v>0</v>
      </c>
      <c r="AO685">
        <f t="shared" si="303"/>
        <v>1</v>
      </c>
      <c r="AP685">
        <f t="shared" si="304"/>
        <v>0</v>
      </c>
      <c r="AQ685">
        <f t="shared" si="305"/>
        <v>0</v>
      </c>
      <c r="AR685">
        <f t="shared" si="306"/>
        <v>0</v>
      </c>
      <c r="AS685">
        <f t="shared" si="307"/>
        <v>1</v>
      </c>
    </row>
    <row r="686" spans="2:45" x14ac:dyDescent="0.3">
      <c r="B686">
        <v>685</v>
      </c>
      <c r="C686" s="1">
        <v>41228</v>
      </c>
      <c r="D686">
        <v>4</v>
      </c>
      <c r="E686">
        <v>1</v>
      </c>
      <c r="F686">
        <v>11</v>
      </c>
      <c r="G686">
        <v>4</v>
      </c>
      <c r="H686">
        <v>2</v>
      </c>
      <c r="I686">
        <v>320</v>
      </c>
      <c r="J686">
        <v>5125</v>
      </c>
      <c r="K686" s="8">
        <v>5445</v>
      </c>
      <c r="L686">
        <v>13.188347</v>
      </c>
      <c r="M686">
        <v>16.224599999999999</v>
      </c>
      <c r="N686">
        <v>62.041699999999999</v>
      </c>
      <c r="O686">
        <v>10.250128999999999</v>
      </c>
      <c r="P686">
        <v>0</v>
      </c>
      <c r="Q686">
        <v>1</v>
      </c>
      <c r="R686">
        <f t="shared" si="280"/>
        <v>0</v>
      </c>
      <c r="S686">
        <f t="shared" si="281"/>
        <v>0</v>
      </c>
      <c r="T686">
        <f t="shared" si="282"/>
        <v>0</v>
      </c>
      <c r="U686">
        <f t="shared" si="283"/>
        <v>0</v>
      </c>
      <c r="V686">
        <f t="shared" si="284"/>
        <v>0</v>
      </c>
      <c r="W686">
        <f t="shared" si="285"/>
        <v>0</v>
      </c>
      <c r="X686">
        <f t="shared" si="286"/>
        <v>0</v>
      </c>
      <c r="Y686">
        <f t="shared" si="287"/>
        <v>0</v>
      </c>
      <c r="Z686">
        <f t="shared" si="288"/>
        <v>0</v>
      </c>
      <c r="AA686">
        <f t="shared" si="289"/>
        <v>0</v>
      </c>
      <c r="AB686">
        <f t="shared" si="290"/>
        <v>1</v>
      </c>
      <c r="AC686">
        <f t="shared" si="291"/>
        <v>0</v>
      </c>
      <c r="AD686">
        <f t="shared" si="292"/>
        <v>0</v>
      </c>
      <c r="AE686">
        <f t="shared" si="293"/>
        <v>0</v>
      </c>
      <c r="AF686">
        <f t="shared" si="294"/>
        <v>0</v>
      </c>
      <c r="AG686">
        <f t="shared" si="295"/>
        <v>0</v>
      </c>
      <c r="AH686">
        <f t="shared" si="296"/>
        <v>1</v>
      </c>
      <c r="AI686">
        <f t="shared" si="297"/>
        <v>0</v>
      </c>
      <c r="AJ686">
        <f t="shared" si="298"/>
        <v>0</v>
      </c>
      <c r="AK686">
        <f t="shared" si="299"/>
        <v>0</v>
      </c>
      <c r="AL686">
        <f t="shared" si="300"/>
        <v>1</v>
      </c>
      <c r="AM686">
        <f t="shared" si="301"/>
        <v>0</v>
      </c>
      <c r="AN686">
        <f t="shared" si="302"/>
        <v>0</v>
      </c>
      <c r="AO686">
        <f t="shared" si="303"/>
        <v>1</v>
      </c>
      <c r="AP686">
        <f t="shared" si="304"/>
        <v>0</v>
      </c>
      <c r="AQ686">
        <f t="shared" si="305"/>
        <v>0</v>
      </c>
      <c r="AR686">
        <f t="shared" si="306"/>
        <v>0</v>
      </c>
      <c r="AS686">
        <f t="shared" si="307"/>
        <v>1</v>
      </c>
    </row>
    <row r="687" spans="2:45" x14ac:dyDescent="0.3">
      <c r="B687">
        <v>686</v>
      </c>
      <c r="C687" s="1">
        <v>41229</v>
      </c>
      <c r="D687">
        <v>4</v>
      </c>
      <c r="E687">
        <v>1</v>
      </c>
      <c r="F687">
        <v>11</v>
      </c>
      <c r="G687">
        <v>5</v>
      </c>
      <c r="H687">
        <v>1</v>
      </c>
      <c r="I687">
        <v>484</v>
      </c>
      <c r="J687">
        <v>5214</v>
      </c>
      <c r="K687" s="8">
        <v>5698</v>
      </c>
      <c r="L687">
        <v>14.145</v>
      </c>
      <c r="M687">
        <v>17.360199999999999</v>
      </c>
      <c r="N687">
        <v>52.458300000000001</v>
      </c>
      <c r="O687">
        <v>11.458674999999999</v>
      </c>
      <c r="P687">
        <v>0</v>
      </c>
      <c r="Q687">
        <v>1</v>
      </c>
      <c r="R687">
        <f t="shared" si="280"/>
        <v>0</v>
      </c>
      <c r="S687">
        <f t="shared" si="281"/>
        <v>0</v>
      </c>
      <c r="T687">
        <f t="shared" si="282"/>
        <v>0</v>
      </c>
      <c r="U687">
        <f t="shared" si="283"/>
        <v>0</v>
      </c>
      <c r="V687">
        <f t="shared" si="284"/>
        <v>0</v>
      </c>
      <c r="W687">
        <f t="shared" si="285"/>
        <v>0</v>
      </c>
      <c r="X687">
        <f t="shared" si="286"/>
        <v>0</v>
      </c>
      <c r="Y687">
        <f t="shared" si="287"/>
        <v>0</v>
      </c>
      <c r="Z687">
        <f t="shared" si="288"/>
        <v>0</v>
      </c>
      <c r="AA687">
        <f t="shared" si="289"/>
        <v>0</v>
      </c>
      <c r="AB687">
        <f t="shared" si="290"/>
        <v>1</v>
      </c>
      <c r="AC687">
        <f t="shared" si="291"/>
        <v>0</v>
      </c>
      <c r="AD687">
        <f t="shared" si="292"/>
        <v>0</v>
      </c>
      <c r="AE687">
        <f t="shared" si="293"/>
        <v>0</v>
      </c>
      <c r="AF687">
        <f t="shared" si="294"/>
        <v>0</v>
      </c>
      <c r="AG687">
        <f t="shared" si="295"/>
        <v>0</v>
      </c>
      <c r="AH687">
        <f t="shared" si="296"/>
        <v>0</v>
      </c>
      <c r="AI687">
        <f t="shared" si="297"/>
        <v>1</v>
      </c>
      <c r="AJ687">
        <f t="shared" si="298"/>
        <v>0</v>
      </c>
      <c r="AK687">
        <f t="shared" si="299"/>
        <v>1</v>
      </c>
      <c r="AL687">
        <f t="shared" si="300"/>
        <v>0</v>
      </c>
      <c r="AM687">
        <f t="shared" si="301"/>
        <v>0</v>
      </c>
      <c r="AN687">
        <f t="shared" si="302"/>
        <v>0</v>
      </c>
      <c r="AO687">
        <f t="shared" si="303"/>
        <v>1</v>
      </c>
      <c r="AP687">
        <f t="shared" si="304"/>
        <v>0</v>
      </c>
      <c r="AQ687">
        <f t="shared" si="305"/>
        <v>0</v>
      </c>
      <c r="AR687">
        <f t="shared" si="306"/>
        <v>0</v>
      </c>
      <c r="AS687">
        <f t="shared" si="307"/>
        <v>1</v>
      </c>
    </row>
    <row r="688" spans="2:45" x14ac:dyDescent="0.3">
      <c r="B688">
        <v>687</v>
      </c>
      <c r="C688" s="1">
        <v>41230</v>
      </c>
      <c r="D688">
        <v>4</v>
      </c>
      <c r="E688">
        <v>1</v>
      </c>
      <c r="F688">
        <v>11</v>
      </c>
      <c r="G688">
        <v>6</v>
      </c>
      <c r="H688">
        <v>1</v>
      </c>
      <c r="I688">
        <v>1313</v>
      </c>
      <c r="J688">
        <v>4316</v>
      </c>
      <c r="K688" s="8">
        <v>5629</v>
      </c>
      <c r="L688">
        <v>13.324999999999999</v>
      </c>
      <c r="M688">
        <v>16.31915</v>
      </c>
      <c r="N688">
        <v>54.541699999999999</v>
      </c>
      <c r="O688">
        <v>12.041843</v>
      </c>
      <c r="P688">
        <v>0</v>
      </c>
      <c r="Q688">
        <v>0</v>
      </c>
      <c r="R688">
        <f t="shared" si="280"/>
        <v>0</v>
      </c>
      <c r="S688">
        <f t="shared" si="281"/>
        <v>0</v>
      </c>
      <c r="T688">
        <f t="shared" si="282"/>
        <v>0</v>
      </c>
      <c r="U688">
        <f t="shared" si="283"/>
        <v>0</v>
      </c>
      <c r="V688">
        <f t="shared" si="284"/>
        <v>0</v>
      </c>
      <c r="W688">
        <f t="shared" si="285"/>
        <v>0</v>
      </c>
      <c r="X688">
        <f t="shared" si="286"/>
        <v>0</v>
      </c>
      <c r="Y688">
        <f t="shared" si="287"/>
        <v>0</v>
      </c>
      <c r="Z688">
        <f t="shared" si="288"/>
        <v>0</v>
      </c>
      <c r="AA688">
        <f t="shared" si="289"/>
        <v>0</v>
      </c>
      <c r="AB688">
        <f t="shared" si="290"/>
        <v>1</v>
      </c>
      <c r="AC688">
        <f t="shared" si="291"/>
        <v>0</v>
      </c>
      <c r="AD688">
        <f t="shared" si="292"/>
        <v>0</v>
      </c>
      <c r="AE688">
        <f t="shared" si="293"/>
        <v>0</v>
      </c>
      <c r="AF688">
        <f t="shared" si="294"/>
        <v>0</v>
      </c>
      <c r="AG688">
        <f t="shared" si="295"/>
        <v>0</v>
      </c>
      <c r="AH688">
        <f t="shared" si="296"/>
        <v>0</v>
      </c>
      <c r="AI688">
        <f t="shared" si="297"/>
        <v>0</v>
      </c>
      <c r="AJ688">
        <f t="shared" si="298"/>
        <v>1</v>
      </c>
      <c r="AK688">
        <f t="shared" si="299"/>
        <v>1</v>
      </c>
      <c r="AL688">
        <f t="shared" si="300"/>
        <v>0</v>
      </c>
      <c r="AM688">
        <f t="shared" si="301"/>
        <v>0</v>
      </c>
      <c r="AN688">
        <f t="shared" si="302"/>
        <v>0</v>
      </c>
      <c r="AO688">
        <f t="shared" si="303"/>
        <v>1</v>
      </c>
      <c r="AP688">
        <f t="shared" si="304"/>
        <v>0</v>
      </c>
      <c r="AQ688">
        <f t="shared" si="305"/>
        <v>0</v>
      </c>
      <c r="AR688">
        <f t="shared" si="306"/>
        <v>0</v>
      </c>
      <c r="AS688">
        <f t="shared" si="307"/>
        <v>1</v>
      </c>
    </row>
    <row r="689" spans="2:45" x14ac:dyDescent="0.3">
      <c r="B689">
        <v>688</v>
      </c>
      <c r="C689" s="1">
        <v>41231</v>
      </c>
      <c r="D689">
        <v>4</v>
      </c>
      <c r="E689">
        <v>1</v>
      </c>
      <c r="F689">
        <v>11</v>
      </c>
      <c r="G689">
        <v>0</v>
      </c>
      <c r="H689">
        <v>1</v>
      </c>
      <c r="I689">
        <v>922</v>
      </c>
      <c r="J689">
        <v>3747</v>
      </c>
      <c r="K689" s="8">
        <v>4669</v>
      </c>
      <c r="L689">
        <v>14.0425</v>
      </c>
      <c r="M689">
        <v>16.8873</v>
      </c>
      <c r="N689">
        <v>69.291700000000006</v>
      </c>
      <c r="O689">
        <v>15.250004000000001</v>
      </c>
      <c r="P689">
        <v>0</v>
      </c>
      <c r="Q689">
        <v>0</v>
      </c>
      <c r="R689">
        <f t="shared" si="280"/>
        <v>0</v>
      </c>
      <c r="S689">
        <f t="shared" si="281"/>
        <v>0</v>
      </c>
      <c r="T689">
        <f t="shared" si="282"/>
        <v>0</v>
      </c>
      <c r="U689">
        <f t="shared" si="283"/>
        <v>0</v>
      </c>
      <c r="V689">
        <f t="shared" si="284"/>
        <v>0</v>
      </c>
      <c r="W689">
        <f t="shared" si="285"/>
        <v>0</v>
      </c>
      <c r="X689">
        <f t="shared" si="286"/>
        <v>0</v>
      </c>
      <c r="Y689">
        <f t="shared" si="287"/>
        <v>0</v>
      </c>
      <c r="Z689">
        <f t="shared" si="288"/>
        <v>0</v>
      </c>
      <c r="AA689">
        <f t="shared" si="289"/>
        <v>0</v>
      </c>
      <c r="AB689">
        <f t="shared" si="290"/>
        <v>1</v>
      </c>
      <c r="AC689">
        <f t="shared" si="291"/>
        <v>0</v>
      </c>
      <c r="AD689">
        <f t="shared" si="292"/>
        <v>1</v>
      </c>
      <c r="AE689">
        <f t="shared" si="293"/>
        <v>0</v>
      </c>
      <c r="AF689">
        <f t="shared" si="294"/>
        <v>0</v>
      </c>
      <c r="AG689">
        <f t="shared" si="295"/>
        <v>0</v>
      </c>
      <c r="AH689">
        <f t="shared" si="296"/>
        <v>0</v>
      </c>
      <c r="AI689">
        <f t="shared" si="297"/>
        <v>0</v>
      </c>
      <c r="AJ689">
        <f t="shared" si="298"/>
        <v>0</v>
      </c>
      <c r="AK689">
        <f t="shared" si="299"/>
        <v>1</v>
      </c>
      <c r="AL689">
        <f t="shared" si="300"/>
        <v>0</v>
      </c>
      <c r="AM689">
        <f t="shared" si="301"/>
        <v>0</v>
      </c>
      <c r="AN689">
        <f t="shared" si="302"/>
        <v>0</v>
      </c>
      <c r="AO689">
        <f t="shared" si="303"/>
        <v>1</v>
      </c>
      <c r="AP689">
        <f t="shared" si="304"/>
        <v>0</v>
      </c>
      <c r="AQ689">
        <f t="shared" si="305"/>
        <v>0</v>
      </c>
      <c r="AR689">
        <f t="shared" si="306"/>
        <v>0</v>
      </c>
      <c r="AS689">
        <f t="shared" si="307"/>
        <v>1</v>
      </c>
    </row>
    <row r="690" spans="2:45" x14ac:dyDescent="0.3">
      <c r="B690">
        <v>689</v>
      </c>
      <c r="C690" s="1">
        <v>41232</v>
      </c>
      <c r="D690">
        <v>4</v>
      </c>
      <c r="E690">
        <v>1</v>
      </c>
      <c r="F690">
        <v>11</v>
      </c>
      <c r="G690">
        <v>1</v>
      </c>
      <c r="H690">
        <v>2</v>
      </c>
      <c r="I690">
        <v>449</v>
      </c>
      <c r="J690">
        <v>5050</v>
      </c>
      <c r="K690" s="8">
        <v>5499</v>
      </c>
      <c r="L690">
        <v>15.614153</v>
      </c>
      <c r="M690">
        <v>18.78105</v>
      </c>
      <c r="N690">
        <v>62.333300000000001</v>
      </c>
      <c r="O690">
        <v>15.749489000000001</v>
      </c>
      <c r="P690">
        <v>0</v>
      </c>
      <c r="Q690">
        <v>1</v>
      </c>
      <c r="R690">
        <f t="shared" si="280"/>
        <v>0</v>
      </c>
      <c r="S690">
        <f t="shared" si="281"/>
        <v>0</v>
      </c>
      <c r="T690">
        <f t="shared" si="282"/>
        <v>0</v>
      </c>
      <c r="U690">
        <f t="shared" si="283"/>
        <v>0</v>
      </c>
      <c r="V690">
        <f t="shared" si="284"/>
        <v>0</v>
      </c>
      <c r="W690">
        <f t="shared" si="285"/>
        <v>0</v>
      </c>
      <c r="X690">
        <f t="shared" si="286"/>
        <v>0</v>
      </c>
      <c r="Y690">
        <f t="shared" si="287"/>
        <v>0</v>
      </c>
      <c r="Z690">
        <f t="shared" si="288"/>
        <v>0</v>
      </c>
      <c r="AA690">
        <f t="shared" si="289"/>
        <v>0</v>
      </c>
      <c r="AB690">
        <f t="shared" si="290"/>
        <v>1</v>
      </c>
      <c r="AC690">
        <f t="shared" si="291"/>
        <v>0</v>
      </c>
      <c r="AD690">
        <f t="shared" si="292"/>
        <v>0</v>
      </c>
      <c r="AE690">
        <f t="shared" si="293"/>
        <v>1</v>
      </c>
      <c r="AF690">
        <f t="shared" si="294"/>
        <v>0</v>
      </c>
      <c r="AG690">
        <f t="shared" si="295"/>
        <v>0</v>
      </c>
      <c r="AH690">
        <f t="shared" si="296"/>
        <v>0</v>
      </c>
      <c r="AI690">
        <f t="shared" si="297"/>
        <v>0</v>
      </c>
      <c r="AJ690">
        <f t="shared" si="298"/>
        <v>0</v>
      </c>
      <c r="AK690">
        <f t="shared" si="299"/>
        <v>0</v>
      </c>
      <c r="AL690">
        <f t="shared" si="300"/>
        <v>1</v>
      </c>
      <c r="AM690">
        <f t="shared" si="301"/>
        <v>0</v>
      </c>
      <c r="AN690">
        <f t="shared" si="302"/>
        <v>0</v>
      </c>
      <c r="AO690">
        <f t="shared" si="303"/>
        <v>1</v>
      </c>
      <c r="AP690">
        <f t="shared" si="304"/>
        <v>0</v>
      </c>
      <c r="AQ690">
        <f t="shared" si="305"/>
        <v>0</v>
      </c>
      <c r="AR690">
        <f t="shared" si="306"/>
        <v>0</v>
      </c>
      <c r="AS690">
        <f t="shared" si="307"/>
        <v>1</v>
      </c>
    </row>
    <row r="691" spans="2:45" x14ac:dyDescent="0.3">
      <c r="B691">
        <v>690</v>
      </c>
      <c r="C691" s="1">
        <v>41233</v>
      </c>
      <c r="D691">
        <v>4</v>
      </c>
      <c r="E691">
        <v>1</v>
      </c>
      <c r="F691">
        <v>11</v>
      </c>
      <c r="G691">
        <v>2</v>
      </c>
      <c r="H691">
        <v>2</v>
      </c>
      <c r="I691">
        <v>534</v>
      </c>
      <c r="J691">
        <v>5100</v>
      </c>
      <c r="K691" s="8">
        <v>5634</v>
      </c>
      <c r="L691">
        <v>15.340847</v>
      </c>
      <c r="M691">
        <v>19.033349999999999</v>
      </c>
      <c r="N691">
        <v>68.5</v>
      </c>
      <c r="O691">
        <v>5.5425750000000003</v>
      </c>
      <c r="P691">
        <v>0</v>
      </c>
      <c r="Q691">
        <v>1</v>
      </c>
      <c r="R691">
        <f t="shared" si="280"/>
        <v>0</v>
      </c>
      <c r="S691">
        <f t="shared" si="281"/>
        <v>0</v>
      </c>
      <c r="T691">
        <f t="shared" si="282"/>
        <v>0</v>
      </c>
      <c r="U691">
        <f t="shared" si="283"/>
        <v>0</v>
      </c>
      <c r="V691">
        <f t="shared" si="284"/>
        <v>0</v>
      </c>
      <c r="W691">
        <f t="shared" si="285"/>
        <v>0</v>
      </c>
      <c r="X691">
        <f t="shared" si="286"/>
        <v>0</v>
      </c>
      <c r="Y691">
        <f t="shared" si="287"/>
        <v>0</v>
      </c>
      <c r="Z691">
        <f t="shared" si="288"/>
        <v>0</v>
      </c>
      <c r="AA691">
        <f t="shared" si="289"/>
        <v>0</v>
      </c>
      <c r="AB691">
        <f t="shared" si="290"/>
        <v>1</v>
      </c>
      <c r="AC691">
        <f t="shared" si="291"/>
        <v>0</v>
      </c>
      <c r="AD691">
        <f t="shared" si="292"/>
        <v>0</v>
      </c>
      <c r="AE691">
        <f t="shared" si="293"/>
        <v>0</v>
      </c>
      <c r="AF691">
        <f t="shared" si="294"/>
        <v>1</v>
      </c>
      <c r="AG691">
        <f t="shared" si="295"/>
        <v>0</v>
      </c>
      <c r="AH691">
        <f t="shared" si="296"/>
        <v>0</v>
      </c>
      <c r="AI691">
        <f t="shared" si="297"/>
        <v>0</v>
      </c>
      <c r="AJ691">
        <f t="shared" si="298"/>
        <v>0</v>
      </c>
      <c r="AK691">
        <f t="shared" si="299"/>
        <v>0</v>
      </c>
      <c r="AL691">
        <f t="shared" si="300"/>
        <v>1</v>
      </c>
      <c r="AM691">
        <f t="shared" si="301"/>
        <v>0</v>
      </c>
      <c r="AN691">
        <f t="shared" si="302"/>
        <v>0</v>
      </c>
      <c r="AO691">
        <f t="shared" si="303"/>
        <v>1</v>
      </c>
      <c r="AP691">
        <f t="shared" si="304"/>
        <v>0</v>
      </c>
      <c r="AQ691">
        <f t="shared" si="305"/>
        <v>0</v>
      </c>
      <c r="AR691">
        <f t="shared" si="306"/>
        <v>0</v>
      </c>
      <c r="AS691">
        <f t="shared" si="307"/>
        <v>1</v>
      </c>
    </row>
    <row r="692" spans="2:45" x14ac:dyDescent="0.3">
      <c r="B692">
        <v>691</v>
      </c>
      <c r="C692" s="1">
        <v>41234</v>
      </c>
      <c r="D692">
        <v>4</v>
      </c>
      <c r="E692">
        <v>1</v>
      </c>
      <c r="F692">
        <v>11</v>
      </c>
      <c r="G692">
        <v>3</v>
      </c>
      <c r="H692">
        <v>1</v>
      </c>
      <c r="I692">
        <v>615</v>
      </c>
      <c r="J692">
        <v>4531</v>
      </c>
      <c r="K692" s="8">
        <v>5146</v>
      </c>
      <c r="L692">
        <v>14.486653</v>
      </c>
      <c r="M692">
        <v>18.244599999999998</v>
      </c>
      <c r="N692">
        <v>61.375</v>
      </c>
      <c r="O692">
        <v>6.9174819999999997</v>
      </c>
      <c r="P692">
        <v>0</v>
      </c>
      <c r="Q692">
        <v>1</v>
      </c>
      <c r="R692">
        <f t="shared" si="280"/>
        <v>0</v>
      </c>
      <c r="S692">
        <f t="shared" si="281"/>
        <v>0</v>
      </c>
      <c r="T692">
        <f t="shared" si="282"/>
        <v>0</v>
      </c>
      <c r="U692">
        <f t="shared" si="283"/>
        <v>0</v>
      </c>
      <c r="V692">
        <f t="shared" si="284"/>
        <v>0</v>
      </c>
      <c r="W692">
        <f t="shared" si="285"/>
        <v>0</v>
      </c>
      <c r="X692">
        <f t="shared" si="286"/>
        <v>0</v>
      </c>
      <c r="Y692">
        <f t="shared" si="287"/>
        <v>0</v>
      </c>
      <c r="Z692">
        <f t="shared" si="288"/>
        <v>0</v>
      </c>
      <c r="AA692">
        <f t="shared" si="289"/>
        <v>0</v>
      </c>
      <c r="AB692">
        <f t="shared" si="290"/>
        <v>1</v>
      </c>
      <c r="AC692">
        <f t="shared" si="291"/>
        <v>0</v>
      </c>
      <c r="AD692">
        <f t="shared" si="292"/>
        <v>0</v>
      </c>
      <c r="AE692">
        <f t="shared" si="293"/>
        <v>0</v>
      </c>
      <c r="AF692">
        <f t="shared" si="294"/>
        <v>0</v>
      </c>
      <c r="AG692">
        <f t="shared" si="295"/>
        <v>1</v>
      </c>
      <c r="AH692">
        <f t="shared" si="296"/>
        <v>0</v>
      </c>
      <c r="AI692">
        <f t="shared" si="297"/>
        <v>0</v>
      </c>
      <c r="AJ692">
        <f t="shared" si="298"/>
        <v>0</v>
      </c>
      <c r="AK692">
        <f t="shared" si="299"/>
        <v>1</v>
      </c>
      <c r="AL692">
        <f t="shared" si="300"/>
        <v>0</v>
      </c>
      <c r="AM692">
        <f t="shared" si="301"/>
        <v>0</v>
      </c>
      <c r="AN692">
        <f t="shared" si="302"/>
        <v>0</v>
      </c>
      <c r="AO692">
        <f t="shared" si="303"/>
        <v>1</v>
      </c>
      <c r="AP692">
        <f t="shared" si="304"/>
        <v>0</v>
      </c>
      <c r="AQ692">
        <f t="shared" si="305"/>
        <v>0</v>
      </c>
      <c r="AR692">
        <f t="shared" si="306"/>
        <v>0</v>
      </c>
      <c r="AS692">
        <f t="shared" si="307"/>
        <v>1</v>
      </c>
    </row>
    <row r="693" spans="2:45" x14ac:dyDescent="0.3">
      <c r="B693">
        <v>692</v>
      </c>
      <c r="C693" s="1">
        <v>41235</v>
      </c>
      <c r="D693">
        <v>4</v>
      </c>
      <c r="E693">
        <v>1</v>
      </c>
      <c r="F693">
        <v>11</v>
      </c>
      <c r="G693">
        <v>4</v>
      </c>
      <c r="H693">
        <v>1</v>
      </c>
      <c r="I693">
        <v>955</v>
      </c>
      <c r="J693">
        <v>1470</v>
      </c>
      <c r="K693" s="8">
        <v>2425</v>
      </c>
      <c r="L693">
        <v>13.94</v>
      </c>
      <c r="M693">
        <v>17.518550000000001</v>
      </c>
      <c r="N693">
        <v>58.041699999999999</v>
      </c>
      <c r="O693">
        <v>3.5423436000000001</v>
      </c>
      <c r="P693">
        <v>1</v>
      </c>
      <c r="Q693">
        <v>0</v>
      </c>
      <c r="R693">
        <f t="shared" si="280"/>
        <v>0</v>
      </c>
      <c r="S693">
        <f t="shared" si="281"/>
        <v>0</v>
      </c>
      <c r="T693">
        <f t="shared" si="282"/>
        <v>0</v>
      </c>
      <c r="U693">
        <f t="shared" si="283"/>
        <v>0</v>
      </c>
      <c r="V693">
        <f t="shared" si="284"/>
        <v>0</v>
      </c>
      <c r="W693">
        <f t="shared" si="285"/>
        <v>0</v>
      </c>
      <c r="X693">
        <f t="shared" si="286"/>
        <v>0</v>
      </c>
      <c r="Y693">
        <f t="shared" si="287"/>
        <v>0</v>
      </c>
      <c r="Z693">
        <f t="shared" si="288"/>
        <v>0</v>
      </c>
      <c r="AA693">
        <f t="shared" si="289"/>
        <v>0</v>
      </c>
      <c r="AB693">
        <f t="shared" si="290"/>
        <v>1</v>
      </c>
      <c r="AC693">
        <f t="shared" si="291"/>
        <v>0</v>
      </c>
      <c r="AD693">
        <f t="shared" si="292"/>
        <v>0</v>
      </c>
      <c r="AE693">
        <f t="shared" si="293"/>
        <v>0</v>
      </c>
      <c r="AF693">
        <f t="shared" si="294"/>
        <v>0</v>
      </c>
      <c r="AG693">
        <f t="shared" si="295"/>
        <v>0</v>
      </c>
      <c r="AH693">
        <f t="shared" si="296"/>
        <v>1</v>
      </c>
      <c r="AI693">
        <f t="shared" si="297"/>
        <v>0</v>
      </c>
      <c r="AJ693">
        <f t="shared" si="298"/>
        <v>0</v>
      </c>
      <c r="AK693">
        <f t="shared" si="299"/>
        <v>1</v>
      </c>
      <c r="AL693">
        <f t="shared" si="300"/>
        <v>0</v>
      </c>
      <c r="AM693">
        <f t="shared" si="301"/>
        <v>0</v>
      </c>
      <c r="AN693">
        <f t="shared" si="302"/>
        <v>0</v>
      </c>
      <c r="AO693">
        <f t="shared" si="303"/>
        <v>1</v>
      </c>
      <c r="AP693">
        <f t="shared" si="304"/>
        <v>0</v>
      </c>
      <c r="AQ693">
        <f t="shared" si="305"/>
        <v>0</v>
      </c>
      <c r="AR693">
        <f t="shared" si="306"/>
        <v>0</v>
      </c>
      <c r="AS693">
        <f t="shared" si="307"/>
        <v>1</v>
      </c>
    </row>
    <row r="694" spans="2:45" x14ac:dyDescent="0.3">
      <c r="B694">
        <v>693</v>
      </c>
      <c r="C694" s="1">
        <v>41236</v>
      </c>
      <c r="D694">
        <v>4</v>
      </c>
      <c r="E694">
        <v>1</v>
      </c>
      <c r="F694">
        <v>11</v>
      </c>
      <c r="G694">
        <v>5</v>
      </c>
      <c r="H694">
        <v>1</v>
      </c>
      <c r="I694">
        <v>1603</v>
      </c>
      <c r="J694">
        <v>2307</v>
      </c>
      <c r="K694" s="8">
        <v>3910</v>
      </c>
      <c r="L694">
        <v>15.101653000000001</v>
      </c>
      <c r="M694">
        <v>18.938949999999998</v>
      </c>
      <c r="N694">
        <v>56.875</v>
      </c>
      <c r="O694">
        <v>9.9174070000000007</v>
      </c>
      <c r="P694">
        <v>0</v>
      </c>
      <c r="Q694">
        <v>1</v>
      </c>
      <c r="R694">
        <f t="shared" si="280"/>
        <v>0</v>
      </c>
      <c r="S694">
        <f t="shared" si="281"/>
        <v>0</v>
      </c>
      <c r="T694">
        <f t="shared" si="282"/>
        <v>0</v>
      </c>
      <c r="U694">
        <f t="shared" si="283"/>
        <v>0</v>
      </c>
      <c r="V694">
        <f t="shared" si="284"/>
        <v>0</v>
      </c>
      <c r="W694">
        <f t="shared" si="285"/>
        <v>0</v>
      </c>
      <c r="X694">
        <f t="shared" si="286"/>
        <v>0</v>
      </c>
      <c r="Y694">
        <f t="shared" si="287"/>
        <v>0</v>
      </c>
      <c r="Z694">
        <f t="shared" si="288"/>
        <v>0</v>
      </c>
      <c r="AA694">
        <f t="shared" si="289"/>
        <v>0</v>
      </c>
      <c r="AB694">
        <f t="shared" si="290"/>
        <v>1</v>
      </c>
      <c r="AC694">
        <f t="shared" si="291"/>
        <v>0</v>
      </c>
      <c r="AD694">
        <f t="shared" si="292"/>
        <v>0</v>
      </c>
      <c r="AE694">
        <f t="shared" si="293"/>
        <v>0</v>
      </c>
      <c r="AF694">
        <f t="shared" si="294"/>
        <v>0</v>
      </c>
      <c r="AG694">
        <f t="shared" si="295"/>
        <v>0</v>
      </c>
      <c r="AH694">
        <f t="shared" si="296"/>
        <v>0</v>
      </c>
      <c r="AI694">
        <f t="shared" si="297"/>
        <v>1</v>
      </c>
      <c r="AJ694">
        <f t="shared" si="298"/>
        <v>0</v>
      </c>
      <c r="AK694">
        <f t="shared" si="299"/>
        <v>1</v>
      </c>
      <c r="AL694">
        <f t="shared" si="300"/>
        <v>0</v>
      </c>
      <c r="AM694">
        <f t="shared" si="301"/>
        <v>0</v>
      </c>
      <c r="AN694">
        <f t="shared" si="302"/>
        <v>0</v>
      </c>
      <c r="AO694">
        <f t="shared" si="303"/>
        <v>1</v>
      </c>
      <c r="AP694">
        <f t="shared" si="304"/>
        <v>0</v>
      </c>
      <c r="AQ694">
        <f t="shared" si="305"/>
        <v>0</v>
      </c>
      <c r="AR694">
        <f t="shared" si="306"/>
        <v>0</v>
      </c>
      <c r="AS694">
        <f t="shared" si="307"/>
        <v>1</v>
      </c>
    </row>
    <row r="695" spans="2:45" x14ac:dyDescent="0.3">
      <c r="B695">
        <v>694</v>
      </c>
      <c r="C695" s="1">
        <v>41237</v>
      </c>
      <c r="D695">
        <v>4</v>
      </c>
      <c r="E695">
        <v>1</v>
      </c>
      <c r="F695">
        <v>11</v>
      </c>
      <c r="G695">
        <v>6</v>
      </c>
      <c r="H695">
        <v>1</v>
      </c>
      <c r="I695">
        <v>532</v>
      </c>
      <c r="J695">
        <v>1745</v>
      </c>
      <c r="K695" s="8">
        <v>2277</v>
      </c>
      <c r="L695">
        <v>11.411652999999999</v>
      </c>
      <c r="M695">
        <v>12.437099999999999</v>
      </c>
      <c r="N695">
        <v>40.458300000000001</v>
      </c>
      <c r="O695">
        <v>25.250357000000001</v>
      </c>
      <c r="P695">
        <v>0</v>
      </c>
      <c r="Q695">
        <v>0</v>
      </c>
      <c r="R695">
        <f t="shared" si="280"/>
        <v>0</v>
      </c>
      <c r="S695">
        <f t="shared" si="281"/>
        <v>0</v>
      </c>
      <c r="T695">
        <f t="shared" si="282"/>
        <v>0</v>
      </c>
      <c r="U695">
        <f t="shared" si="283"/>
        <v>0</v>
      </c>
      <c r="V695">
        <f t="shared" si="284"/>
        <v>0</v>
      </c>
      <c r="W695">
        <f t="shared" si="285"/>
        <v>0</v>
      </c>
      <c r="X695">
        <f t="shared" si="286"/>
        <v>0</v>
      </c>
      <c r="Y695">
        <f t="shared" si="287"/>
        <v>0</v>
      </c>
      <c r="Z695">
        <f t="shared" si="288"/>
        <v>0</v>
      </c>
      <c r="AA695">
        <f t="shared" si="289"/>
        <v>0</v>
      </c>
      <c r="AB695">
        <f t="shared" si="290"/>
        <v>1</v>
      </c>
      <c r="AC695">
        <f t="shared" si="291"/>
        <v>0</v>
      </c>
      <c r="AD695">
        <f t="shared" si="292"/>
        <v>0</v>
      </c>
      <c r="AE695">
        <f t="shared" si="293"/>
        <v>0</v>
      </c>
      <c r="AF695">
        <f t="shared" si="294"/>
        <v>0</v>
      </c>
      <c r="AG695">
        <f t="shared" si="295"/>
        <v>0</v>
      </c>
      <c r="AH695">
        <f t="shared" si="296"/>
        <v>0</v>
      </c>
      <c r="AI695">
        <f t="shared" si="297"/>
        <v>0</v>
      </c>
      <c r="AJ695">
        <f t="shared" si="298"/>
        <v>1</v>
      </c>
      <c r="AK695">
        <f t="shared" si="299"/>
        <v>1</v>
      </c>
      <c r="AL695">
        <f t="shared" si="300"/>
        <v>0</v>
      </c>
      <c r="AM695">
        <f t="shared" si="301"/>
        <v>0</v>
      </c>
      <c r="AN695">
        <f t="shared" si="302"/>
        <v>0</v>
      </c>
      <c r="AO695">
        <f t="shared" si="303"/>
        <v>1</v>
      </c>
      <c r="AP695">
        <f t="shared" si="304"/>
        <v>0</v>
      </c>
      <c r="AQ695">
        <f t="shared" si="305"/>
        <v>0</v>
      </c>
      <c r="AR695">
        <f t="shared" si="306"/>
        <v>0</v>
      </c>
      <c r="AS695">
        <f t="shared" si="307"/>
        <v>1</v>
      </c>
    </row>
    <row r="696" spans="2:45" x14ac:dyDescent="0.3">
      <c r="B696">
        <v>695</v>
      </c>
      <c r="C696" s="1">
        <v>41238</v>
      </c>
      <c r="D696">
        <v>4</v>
      </c>
      <c r="E696">
        <v>1</v>
      </c>
      <c r="F696">
        <v>11</v>
      </c>
      <c r="G696">
        <v>0</v>
      </c>
      <c r="H696">
        <v>1</v>
      </c>
      <c r="I696">
        <v>309</v>
      </c>
      <c r="J696">
        <v>2115</v>
      </c>
      <c r="K696" s="8">
        <v>2424</v>
      </c>
      <c r="L696">
        <v>10.079153</v>
      </c>
      <c r="M696">
        <v>12.879149999999999</v>
      </c>
      <c r="N696">
        <v>46.833300000000001</v>
      </c>
      <c r="O696">
        <v>10.083500000000001</v>
      </c>
      <c r="P696">
        <v>0</v>
      </c>
      <c r="Q696">
        <v>0</v>
      </c>
      <c r="R696">
        <f t="shared" si="280"/>
        <v>0</v>
      </c>
      <c r="S696">
        <f t="shared" si="281"/>
        <v>0</v>
      </c>
      <c r="T696">
        <f t="shared" si="282"/>
        <v>0</v>
      </c>
      <c r="U696">
        <f t="shared" si="283"/>
        <v>0</v>
      </c>
      <c r="V696">
        <f t="shared" si="284"/>
        <v>0</v>
      </c>
      <c r="W696">
        <f t="shared" si="285"/>
        <v>0</v>
      </c>
      <c r="X696">
        <f t="shared" si="286"/>
        <v>0</v>
      </c>
      <c r="Y696">
        <f t="shared" si="287"/>
        <v>0</v>
      </c>
      <c r="Z696">
        <f t="shared" si="288"/>
        <v>0</v>
      </c>
      <c r="AA696">
        <f t="shared" si="289"/>
        <v>0</v>
      </c>
      <c r="AB696">
        <f t="shared" si="290"/>
        <v>1</v>
      </c>
      <c r="AC696">
        <f t="shared" si="291"/>
        <v>0</v>
      </c>
      <c r="AD696">
        <f t="shared" si="292"/>
        <v>1</v>
      </c>
      <c r="AE696">
        <f t="shared" si="293"/>
        <v>0</v>
      </c>
      <c r="AF696">
        <f t="shared" si="294"/>
        <v>0</v>
      </c>
      <c r="AG696">
        <f t="shared" si="295"/>
        <v>0</v>
      </c>
      <c r="AH696">
        <f t="shared" si="296"/>
        <v>0</v>
      </c>
      <c r="AI696">
        <f t="shared" si="297"/>
        <v>0</v>
      </c>
      <c r="AJ696">
        <f t="shared" si="298"/>
        <v>0</v>
      </c>
      <c r="AK696">
        <f t="shared" si="299"/>
        <v>1</v>
      </c>
      <c r="AL696">
        <f t="shared" si="300"/>
        <v>0</v>
      </c>
      <c r="AM696">
        <f t="shared" si="301"/>
        <v>0</v>
      </c>
      <c r="AN696">
        <f t="shared" si="302"/>
        <v>0</v>
      </c>
      <c r="AO696">
        <f t="shared" si="303"/>
        <v>1</v>
      </c>
      <c r="AP696">
        <f t="shared" si="304"/>
        <v>0</v>
      </c>
      <c r="AQ696">
        <f t="shared" si="305"/>
        <v>0</v>
      </c>
      <c r="AR696">
        <f t="shared" si="306"/>
        <v>0</v>
      </c>
      <c r="AS696">
        <f t="shared" si="307"/>
        <v>1</v>
      </c>
    </row>
    <row r="697" spans="2:45" x14ac:dyDescent="0.3">
      <c r="B697">
        <v>696</v>
      </c>
      <c r="C697" s="1">
        <v>41239</v>
      </c>
      <c r="D697">
        <v>4</v>
      </c>
      <c r="E697">
        <v>1</v>
      </c>
      <c r="F697">
        <v>11</v>
      </c>
      <c r="G697">
        <v>1</v>
      </c>
      <c r="H697">
        <v>1</v>
      </c>
      <c r="I697">
        <v>337</v>
      </c>
      <c r="J697">
        <v>4750</v>
      </c>
      <c r="K697" s="8">
        <v>5087</v>
      </c>
      <c r="L697">
        <v>12.846653</v>
      </c>
      <c r="M697">
        <v>16.950199999999999</v>
      </c>
      <c r="N697">
        <v>53.541699999999999</v>
      </c>
      <c r="O697">
        <v>3.1255500000000001</v>
      </c>
      <c r="P697">
        <v>0</v>
      </c>
      <c r="Q697">
        <v>1</v>
      </c>
      <c r="R697">
        <f t="shared" si="280"/>
        <v>0</v>
      </c>
      <c r="S697">
        <f t="shared" si="281"/>
        <v>0</v>
      </c>
      <c r="T697">
        <f t="shared" si="282"/>
        <v>0</v>
      </c>
      <c r="U697">
        <f t="shared" si="283"/>
        <v>0</v>
      </c>
      <c r="V697">
        <f t="shared" si="284"/>
        <v>0</v>
      </c>
      <c r="W697">
        <f t="shared" si="285"/>
        <v>0</v>
      </c>
      <c r="X697">
        <f t="shared" si="286"/>
        <v>0</v>
      </c>
      <c r="Y697">
        <f t="shared" si="287"/>
        <v>0</v>
      </c>
      <c r="Z697">
        <f t="shared" si="288"/>
        <v>0</v>
      </c>
      <c r="AA697">
        <f t="shared" si="289"/>
        <v>0</v>
      </c>
      <c r="AB697">
        <f t="shared" si="290"/>
        <v>1</v>
      </c>
      <c r="AC697">
        <f t="shared" si="291"/>
        <v>0</v>
      </c>
      <c r="AD697">
        <f t="shared" si="292"/>
        <v>0</v>
      </c>
      <c r="AE697">
        <f t="shared" si="293"/>
        <v>1</v>
      </c>
      <c r="AF697">
        <f t="shared" si="294"/>
        <v>0</v>
      </c>
      <c r="AG697">
        <f t="shared" si="295"/>
        <v>0</v>
      </c>
      <c r="AH697">
        <f t="shared" si="296"/>
        <v>0</v>
      </c>
      <c r="AI697">
        <f t="shared" si="297"/>
        <v>0</v>
      </c>
      <c r="AJ697">
        <f t="shared" si="298"/>
        <v>0</v>
      </c>
      <c r="AK697">
        <f t="shared" si="299"/>
        <v>1</v>
      </c>
      <c r="AL697">
        <f t="shared" si="300"/>
        <v>0</v>
      </c>
      <c r="AM697">
        <f t="shared" si="301"/>
        <v>0</v>
      </c>
      <c r="AN697">
        <f t="shared" si="302"/>
        <v>0</v>
      </c>
      <c r="AO697">
        <f t="shared" si="303"/>
        <v>1</v>
      </c>
      <c r="AP697">
        <f t="shared" si="304"/>
        <v>0</v>
      </c>
      <c r="AQ697">
        <f t="shared" si="305"/>
        <v>0</v>
      </c>
      <c r="AR697">
        <f t="shared" si="306"/>
        <v>0</v>
      </c>
      <c r="AS697">
        <f t="shared" si="307"/>
        <v>1</v>
      </c>
    </row>
    <row r="698" spans="2:45" x14ac:dyDescent="0.3">
      <c r="B698">
        <v>697</v>
      </c>
      <c r="C698" s="1">
        <v>41240</v>
      </c>
      <c r="D698">
        <v>4</v>
      </c>
      <c r="E698">
        <v>1</v>
      </c>
      <c r="F698">
        <v>11</v>
      </c>
      <c r="G698">
        <v>2</v>
      </c>
      <c r="H698">
        <v>2</v>
      </c>
      <c r="I698">
        <v>123</v>
      </c>
      <c r="J698">
        <v>3836</v>
      </c>
      <c r="K698" s="8">
        <v>3959</v>
      </c>
      <c r="L698">
        <v>11.958347</v>
      </c>
      <c r="M698">
        <v>14.0779</v>
      </c>
      <c r="N698">
        <v>78.666700000000006</v>
      </c>
      <c r="O698">
        <v>15.916653999999999</v>
      </c>
      <c r="P698">
        <v>0</v>
      </c>
      <c r="Q698">
        <v>1</v>
      </c>
      <c r="R698">
        <f t="shared" si="280"/>
        <v>0</v>
      </c>
      <c r="S698">
        <f t="shared" si="281"/>
        <v>0</v>
      </c>
      <c r="T698">
        <f t="shared" si="282"/>
        <v>0</v>
      </c>
      <c r="U698">
        <f t="shared" si="283"/>
        <v>0</v>
      </c>
      <c r="V698">
        <f t="shared" si="284"/>
        <v>0</v>
      </c>
      <c r="W698">
        <f t="shared" si="285"/>
        <v>0</v>
      </c>
      <c r="X698">
        <f t="shared" si="286"/>
        <v>0</v>
      </c>
      <c r="Y698">
        <f t="shared" si="287"/>
        <v>0</v>
      </c>
      <c r="Z698">
        <f t="shared" si="288"/>
        <v>0</v>
      </c>
      <c r="AA698">
        <f t="shared" si="289"/>
        <v>0</v>
      </c>
      <c r="AB698">
        <f t="shared" si="290"/>
        <v>1</v>
      </c>
      <c r="AC698">
        <f t="shared" si="291"/>
        <v>0</v>
      </c>
      <c r="AD698">
        <f t="shared" si="292"/>
        <v>0</v>
      </c>
      <c r="AE698">
        <f t="shared" si="293"/>
        <v>0</v>
      </c>
      <c r="AF698">
        <f t="shared" si="294"/>
        <v>1</v>
      </c>
      <c r="AG698">
        <f t="shared" si="295"/>
        <v>0</v>
      </c>
      <c r="AH698">
        <f t="shared" si="296"/>
        <v>0</v>
      </c>
      <c r="AI698">
        <f t="shared" si="297"/>
        <v>0</v>
      </c>
      <c r="AJ698">
        <f t="shared" si="298"/>
        <v>0</v>
      </c>
      <c r="AK698">
        <f t="shared" si="299"/>
        <v>0</v>
      </c>
      <c r="AL698">
        <f t="shared" si="300"/>
        <v>1</v>
      </c>
      <c r="AM698">
        <f t="shared" si="301"/>
        <v>0</v>
      </c>
      <c r="AN698">
        <f t="shared" si="302"/>
        <v>0</v>
      </c>
      <c r="AO698">
        <f t="shared" si="303"/>
        <v>1</v>
      </c>
      <c r="AP698">
        <f t="shared" si="304"/>
        <v>0</v>
      </c>
      <c r="AQ698">
        <f t="shared" si="305"/>
        <v>0</v>
      </c>
      <c r="AR698">
        <f t="shared" si="306"/>
        <v>0</v>
      </c>
      <c r="AS698">
        <f t="shared" si="307"/>
        <v>1</v>
      </c>
    </row>
    <row r="699" spans="2:45" x14ac:dyDescent="0.3">
      <c r="B699">
        <v>698</v>
      </c>
      <c r="C699" s="1">
        <v>41241</v>
      </c>
      <c r="D699">
        <v>4</v>
      </c>
      <c r="E699">
        <v>1</v>
      </c>
      <c r="F699">
        <v>11</v>
      </c>
      <c r="G699">
        <v>3</v>
      </c>
      <c r="H699">
        <v>1</v>
      </c>
      <c r="I699">
        <v>198</v>
      </c>
      <c r="J699">
        <v>5062</v>
      </c>
      <c r="K699" s="8">
        <v>5260</v>
      </c>
      <c r="L699">
        <v>12.163347</v>
      </c>
      <c r="M699">
        <v>14.488099999999999</v>
      </c>
      <c r="N699">
        <v>50.625</v>
      </c>
      <c r="O699">
        <v>14.125007</v>
      </c>
      <c r="P699">
        <v>0</v>
      </c>
      <c r="Q699">
        <v>1</v>
      </c>
      <c r="R699">
        <f t="shared" si="280"/>
        <v>0</v>
      </c>
      <c r="S699">
        <f t="shared" si="281"/>
        <v>0</v>
      </c>
      <c r="T699">
        <f t="shared" si="282"/>
        <v>0</v>
      </c>
      <c r="U699">
        <f t="shared" si="283"/>
        <v>0</v>
      </c>
      <c r="V699">
        <f t="shared" si="284"/>
        <v>0</v>
      </c>
      <c r="W699">
        <f t="shared" si="285"/>
        <v>0</v>
      </c>
      <c r="X699">
        <f t="shared" si="286"/>
        <v>0</v>
      </c>
      <c r="Y699">
        <f t="shared" si="287"/>
        <v>0</v>
      </c>
      <c r="Z699">
        <f t="shared" si="288"/>
        <v>0</v>
      </c>
      <c r="AA699">
        <f t="shared" si="289"/>
        <v>0</v>
      </c>
      <c r="AB699">
        <f t="shared" si="290"/>
        <v>1</v>
      </c>
      <c r="AC699">
        <f t="shared" si="291"/>
        <v>0</v>
      </c>
      <c r="AD699">
        <f t="shared" si="292"/>
        <v>0</v>
      </c>
      <c r="AE699">
        <f t="shared" si="293"/>
        <v>0</v>
      </c>
      <c r="AF699">
        <f t="shared" si="294"/>
        <v>0</v>
      </c>
      <c r="AG699">
        <f t="shared" si="295"/>
        <v>1</v>
      </c>
      <c r="AH699">
        <f t="shared" si="296"/>
        <v>0</v>
      </c>
      <c r="AI699">
        <f t="shared" si="297"/>
        <v>0</v>
      </c>
      <c r="AJ699">
        <f t="shared" si="298"/>
        <v>0</v>
      </c>
      <c r="AK699">
        <f t="shared" si="299"/>
        <v>1</v>
      </c>
      <c r="AL699">
        <f t="shared" si="300"/>
        <v>0</v>
      </c>
      <c r="AM699">
        <f t="shared" si="301"/>
        <v>0</v>
      </c>
      <c r="AN699">
        <f t="shared" si="302"/>
        <v>0</v>
      </c>
      <c r="AO699">
        <f t="shared" si="303"/>
        <v>1</v>
      </c>
      <c r="AP699">
        <f t="shared" si="304"/>
        <v>0</v>
      </c>
      <c r="AQ699">
        <f t="shared" si="305"/>
        <v>0</v>
      </c>
      <c r="AR699">
        <f t="shared" si="306"/>
        <v>0</v>
      </c>
      <c r="AS699">
        <f t="shared" si="307"/>
        <v>1</v>
      </c>
    </row>
    <row r="700" spans="2:45" x14ac:dyDescent="0.3">
      <c r="B700">
        <v>699</v>
      </c>
      <c r="C700" s="1">
        <v>41242</v>
      </c>
      <c r="D700">
        <v>4</v>
      </c>
      <c r="E700">
        <v>1</v>
      </c>
      <c r="F700">
        <v>11</v>
      </c>
      <c r="G700">
        <v>4</v>
      </c>
      <c r="H700">
        <v>1</v>
      </c>
      <c r="I700">
        <v>243</v>
      </c>
      <c r="J700">
        <v>5080</v>
      </c>
      <c r="K700" s="8">
        <v>5323</v>
      </c>
      <c r="L700">
        <v>11.51567</v>
      </c>
      <c r="M700">
        <v>14.921099999999999</v>
      </c>
      <c r="N700">
        <v>55.565199999999997</v>
      </c>
      <c r="O700">
        <v>7.7399740000000001</v>
      </c>
      <c r="P700">
        <v>0</v>
      </c>
      <c r="Q700">
        <v>1</v>
      </c>
      <c r="R700">
        <f t="shared" si="280"/>
        <v>0</v>
      </c>
      <c r="S700">
        <f t="shared" si="281"/>
        <v>0</v>
      </c>
      <c r="T700">
        <f t="shared" si="282"/>
        <v>0</v>
      </c>
      <c r="U700">
        <f t="shared" si="283"/>
        <v>0</v>
      </c>
      <c r="V700">
        <f t="shared" si="284"/>
        <v>0</v>
      </c>
      <c r="W700">
        <f t="shared" si="285"/>
        <v>0</v>
      </c>
      <c r="X700">
        <f t="shared" si="286"/>
        <v>0</v>
      </c>
      <c r="Y700">
        <f t="shared" si="287"/>
        <v>0</v>
      </c>
      <c r="Z700">
        <f t="shared" si="288"/>
        <v>0</v>
      </c>
      <c r="AA700">
        <f t="shared" si="289"/>
        <v>0</v>
      </c>
      <c r="AB700">
        <f t="shared" si="290"/>
        <v>1</v>
      </c>
      <c r="AC700">
        <f t="shared" si="291"/>
        <v>0</v>
      </c>
      <c r="AD700">
        <f t="shared" si="292"/>
        <v>0</v>
      </c>
      <c r="AE700">
        <f t="shared" si="293"/>
        <v>0</v>
      </c>
      <c r="AF700">
        <f t="shared" si="294"/>
        <v>0</v>
      </c>
      <c r="AG700">
        <f t="shared" si="295"/>
        <v>0</v>
      </c>
      <c r="AH700">
        <f t="shared" si="296"/>
        <v>1</v>
      </c>
      <c r="AI700">
        <f t="shared" si="297"/>
        <v>0</v>
      </c>
      <c r="AJ700">
        <f t="shared" si="298"/>
        <v>0</v>
      </c>
      <c r="AK700">
        <f t="shared" si="299"/>
        <v>1</v>
      </c>
      <c r="AL700">
        <f t="shared" si="300"/>
        <v>0</v>
      </c>
      <c r="AM700">
        <f t="shared" si="301"/>
        <v>0</v>
      </c>
      <c r="AN700">
        <f t="shared" si="302"/>
        <v>0</v>
      </c>
      <c r="AO700">
        <f t="shared" si="303"/>
        <v>1</v>
      </c>
      <c r="AP700">
        <f t="shared" si="304"/>
        <v>0</v>
      </c>
      <c r="AQ700">
        <f t="shared" si="305"/>
        <v>0</v>
      </c>
      <c r="AR700">
        <f t="shared" si="306"/>
        <v>0</v>
      </c>
      <c r="AS700">
        <f t="shared" si="307"/>
        <v>1</v>
      </c>
    </row>
    <row r="701" spans="2:45" x14ac:dyDescent="0.3">
      <c r="B701">
        <v>700</v>
      </c>
      <c r="C701" s="1">
        <v>41243</v>
      </c>
      <c r="D701">
        <v>4</v>
      </c>
      <c r="E701">
        <v>1</v>
      </c>
      <c r="F701">
        <v>11</v>
      </c>
      <c r="G701">
        <v>5</v>
      </c>
      <c r="H701">
        <v>1</v>
      </c>
      <c r="I701">
        <v>362</v>
      </c>
      <c r="J701">
        <v>5306</v>
      </c>
      <c r="K701" s="8">
        <v>5668</v>
      </c>
      <c r="L701">
        <v>12.231653</v>
      </c>
      <c r="M701">
        <v>16.193349999999999</v>
      </c>
      <c r="N701">
        <v>64.958299999999994</v>
      </c>
      <c r="O701">
        <v>3.9175436000000001</v>
      </c>
      <c r="P701">
        <v>0</v>
      </c>
      <c r="Q701">
        <v>1</v>
      </c>
      <c r="R701">
        <f t="shared" si="280"/>
        <v>0</v>
      </c>
      <c r="S701">
        <f t="shared" si="281"/>
        <v>0</v>
      </c>
      <c r="T701">
        <f t="shared" si="282"/>
        <v>0</v>
      </c>
      <c r="U701">
        <f t="shared" si="283"/>
        <v>0</v>
      </c>
      <c r="V701">
        <f t="shared" si="284"/>
        <v>0</v>
      </c>
      <c r="W701">
        <f t="shared" si="285"/>
        <v>0</v>
      </c>
      <c r="X701">
        <f t="shared" si="286"/>
        <v>0</v>
      </c>
      <c r="Y701">
        <f t="shared" si="287"/>
        <v>0</v>
      </c>
      <c r="Z701">
        <f t="shared" si="288"/>
        <v>0</v>
      </c>
      <c r="AA701">
        <f t="shared" si="289"/>
        <v>0</v>
      </c>
      <c r="AB701">
        <f t="shared" si="290"/>
        <v>1</v>
      </c>
      <c r="AC701">
        <f t="shared" si="291"/>
        <v>0</v>
      </c>
      <c r="AD701">
        <f t="shared" si="292"/>
        <v>0</v>
      </c>
      <c r="AE701">
        <f t="shared" si="293"/>
        <v>0</v>
      </c>
      <c r="AF701">
        <f t="shared" si="294"/>
        <v>0</v>
      </c>
      <c r="AG701">
        <f t="shared" si="295"/>
        <v>0</v>
      </c>
      <c r="AH701">
        <f t="shared" si="296"/>
        <v>0</v>
      </c>
      <c r="AI701">
        <f t="shared" si="297"/>
        <v>1</v>
      </c>
      <c r="AJ701">
        <f t="shared" si="298"/>
        <v>0</v>
      </c>
      <c r="AK701">
        <f t="shared" si="299"/>
        <v>1</v>
      </c>
      <c r="AL701">
        <f t="shared" si="300"/>
        <v>0</v>
      </c>
      <c r="AM701">
        <f t="shared" si="301"/>
        <v>0</v>
      </c>
      <c r="AN701">
        <f t="shared" si="302"/>
        <v>0</v>
      </c>
      <c r="AO701">
        <f t="shared" si="303"/>
        <v>1</v>
      </c>
      <c r="AP701">
        <f t="shared" si="304"/>
        <v>0</v>
      </c>
      <c r="AQ701">
        <f t="shared" si="305"/>
        <v>0</v>
      </c>
      <c r="AR701">
        <f t="shared" si="306"/>
        <v>0</v>
      </c>
      <c r="AS701">
        <f t="shared" si="307"/>
        <v>1</v>
      </c>
    </row>
    <row r="702" spans="2:45" x14ac:dyDescent="0.3">
      <c r="B702">
        <v>701</v>
      </c>
      <c r="C702" s="1">
        <v>41244</v>
      </c>
      <c r="D702">
        <v>4</v>
      </c>
      <c r="E702">
        <v>1</v>
      </c>
      <c r="F702">
        <v>12</v>
      </c>
      <c r="G702">
        <v>6</v>
      </c>
      <c r="H702">
        <v>2</v>
      </c>
      <c r="I702">
        <v>951</v>
      </c>
      <c r="J702">
        <v>4240</v>
      </c>
      <c r="K702" s="8">
        <v>5191</v>
      </c>
      <c r="L702">
        <v>12.231653</v>
      </c>
      <c r="M702">
        <v>15.8452</v>
      </c>
      <c r="N702">
        <v>80.666700000000006</v>
      </c>
      <c r="O702">
        <v>4.0001813999999998</v>
      </c>
      <c r="P702">
        <v>0</v>
      </c>
      <c r="Q702">
        <v>0</v>
      </c>
      <c r="R702">
        <f t="shared" si="280"/>
        <v>0</v>
      </c>
      <c r="S702">
        <f t="shared" si="281"/>
        <v>0</v>
      </c>
      <c r="T702">
        <f t="shared" si="282"/>
        <v>0</v>
      </c>
      <c r="U702">
        <f t="shared" si="283"/>
        <v>0</v>
      </c>
      <c r="V702">
        <f t="shared" si="284"/>
        <v>0</v>
      </c>
      <c r="W702">
        <f t="shared" si="285"/>
        <v>0</v>
      </c>
      <c r="X702">
        <f t="shared" si="286"/>
        <v>0</v>
      </c>
      <c r="Y702">
        <f t="shared" si="287"/>
        <v>0</v>
      </c>
      <c r="Z702">
        <f t="shared" si="288"/>
        <v>0</v>
      </c>
      <c r="AA702">
        <f t="shared" si="289"/>
        <v>0</v>
      </c>
      <c r="AB702">
        <f t="shared" si="290"/>
        <v>0</v>
      </c>
      <c r="AC702">
        <f t="shared" si="291"/>
        <v>1</v>
      </c>
      <c r="AD702">
        <f t="shared" si="292"/>
        <v>0</v>
      </c>
      <c r="AE702">
        <f t="shared" si="293"/>
        <v>0</v>
      </c>
      <c r="AF702">
        <f t="shared" si="294"/>
        <v>0</v>
      </c>
      <c r="AG702">
        <f t="shared" si="295"/>
        <v>0</v>
      </c>
      <c r="AH702">
        <f t="shared" si="296"/>
        <v>0</v>
      </c>
      <c r="AI702">
        <f t="shared" si="297"/>
        <v>0</v>
      </c>
      <c r="AJ702">
        <f t="shared" si="298"/>
        <v>1</v>
      </c>
      <c r="AK702">
        <f t="shared" si="299"/>
        <v>0</v>
      </c>
      <c r="AL702">
        <f t="shared" si="300"/>
        <v>1</v>
      </c>
      <c r="AM702">
        <f t="shared" si="301"/>
        <v>0</v>
      </c>
      <c r="AN702">
        <f t="shared" si="302"/>
        <v>0</v>
      </c>
      <c r="AO702">
        <f t="shared" si="303"/>
        <v>1</v>
      </c>
      <c r="AP702">
        <f t="shared" si="304"/>
        <v>0</v>
      </c>
      <c r="AQ702">
        <f t="shared" si="305"/>
        <v>0</v>
      </c>
      <c r="AR702">
        <f t="shared" si="306"/>
        <v>0</v>
      </c>
      <c r="AS702">
        <f t="shared" si="307"/>
        <v>1</v>
      </c>
    </row>
    <row r="703" spans="2:45" x14ac:dyDescent="0.3">
      <c r="B703">
        <v>702</v>
      </c>
      <c r="C703" s="1">
        <v>41245</v>
      </c>
      <c r="D703">
        <v>4</v>
      </c>
      <c r="E703">
        <v>1</v>
      </c>
      <c r="F703">
        <v>12</v>
      </c>
      <c r="G703">
        <v>0</v>
      </c>
      <c r="H703">
        <v>2</v>
      </c>
      <c r="I703">
        <v>892</v>
      </c>
      <c r="J703">
        <v>3757</v>
      </c>
      <c r="K703" s="8">
        <v>4649</v>
      </c>
      <c r="L703">
        <v>14.2475</v>
      </c>
      <c r="M703">
        <v>17.9604</v>
      </c>
      <c r="N703">
        <v>82.333299999999994</v>
      </c>
      <c r="O703">
        <v>8.3333929999999992</v>
      </c>
      <c r="P703">
        <v>0</v>
      </c>
      <c r="Q703">
        <v>0</v>
      </c>
      <c r="R703">
        <f t="shared" si="280"/>
        <v>0</v>
      </c>
      <c r="S703">
        <f t="shared" si="281"/>
        <v>0</v>
      </c>
      <c r="T703">
        <f t="shared" si="282"/>
        <v>0</v>
      </c>
      <c r="U703">
        <f t="shared" si="283"/>
        <v>0</v>
      </c>
      <c r="V703">
        <f t="shared" si="284"/>
        <v>0</v>
      </c>
      <c r="W703">
        <f t="shared" si="285"/>
        <v>0</v>
      </c>
      <c r="X703">
        <f t="shared" si="286"/>
        <v>0</v>
      </c>
      <c r="Y703">
        <f t="shared" si="287"/>
        <v>0</v>
      </c>
      <c r="Z703">
        <f t="shared" si="288"/>
        <v>0</v>
      </c>
      <c r="AA703">
        <f t="shared" si="289"/>
        <v>0</v>
      </c>
      <c r="AB703">
        <f t="shared" si="290"/>
        <v>0</v>
      </c>
      <c r="AC703">
        <f t="shared" si="291"/>
        <v>1</v>
      </c>
      <c r="AD703">
        <f t="shared" si="292"/>
        <v>1</v>
      </c>
      <c r="AE703">
        <f t="shared" si="293"/>
        <v>0</v>
      </c>
      <c r="AF703">
        <f t="shared" si="294"/>
        <v>0</v>
      </c>
      <c r="AG703">
        <f t="shared" si="295"/>
        <v>0</v>
      </c>
      <c r="AH703">
        <f t="shared" si="296"/>
        <v>0</v>
      </c>
      <c r="AI703">
        <f t="shared" si="297"/>
        <v>0</v>
      </c>
      <c r="AJ703">
        <f t="shared" si="298"/>
        <v>0</v>
      </c>
      <c r="AK703">
        <f t="shared" si="299"/>
        <v>0</v>
      </c>
      <c r="AL703">
        <f t="shared" si="300"/>
        <v>1</v>
      </c>
      <c r="AM703">
        <f t="shared" si="301"/>
        <v>0</v>
      </c>
      <c r="AN703">
        <f t="shared" si="302"/>
        <v>0</v>
      </c>
      <c r="AO703">
        <f t="shared" si="303"/>
        <v>1</v>
      </c>
      <c r="AP703">
        <f t="shared" si="304"/>
        <v>0</v>
      </c>
      <c r="AQ703">
        <f t="shared" si="305"/>
        <v>0</v>
      </c>
      <c r="AR703">
        <f t="shared" si="306"/>
        <v>0</v>
      </c>
      <c r="AS703">
        <f t="shared" si="307"/>
        <v>1</v>
      </c>
    </row>
    <row r="704" spans="2:45" x14ac:dyDescent="0.3">
      <c r="B704">
        <v>703</v>
      </c>
      <c r="C704" s="1">
        <v>41246</v>
      </c>
      <c r="D704">
        <v>4</v>
      </c>
      <c r="E704">
        <v>1</v>
      </c>
      <c r="F704">
        <v>12</v>
      </c>
      <c r="G704">
        <v>1</v>
      </c>
      <c r="H704">
        <v>1</v>
      </c>
      <c r="I704">
        <v>555</v>
      </c>
      <c r="J704">
        <v>5679</v>
      </c>
      <c r="K704" s="8">
        <v>6234</v>
      </c>
      <c r="L704">
        <v>18.552499999999998</v>
      </c>
      <c r="M704">
        <v>22.7898</v>
      </c>
      <c r="N704">
        <v>76.75</v>
      </c>
      <c r="O704">
        <v>5.5422935999999998</v>
      </c>
      <c r="P704">
        <v>0</v>
      </c>
      <c r="Q704">
        <v>1</v>
      </c>
      <c r="R704">
        <f t="shared" si="280"/>
        <v>0</v>
      </c>
      <c r="S704">
        <f t="shared" si="281"/>
        <v>0</v>
      </c>
      <c r="T704">
        <f t="shared" si="282"/>
        <v>0</v>
      </c>
      <c r="U704">
        <f t="shared" si="283"/>
        <v>0</v>
      </c>
      <c r="V704">
        <f t="shared" si="284"/>
        <v>0</v>
      </c>
      <c r="W704">
        <f t="shared" si="285"/>
        <v>0</v>
      </c>
      <c r="X704">
        <f t="shared" si="286"/>
        <v>0</v>
      </c>
      <c r="Y704">
        <f t="shared" si="287"/>
        <v>0</v>
      </c>
      <c r="Z704">
        <f t="shared" si="288"/>
        <v>0</v>
      </c>
      <c r="AA704">
        <f t="shared" si="289"/>
        <v>0</v>
      </c>
      <c r="AB704">
        <f t="shared" si="290"/>
        <v>0</v>
      </c>
      <c r="AC704">
        <f t="shared" si="291"/>
        <v>1</v>
      </c>
      <c r="AD704">
        <f t="shared" si="292"/>
        <v>0</v>
      </c>
      <c r="AE704">
        <f t="shared" si="293"/>
        <v>1</v>
      </c>
      <c r="AF704">
        <f t="shared" si="294"/>
        <v>0</v>
      </c>
      <c r="AG704">
        <f t="shared" si="295"/>
        <v>0</v>
      </c>
      <c r="AH704">
        <f t="shared" si="296"/>
        <v>0</v>
      </c>
      <c r="AI704">
        <f t="shared" si="297"/>
        <v>0</v>
      </c>
      <c r="AJ704">
        <f t="shared" si="298"/>
        <v>0</v>
      </c>
      <c r="AK704">
        <f t="shared" si="299"/>
        <v>1</v>
      </c>
      <c r="AL704">
        <f t="shared" si="300"/>
        <v>0</v>
      </c>
      <c r="AM704">
        <f t="shared" si="301"/>
        <v>0</v>
      </c>
      <c r="AN704">
        <f t="shared" si="302"/>
        <v>0</v>
      </c>
      <c r="AO704">
        <f t="shared" si="303"/>
        <v>1</v>
      </c>
      <c r="AP704">
        <f t="shared" si="304"/>
        <v>0</v>
      </c>
      <c r="AQ704">
        <f t="shared" si="305"/>
        <v>0</v>
      </c>
      <c r="AR704">
        <f t="shared" si="306"/>
        <v>0</v>
      </c>
      <c r="AS704">
        <f t="shared" si="307"/>
        <v>1</v>
      </c>
    </row>
    <row r="705" spans="2:45" x14ac:dyDescent="0.3">
      <c r="B705">
        <v>704</v>
      </c>
      <c r="C705" s="1">
        <v>41247</v>
      </c>
      <c r="D705">
        <v>4</v>
      </c>
      <c r="E705">
        <v>1</v>
      </c>
      <c r="F705">
        <v>12</v>
      </c>
      <c r="G705">
        <v>2</v>
      </c>
      <c r="H705">
        <v>1</v>
      </c>
      <c r="I705">
        <v>551</v>
      </c>
      <c r="J705">
        <v>6055</v>
      </c>
      <c r="K705" s="8">
        <v>6606</v>
      </c>
      <c r="L705">
        <v>19.509153000000001</v>
      </c>
      <c r="M705">
        <v>23.4527</v>
      </c>
      <c r="N705">
        <v>73.375</v>
      </c>
      <c r="O705">
        <v>11.666643000000001</v>
      </c>
      <c r="P705">
        <v>0</v>
      </c>
      <c r="Q705">
        <v>1</v>
      </c>
      <c r="R705">
        <f t="shared" si="280"/>
        <v>0</v>
      </c>
      <c r="S705">
        <f t="shared" si="281"/>
        <v>0</v>
      </c>
      <c r="T705">
        <f t="shared" si="282"/>
        <v>0</v>
      </c>
      <c r="U705">
        <f t="shared" si="283"/>
        <v>0</v>
      </c>
      <c r="V705">
        <f t="shared" si="284"/>
        <v>0</v>
      </c>
      <c r="W705">
        <f t="shared" si="285"/>
        <v>0</v>
      </c>
      <c r="X705">
        <f t="shared" si="286"/>
        <v>0</v>
      </c>
      <c r="Y705">
        <f t="shared" si="287"/>
        <v>0</v>
      </c>
      <c r="Z705">
        <f t="shared" si="288"/>
        <v>0</v>
      </c>
      <c r="AA705">
        <f t="shared" si="289"/>
        <v>0</v>
      </c>
      <c r="AB705">
        <f t="shared" si="290"/>
        <v>0</v>
      </c>
      <c r="AC705">
        <f t="shared" si="291"/>
        <v>1</v>
      </c>
      <c r="AD705">
        <f t="shared" si="292"/>
        <v>0</v>
      </c>
      <c r="AE705">
        <f t="shared" si="293"/>
        <v>0</v>
      </c>
      <c r="AF705">
        <f t="shared" si="294"/>
        <v>1</v>
      </c>
      <c r="AG705">
        <f t="shared" si="295"/>
        <v>0</v>
      </c>
      <c r="AH705">
        <f t="shared" si="296"/>
        <v>0</v>
      </c>
      <c r="AI705">
        <f t="shared" si="297"/>
        <v>0</v>
      </c>
      <c r="AJ705">
        <f t="shared" si="298"/>
        <v>0</v>
      </c>
      <c r="AK705">
        <f t="shared" si="299"/>
        <v>1</v>
      </c>
      <c r="AL705">
        <f t="shared" si="300"/>
        <v>0</v>
      </c>
      <c r="AM705">
        <f t="shared" si="301"/>
        <v>0</v>
      </c>
      <c r="AN705">
        <f t="shared" si="302"/>
        <v>0</v>
      </c>
      <c r="AO705">
        <f t="shared" si="303"/>
        <v>1</v>
      </c>
      <c r="AP705">
        <f t="shared" si="304"/>
        <v>0</v>
      </c>
      <c r="AQ705">
        <f t="shared" si="305"/>
        <v>0</v>
      </c>
      <c r="AR705">
        <f t="shared" si="306"/>
        <v>0</v>
      </c>
      <c r="AS705">
        <f t="shared" si="307"/>
        <v>1</v>
      </c>
    </row>
    <row r="706" spans="2:45" x14ac:dyDescent="0.3">
      <c r="B706">
        <v>705</v>
      </c>
      <c r="C706" s="1">
        <v>41248</v>
      </c>
      <c r="D706">
        <v>4</v>
      </c>
      <c r="E706">
        <v>1</v>
      </c>
      <c r="F706">
        <v>12</v>
      </c>
      <c r="G706">
        <v>3</v>
      </c>
      <c r="H706">
        <v>1</v>
      </c>
      <c r="I706">
        <v>331</v>
      </c>
      <c r="J706">
        <v>5398</v>
      </c>
      <c r="K706" s="8">
        <v>5729</v>
      </c>
      <c r="L706">
        <v>17.971653</v>
      </c>
      <c r="M706">
        <v>21.400600000000001</v>
      </c>
      <c r="N706">
        <v>48.5</v>
      </c>
      <c r="O706">
        <v>21.709406999999999</v>
      </c>
      <c r="P706">
        <v>0</v>
      </c>
      <c r="Q706">
        <v>1</v>
      </c>
      <c r="R706">
        <f t="shared" si="280"/>
        <v>0</v>
      </c>
      <c r="S706">
        <f t="shared" si="281"/>
        <v>0</v>
      </c>
      <c r="T706">
        <f t="shared" si="282"/>
        <v>0</v>
      </c>
      <c r="U706">
        <f t="shared" si="283"/>
        <v>0</v>
      </c>
      <c r="V706">
        <f t="shared" si="284"/>
        <v>0</v>
      </c>
      <c r="W706">
        <f t="shared" si="285"/>
        <v>0</v>
      </c>
      <c r="X706">
        <f t="shared" si="286"/>
        <v>0</v>
      </c>
      <c r="Y706">
        <f t="shared" si="287"/>
        <v>0</v>
      </c>
      <c r="Z706">
        <f t="shared" si="288"/>
        <v>0</v>
      </c>
      <c r="AA706">
        <f t="shared" si="289"/>
        <v>0</v>
      </c>
      <c r="AB706">
        <f t="shared" si="290"/>
        <v>0</v>
      </c>
      <c r="AC706">
        <f t="shared" si="291"/>
        <v>1</v>
      </c>
      <c r="AD706">
        <f t="shared" si="292"/>
        <v>0</v>
      </c>
      <c r="AE706">
        <f t="shared" si="293"/>
        <v>0</v>
      </c>
      <c r="AF706">
        <f t="shared" si="294"/>
        <v>0</v>
      </c>
      <c r="AG706">
        <f t="shared" si="295"/>
        <v>1</v>
      </c>
      <c r="AH706">
        <f t="shared" si="296"/>
        <v>0</v>
      </c>
      <c r="AI706">
        <f t="shared" si="297"/>
        <v>0</v>
      </c>
      <c r="AJ706">
        <f t="shared" si="298"/>
        <v>0</v>
      </c>
      <c r="AK706">
        <f t="shared" si="299"/>
        <v>1</v>
      </c>
      <c r="AL706">
        <f t="shared" si="300"/>
        <v>0</v>
      </c>
      <c r="AM706">
        <f t="shared" si="301"/>
        <v>0</v>
      </c>
      <c r="AN706">
        <f t="shared" si="302"/>
        <v>0</v>
      </c>
      <c r="AO706">
        <f t="shared" si="303"/>
        <v>1</v>
      </c>
      <c r="AP706">
        <f t="shared" si="304"/>
        <v>0</v>
      </c>
      <c r="AQ706">
        <f t="shared" si="305"/>
        <v>0</v>
      </c>
      <c r="AR706">
        <f t="shared" si="306"/>
        <v>0</v>
      </c>
      <c r="AS706">
        <f t="shared" si="307"/>
        <v>1</v>
      </c>
    </row>
    <row r="707" spans="2:45" x14ac:dyDescent="0.3">
      <c r="B707">
        <v>706</v>
      </c>
      <c r="C707" s="1">
        <v>41249</v>
      </c>
      <c r="D707">
        <v>4</v>
      </c>
      <c r="E707">
        <v>1</v>
      </c>
      <c r="F707">
        <v>12</v>
      </c>
      <c r="G707">
        <v>4</v>
      </c>
      <c r="H707">
        <v>1</v>
      </c>
      <c r="I707">
        <v>340</v>
      </c>
      <c r="J707">
        <v>5035</v>
      </c>
      <c r="K707" s="8">
        <v>5375</v>
      </c>
      <c r="L707">
        <v>10.489153</v>
      </c>
      <c r="M707">
        <v>12.9102</v>
      </c>
      <c r="N707">
        <v>50.875</v>
      </c>
      <c r="O707">
        <v>11.708518</v>
      </c>
      <c r="P707">
        <v>0</v>
      </c>
      <c r="Q707">
        <v>1</v>
      </c>
      <c r="R707">
        <f t="shared" ref="R707:R732" si="308">IF($F707=1,1,0)</f>
        <v>0</v>
      </c>
      <c r="S707">
        <f t="shared" ref="S707:S732" si="309">IF($F707=2,1,0)</f>
        <v>0</v>
      </c>
      <c r="T707">
        <f t="shared" ref="T707:T732" si="310">IF($F707=3,1,0)</f>
        <v>0</v>
      </c>
      <c r="U707">
        <f t="shared" ref="U707:U732" si="311">IF($F707=4,1,0)</f>
        <v>0</v>
      </c>
      <c r="V707">
        <f t="shared" ref="V707:V732" si="312">IF($F707=5,1,0)</f>
        <v>0</v>
      </c>
      <c r="W707">
        <f t="shared" ref="W707:W732" si="313">IF($F707=6,1,0)</f>
        <v>0</v>
      </c>
      <c r="X707">
        <f t="shared" ref="X707:X732" si="314">IF($F707=7,1,0)</f>
        <v>0</v>
      </c>
      <c r="Y707">
        <f t="shared" ref="Y707:Y732" si="315">IF($F707=8,1,0)</f>
        <v>0</v>
      </c>
      <c r="Z707">
        <f t="shared" ref="Z707:Z732" si="316">IF($F707=9,1,0)</f>
        <v>0</v>
      </c>
      <c r="AA707">
        <f t="shared" ref="AA707:AA732" si="317">IF($F707=10,1,0)</f>
        <v>0</v>
      </c>
      <c r="AB707">
        <f t="shared" ref="AB707:AB732" si="318">IF($F707=11,1,0)</f>
        <v>0</v>
      </c>
      <c r="AC707">
        <f t="shared" ref="AC707:AC732" si="319">IF($F707=12,1,0)</f>
        <v>1</v>
      </c>
      <c r="AD707">
        <f t="shared" ref="AD707:AD732" si="320">IF($G707=0,1,0)</f>
        <v>0</v>
      </c>
      <c r="AE707">
        <f t="shared" ref="AE707:AE732" si="321">IF($G707=1,1,0)</f>
        <v>0</v>
      </c>
      <c r="AF707">
        <f t="shared" ref="AF707:AF732" si="322">IF($G707=2,1,0)</f>
        <v>0</v>
      </c>
      <c r="AG707">
        <f t="shared" ref="AG707:AG732" si="323">IF($G707=3,1,0)</f>
        <v>0</v>
      </c>
      <c r="AH707">
        <f t="shared" ref="AH707:AH732" si="324">IF($G707=4,1,0)</f>
        <v>1</v>
      </c>
      <c r="AI707">
        <f t="shared" ref="AI707:AI732" si="325">IF($G707=5,1,0)</f>
        <v>0</v>
      </c>
      <c r="AJ707">
        <f t="shared" ref="AJ707:AJ732" si="326">IF($G707=6,1,0)</f>
        <v>0</v>
      </c>
      <c r="AK707">
        <f t="shared" ref="AK707:AK732" si="327">IF($H707=1,1,0)</f>
        <v>1</v>
      </c>
      <c r="AL707">
        <f t="shared" ref="AL707:AL732" si="328">IF($H707=2,1,0)</f>
        <v>0</v>
      </c>
      <c r="AM707">
        <f t="shared" ref="AM707:AM732" si="329">IF($H707=3,1,0)</f>
        <v>0</v>
      </c>
      <c r="AN707">
        <f t="shared" ref="AN707:AN732" si="330">IF($E707=0,1,0)</f>
        <v>0</v>
      </c>
      <c r="AO707">
        <f t="shared" ref="AO707:AO732" si="331">IF($E707=1,1,0)</f>
        <v>1</v>
      </c>
      <c r="AP707">
        <f t="shared" ref="AP707:AP732" si="332">IF($D707=1,1,0)</f>
        <v>0</v>
      </c>
      <c r="AQ707">
        <f t="shared" ref="AQ707:AQ732" si="333">IF($D707=2,1,0)</f>
        <v>0</v>
      </c>
      <c r="AR707">
        <f t="shared" ref="AR707:AR732" si="334">IF($D707=3,1,0)</f>
        <v>0</v>
      </c>
      <c r="AS707">
        <f t="shared" ref="AS707:AS732" si="335">IF($D707=4,1,0)</f>
        <v>1</v>
      </c>
    </row>
    <row r="708" spans="2:45" x14ac:dyDescent="0.3">
      <c r="B708">
        <v>707</v>
      </c>
      <c r="C708" s="1">
        <v>41250</v>
      </c>
      <c r="D708">
        <v>4</v>
      </c>
      <c r="E708">
        <v>1</v>
      </c>
      <c r="F708">
        <v>12</v>
      </c>
      <c r="G708">
        <v>5</v>
      </c>
      <c r="H708">
        <v>2</v>
      </c>
      <c r="I708">
        <v>349</v>
      </c>
      <c r="J708">
        <v>4659</v>
      </c>
      <c r="K708" s="8">
        <v>5008</v>
      </c>
      <c r="L708">
        <v>13.154153000000001</v>
      </c>
      <c r="M708">
        <v>16.097899999999999</v>
      </c>
      <c r="N708">
        <v>76.416700000000006</v>
      </c>
      <c r="O708">
        <v>8.7501999999999995</v>
      </c>
      <c r="P708">
        <v>0</v>
      </c>
      <c r="Q708">
        <v>1</v>
      </c>
      <c r="R708">
        <f t="shared" si="308"/>
        <v>0</v>
      </c>
      <c r="S708">
        <f t="shared" si="309"/>
        <v>0</v>
      </c>
      <c r="T708">
        <f t="shared" si="310"/>
        <v>0</v>
      </c>
      <c r="U708">
        <f t="shared" si="311"/>
        <v>0</v>
      </c>
      <c r="V708">
        <f t="shared" si="312"/>
        <v>0</v>
      </c>
      <c r="W708">
        <f t="shared" si="313"/>
        <v>0</v>
      </c>
      <c r="X708">
        <f t="shared" si="314"/>
        <v>0</v>
      </c>
      <c r="Y708">
        <f t="shared" si="315"/>
        <v>0</v>
      </c>
      <c r="Z708">
        <f t="shared" si="316"/>
        <v>0</v>
      </c>
      <c r="AA708">
        <f t="shared" si="317"/>
        <v>0</v>
      </c>
      <c r="AB708">
        <f t="shared" si="318"/>
        <v>0</v>
      </c>
      <c r="AC708">
        <f t="shared" si="319"/>
        <v>1</v>
      </c>
      <c r="AD708">
        <f t="shared" si="320"/>
        <v>0</v>
      </c>
      <c r="AE708">
        <f t="shared" si="321"/>
        <v>0</v>
      </c>
      <c r="AF708">
        <f t="shared" si="322"/>
        <v>0</v>
      </c>
      <c r="AG708">
        <f t="shared" si="323"/>
        <v>0</v>
      </c>
      <c r="AH708">
        <f t="shared" si="324"/>
        <v>0</v>
      </c>
      <c r="AI708">
        <f t="shared" si="325"/>
        <v>1</v>
      </c>
      <c r="AJ708">
        <f t="shared" si="326"/>
        <v>0</v>
      </c>
      <c r="AK708">
        <f t="shared" si="327"/>
        <v>0</v>
      </c>
      <c r="AL708">
        <f t="shared" si="328"/>
        <v>1</v>
      </c>
      <c r="AM708">
        <f t="shared" si="329"/>
        <v>0</v>
      </c>
      <c r="AN708">
        <f t="shared" si="330"/>
        <v>0</v>
      </c>
      <c r="AO708">
        <f t="shared" si="331"/>
        <v>1</v>
      </c>
      <c r="AP708">
        <f t="shared" si="332"/>
        <v>0</v>
      </c>
      <c r="AQ708">
        <f t="shared" si="333"/>
        <v>0</v>
      </c>
      <c r="AR708">
        <f t="shared" si="334"/>
        <v>0</v>
      </c>
      <c r="AS708">
        <f t="shared" si="335"/>
        <v>1</v>
      </c>
    </row>
    <row r="709" spans="2:45" x14ac:dyDescent="0.3">
      <c r="B709">
        <v>708</v>
      </c>
      <c r="C709" s="1">
        <v>41251</v>
      </c>
      <c r="D709">
        <v>4</v>
      </c>
      <c r="E709">
        <v>1</v>
      </c>
      <c r="F709">
        <v>12</v>
      </c>
      <c r="G709">
        <v>6</v>
      </c>
      <c r="H709">
        <v>2</v>
      </c>
      <c r="I709">
        <v>1153</v>
      </c>
      <c r="J709">
        <v>4429</v>
      </c>
      <c r="K709" s="8">
        <v>5582</v>
      </c>
      <c r="L709">
        <v>15.648346999999999</v>
      </c>
      <c r="M709">
        <v>19.4754</v>
      </c>
      <c r="N709">
        <v>91.125</v>
      </c>
      <c r="O709">
        <v>6.7923929999999997</v>
      </c>
      <c r="P709">
        <v>0</v>
      </c>
      <c r="Q709">
        <v>0</v>
      </c>
      <c r="R709">
        <f t="shared" si="308"/>
        <v>0</v>
      </c>
      <c r="S709">
        <f t="shared" si="309"/>
        <v>0</v>
      </c>
      <c r="T709">
        <f t="shared" si="310"/>
        <v>0</v>
      </c>
      <c r="U709">
        <f t="shared" si="311"/>
        <v>0</v>
      </c>
      <c r="V709">
        <f t="shared" si="312"/>
        <v>0</v>
      </c>
      <c r="W709">
        <f t="shared" si="313"/>
        <v>0</v>
      </c>
      <c r="X709">
        <f t="shared" si="314"/>
        <v>0</v>
      </c>
      <c r="Y709">
        <f t="shared" si="315"/>
        <v>0</v>
      </c>
      <c r="Z709">
        <f t="shared" si="316"/>
        <v>0</v>
      </c>
      <c r="AA709">
        <f t="shared" si="317"/>
        <v>0</v>
      </c>
      <c r="AB709">
        <f t="shared" si="318"/>
        <v>0</v>
      </c>
      <c r="AC709">
        <f t="shared" si="319"/>
        <v>1</v>
      </c>
      <c r="AD709">
        <f t="shared" si="320"/>
        <v>0</v>
      </c>
      <c r="AE709">
        <f t="shared" si="321"/>
        <v>0</v>
      </c>
      <c r="AF709">
        <f t="shared" si="322"/>
        <v>0</v>
      </c>
      <c r="AG709">
        <f t="shared" si="323"/>
        <v>0</v>
      </c>
      <c r="AH709">
        <f t="shared" si="324"/>
        <v>0</v>
      </c>
      <c r="AI709">
        <f t="shared" si="325"/>
        <v>0</v>
      </c>
      <c r="AJ709">
        <f t="shared" si="326"/>
        <v>1</v>
      </c>
      <c r="AK709">
        <f t="shared" si="327"/>
        <v>0</v>
      </c>
      <c r="AL709">
        <f t="shared" si="328"/>
        <v>1</v>
      </c>
      <c r="AM709">
        <f t="shared" si="329"/>
        <v>0</v>
      </c>
      <c r="AN709">
        <f t="shared" si="330"/>
        <v>0</v>
      </c>
      <c r="AO709">
        <f t="shared" si="331"/>
        <v>1</v>
      </c>
      <c r="AP709">
        <f t="shared" si="332"/>
        <v>0</v>
      </c>
      <c r="AQ709">
        <f t="shared" si="333"/>
        <v>0</v>
      </c>
      <c r="AR709">
        <f t="shared" si="334"/>
        <v>0</v>
      </c>
      <c r="AS709">
        <f t="shared" si="335"/>
        <v>1</v>
      </c>
    </row>
    <row r="710" spans="2:45" x14ac:dyDescent="0.3">
      <c r="B710">
        <v>709</v>
      </c>
      <c r="C710" s="1">
        <v>41252</v>
      </c>
      <c r="D710">
        <v>4</v>
      </c>
      <c r="E710">
        <v>1</v>
      </c>
      <c r="F710">
        <v>12</v>
      </c>
      <c r="G710">
        <v>0</v>
      </c>
      <c r="H710">
        <v>2</v>
      </c>
      <c r="I710">
        <v>441</v>
      </c>
      <c r="J710">
        <v>2787</v>
      </c>
      <c r="K710" s="8">
        <v>3228</v>
      </c>
      <c r="L710">
        <v>15.750847</v>
      </c>
      <c r="M710">
        <v>19.507300000000001</v>
      </c>
      <c r="N710">
        <v>90.541700000000006</v>
      </c>
      <c r="O710">
        <v>10.584325</v>
      </c>
      <c r="P710">
        <v>0</v>
      </c>
      <c r="Q710">
        <v>0</v>
      </c>
      <c r="R710">
        <f t="shared" si="308"/>
        <v>0</v>
      </c>
      <c r="S710">
        <f t="shared" si="309"/>
        <v>0</v>
      </c>
      <c r="T710">
        <f t="shared" si="310"/>
        <v>0</v>
      </c>
      <c r="U710">
        <f t="shared" si="311"/>
        <v>0</v>
      </c>
      <c r="V710">
        <f t="shared" si="312"/>
        <v>0</v>
      </c>
      <c r="W710">
        <f t="shared" si="313"/>
        <v>0</v>
      </c>
      <c r="X710">
        <f t="shared" si="314"/>
        <v>0</v>
      </c>
      <c r="Y710">
        <f t="shared" si="315"/>
        <v>0</v>
      </c>
      <c r="Z710">
        <f t="shared" si="316"/>
        <v>0</v>
      </c>
      <c r="AA710">
        <f t="shared" si="317"/>
        <v>0</v>
      </c>
      <c r="AB710">
        <f t="shared" si="318"/>
        <v>0</v>
      </c>
      <c r="AC710">
        <f t="shared" si="319"/>
        <v>1</v>
      </c>
      <c r="AD710">
        <f t="shared" si="320"/>
        <v>1</v>
      </c>
      <c r="AE710">
        <f t="shared" si="321"/>
        <v>0</v>
      </c>
      <c r="AF710">
        <f t="shared" si="322"/>
        <v>0</v>
      </c>
      <c r="AG710">
        <f t="shared" si="323"/>
        <v>0</v>
      </c>
      <c r="AH710">
        <f t="shared" si="324"/>
        <v>0</v>
      </c>
      <c r="AI710">
        <f t="shared" si="325"/>
        <v>0</v>
      </c>
      <c r="AJ710">
        <f t="shared" si="326"/>
        <v>0</v>
      </c>
      <c r="AK710">
        <f t="shared" si="327"/>
        <v>0</v>
      </c>
      <c r="AL710">
        <f t="shared" si="328"/>
        <v>1</v>
      </c>
      <c r="AM710">
        <f t="shared" si="329"/>
        <v>0</v>
      </c>
      <c r="AN710">
        <f t="shared" si="330"/>
        <v>0</v>
      </c>
      <c r="AO710">
        <f t="shared" si="331"/>
        <v>1</v>
      </c>
      <c r="AP710">
        <f t="shared" si="332"/>
        <v>0</v>
      </c>
      <c r="AQ710">
        <f t="shared" si="333"/>
        <v>0</v>
      </c>
      <c r="AR710">
        <f t="shared" si="334"/>
        <v>0</v>
      </c>
      <c r="AS710">
        <f t="shared" si="335"/>
        <v>1</v>
      </c>
    </row>
    <row r="711" spans="2:45" x14ac:dyDescent="0.3">
      <c r="B711">
        <v>710</v>
      </c>
      <c r="C711" s="1">
        <v>41253</v>
      </c>
      <c r="D711">
        <v>4</v>
      </c>
      <c r="E711">
        <v>1</v>
      </c>
      <c r="F711">
        <v>12</v>
      </c>
      <c r="G711">
        <v>1</v>
      </c>
      <c r="H711">
        <v>2</v>
      </c>
      <c r="I711">
        <v>329</v>
      </c>
      <c r="J711">
        <v>4841</v>
      </c>
      <c r="K711" s="8">
        <v>5170</v>
      </c>
      <c r="L711">
        <v>17.869153000000001</v>
      </c>
      <c r="M711">
        <v>21.778749999999999</v>
      </c>
      <c r="N711">
        <v>92.5</v>
      </c>
      <c r="O711">
        <v>12.750636</v>
      </c>
      <c r="P711">
        <v>0</v>
      </c>
      <c r="Q711">
        <v>1</v>
      </c>
      <c r="R711">
        <f t="shared" si="308"/>
        <v>0</v>
      </c>
      <c r="S711">
        <f t="shared" si="309"/>
        <v>0</v>
      </c>
      <c r="T711">
        <f t="shared" si="310"/>
        <v>0</v>
      </c>
      <c r="U711">
        <f t="shared" si="311"/>
        <v>0</v>
      </c>
      <c r="V711">
        <f t="shared" si="312"/>
        <v>0</v>
      </c>
      <c r="W711">
        <f t="shared" si="313"/>
        <v>0</v>
      </c>
      <c r="X711">
        <f t="shared" si="314"/>
        <v>0</v>
      </c>
      <c r="Y711">
        <f t="shared" si="315"/>
        <v>0</v>
      </c>
      <c r="Z711">
        <f t="shared" si="316"/>
        <v>0</v>
      </c>
      <c r="AA711">
        <f t="shared" si="317"/>
        <v>0</v>
      </c>
      <c r="AB711">
        <f t="shared" si="318"/>
        <v>0</v>
      </c>
      <c r="AC711">
        <f t="shared" si="319"/>
        <v>1</v>
      </c>
      <c r="AD711">
        <f t="shared" si="320"/>
        <v>0</v>
      </c>
      <c r="AE711">
        <f t="shared" si="321"/>
        <v>1</v>
      </c>
      <c r="AF711">
        <f t="shared" si="322"/>
        <v>0</v>
      </c>
      <c r="AG711">
        <f t="shared" si="323"/>
        <v>0</v>
      </c>
      <c r="AH711">
        <f t="shared" si="324"/>
        <v>0</v>
      </c>
      <c r="AI711">
        <f t="shared" si="325"/>
        <v>0</v>
      </c>
      <c r="AJ711">
        <f t="shared" si="326"/>
        <v>0</v>
      </c>
      <c r="AK711">
        <f t="shared" si="327"/>
        <v>0</v>
      </c>
      <c r="AL711">
        <f t="shared" si="328"/>
        <v>1</v>
      </c>
      <c r="AM711">
        <f t="shared" si="329"/>
        <v>0</v>
      </c>
      <c r="AN711">
        <f t="shared" si="330"/>
        <v>0</v>
      </c>
      <c r="AO711">
        <f t="shared" si="331"/>
        <v>1</v>
      </c>
      <c r="AP711">
        <f t="shared" si="332"/>
        <v>0</v>
      </c>
      <c r="AQ711">
        <f t="shared" si="333"/>
        <v>0</v>
      </c>
      <c r="AR711">
        <f t="shared" si="334"/>
        <v>0</v>
      </c>
      <c r="AS711">
        <f t="shared" si="335"/>
        <v>1</v>
      </c>
    </row>
    <row r="712" spans="2:45" x14ac:dyDescent="0.3">
      <c r="B712">
        <v>711</v>
      </c>
      <c r="C712" s="1">
        <v>41254</v>
      </c>
      <c r="D712">
        <v>4</v>
      </c>
      <c r="E712">
        <v>1</v>
      </c>
      <c r="F712">
        <v>12</v>
      </c>
      <c r="G712">
        <v>2</v>
      </c>
      <c r="H712">
        <v>2</v>
      </c>
      <c r="I712">
        <v>282</v>
      </c>
      <c r="J712">
        <v>5219</v>
      </c>
      <c r="K712" s="8">
        <v>5501</v>
      </c>
      <c r="L712">
        <v>14.486653</v>
      </c>
      <c r="M712">
        <v>16.918150000000001</v>
      </c>
      <c r="N712">
        <v>59.666699999999999</v>
      </c>
      <c r="O712">
        <v>19.834479000000002</v>
      </c>
      <c r="P712">
        <v>0</v>
      </c>
      <c r="Q712">
        <v>1</v>
      </c>
      <c r="R712">
        <f t="shared" si="308"/>
        <v>0</v>
      </c>
      <c r="S712">
        <f t="shared" si="309"/>
        <v>0</v>
      </c>
      <c r="T712">
        <f t="shared" si="310"/>
        <v>0</v>
      </c>
      <c r="U712">
        <f t="shared" si="311"/>
        <v>0</v>
      </c>
      <c r="V712">
        <f t="shared" si="312"/>
        <v>0</v>
      </c>
      <c r="W712">
        <f t="shared" si="313"/>
        <v>0</v>
      </c>
      <c r="X712">
        <f t="shared" si="314"/>
        <v>0</v>
      </c>
      <c r="Y712">
        <f t="shared" si="315"/>
        <v>0</v>
      </c>
      <c r="Z712">
        <f t="shared" si="316"/>
        <v>0</v>
      </c>
      <c r="AA712">
        <f t="shared" si="317"/>
        <v>0</v>
      </c>
      <c r="AB712">
        <f t="shared" si="318"/>
        <v>0</v>
      </c>
      <c r="AC712">
        <f t="shared" si="319"/>
        <v>1</v>
      </c>
      <c r="AD712">
        <f t="shared" si="320"/>
        <v>0</v>
      </c>
      <c r="AE712">
        <f t="shared" si="321"/>
        <v>0</v>
      </c>
      <c r="AF712">
        <f t="shared" si="322"/>
        <v>1</v>
      </c>
      <c r="AG712">
        <f t="shared" si="323"/>
        <v>0</v>
      </c>
      <c r="AH712">
        <f t="shared" si="324"/>
        <v>0</v>
      </c>
      <c r="AI712">
        <f t="shared" si="325"/>
        <v>0</v>
      </c>
      <c r="AJ712">
        <f t="shared" si="326"/>
        <v>0</v>
      </c>
      <c r="AK712">
        <f t="shared" si="327"/>
        <v>0</v>
      </c>
      <c r="AL712">
        <f t="shared" si="328"/>
        <v>1</v>
      </c>
      <c r="AM712">
        <f t="shared" si="329"/>
        <v>0</v>
      </c>
      <c r="AN712">
        <f t="shared" si="330"/>
        <v>0</v>
      </c>
      <c r="AO712">
        <f t="shared" si="331"/>
        <v>1</v>
      </c>
      <c r="AP712">
        <f t="shared" si="332"/>
        <v>0</v>
      </c>
      <c r="AQ712">
        <f t="shared" si="333"/>
        <v>0</v>
      </c>
      <c r="AR712">
        <f t="shared" si="334"/>
        <v>0</v>
      </c>
      <c r="AS712">
        <f t="shared" si="335"/>
        <v>1</v>
      </c>
    </row>
    <row r="713" spans="2:45" x14ac:dyDescent="0.3">
      <c r="B713">
        <v>712</v>
      </c>
      <c r="C713" s="1">
        <v>41255</v>
      </c>
      <c r="D713">
        <v>4</v>
      </c>
      <c r="E713">
        <v>1</v>
      </c>
      <c r="F713">
        <v>12</v>
      </c>
      <c r="G713">
        <v>3</v>
      </c>
      <c r="H713">
        <v>2</v>
      </c>
      <c r="I713">
        <v>310</v>
      </c>
      <c r="J713">
        <v>5009</v>
      </c>
      <c r="K713" s="8">
        <v>5319</v>
      </c>
      <c r="L713">
        <v>12.1975</v>
      </c>
      <c r="M713">
        <v>14.866899999999999</v>
      </c>
      <c r="N713">
        <v>53.833300000000001</v>
      </c>
      <c r="O713">
        <v>10.916779</v>
      </c>
      <c r="P713">
        <v>0</v>
      </c>
      <c r="Q713">
        <v>1</v>
      </c>
      <c r="R713">
        <f t="shared" si="308"/>
        <v>0</v>
      </c>
      <c r="S713">
        <f t="shared" si="309"/>
        <v>0</v>
      </c>
      <c r="T713">
        <f t="shared" si="310"/>
        <v>0</v>
      </c>
      <c r="U713">
        <f t="shared" si="311"/>
        <v>0</v>
      </c>
      <c r="V713">
        <f t="shared" si="312"/>
        <v>0</v>
      </c>
      <c r="W713">
        <f t="shared" si="313"/>
        <v>0</v>
      </c>
      <c r="X713">
        <f t="shared" si="314"/>
        <v>0</v>
      </c>
      <c r="Y713">
        <f t="shared" si="315"/>
        <v>0</v>
      </c>
      <c r="Z713">
        <f t="shared" si="316"/>
        <v>0</v>
      </c>
      <c r="AA713">
        <f t="shared" si="317"/>
        <v>0</v>
      </c>
      <c r="AB713">
        <f t="shared" si="318"/>
        <v>0</v>
      </c>
      <c r="AC713">
        <f t="shared" si="319"/>
        <v>1</v>
      </c>
      <c r="AD713">
        <f t="shared" si="320"/>
        <v>0</v>
      </c>
      <c r="AE713">
        <f t="shared" si="321"/>
        <v>0</v>
      </c>
      <c r="AF713">
        <f t="shared" si="322"/>
        <v>0</v>
      </c>
      <c r="AG713">
        <f t="shared" si="323"/>
        <v>1</v>
      </c>
      <c r="AH713">
        <f t="shared" si="324"/>
        <v>0</v>
      </c>
      <c r="AI713">
        <f t="shared" si="325"/>
        <v>0</v>
      </c>
      <c r="AJ713">
        <f t="shared" si="326"/>
        <v>0</v>
      </c>
      <c r="AK713">
        <f t="shared" si="327"/>
        <v>0</v>
      </c>
      <c r="AL713">
        <f t="shared" si="328"/>
        <v>1</v>
      </c>
      <c r="AM713">
        <f t="shared" si="329"/>
        <v>0</v>
      </c>
      <c r="AN713">
        <f t="shared" si="330"/>
        <v>0</v>
      </c>
      <c r="AO713">
        <f t="shared" si="331"/>
        <v>1</v>
      </c>
      <c r="AP713">
        <f t="shared" si="332"/>
        <v>0</v>
      </c>
      <c r="AQ713">
        <f t="shared" si="333"/>
        <v>0</v>
      </c>
      <c r="AR713">
        <f t="shared" si="334"/>
        <v>0</v>
      </c>
      <c r="AS713">
        <f t="shared" si="335"/>
        <v>1</v>
      </c>
    </row>
    <row r="714" spans="2:45" x14ac:dyDescent="0.3">
      <c r="B714">
        <v>713</v>
      </c>
      <c r="C714" s="1">
        <v>41256</v>
      </c>
      <c r="D714">
        <v>4</v>
      </c>
      <c r="E714">
        <v>1</v>
      </c>
      <c r="F714">
        <v>12</v>
      </c>
      <c r="G714">
        <v>4</v>
      </c>
      <c r="H714">
        <v>1</v>
      </c>
      <c r="I714">
        <v>425</v>
      </c>
      <c r="J714">
        <v>5107</v>
      </c>
      <c r="K714" s="8">
        <v>5532</v>
      </c>
      <c r="L714">
        <v>12.129153000000001</v>
      </c>
      <c r="M714">
        <v>14.7094</v>
      </c>
      <c r="N714">
        <v>48.583300000000001</v>
      </c>
      <c r="O714">
        <v>11.666643000000001</v>
      </c>
      <c r="P714">
        <v>0</v>
      </c>
      <c r="Q714">
        <v>1</v>
      </c>
      <c r="R714">
        <f t="shared" si="308"/>
        <v>0</v>
      </c>
      <c r="S714">
        <f t="shared" si="309"/>
        <v>0</v>
      </c>
      <c r="T714">
        <f t="shared" si="310"/>
        <v>0</v>
      </c>
      <c r="U714">
        <f t="shared" si="311"/>
        <v>0</v>
      </c>
      <c r="V714">
        <f t="shared" si="312"/>
        <v>0</v>
      </c>
      <c r="W714">
        <f t="shared" si="313"/>
        <v>0</v>
      </c>
      <c r="X714">
        <f t="shared" si="314"/>
        <v>0</v>
      </c>
      <c r="Y714">
        <f t="shared" si="315"/>
        <v>0</v>
      </c>
      <c r="Z714">
        <f t="shared" si="316"/>
        <v>0</v>
      </c>
      <c r="AA714">
        <f t="shared" si="317"/>
        <v>0</v>
      </c>
      <c r="AB714">
        <f t="shared" si="318"/>
        <v>0</v>
      </c>
      <c r="AC714">
        <f t="shared" si="319"/>
        <v>1</v>
      </c>
      <c r="AD714">
        <f t="shared" si="320"/>
        <v>0</v>
      </c>
      <c r="AE714">
        <f t="shared" si="321"/>
        <v>0</v>
      </c>
      <c r="AF714">
        <f t="shared" si="322"/>
        <v>0</v>
      </c>
      <c r="AG714">
        <f t="shared" si="323"/>
        <v>0</v>
      </c>
      <c r="AH714">
        <f t="shared" si="324"/>
        <v>1</v>
      </c>
      <c r="AI714">
        <f t="shared" si="325"/>
        <v>0</v>
      </c>
      <c r="AJ714">
        <f t="shared" si="326"/>
        <v>0</v>
      </c>
      <c r="AK714">
        <f t="shared" si="327"/>
        <v>1</v>
      </c>
      <c r="AL714">
        <f t="shared" si="328"/>
        <v>0</v>
      </c>
      <c r="AM714">
        <f t="shared" si="329"/>
        <v>0</v>
      </c>
      <c r="AN714">
        <f t="shared" si="330"/>
        <v>0</v>
      </c>
      <c r="AO714">
        <f t="shared" si="331"/>
        <v>1</v>
      </c>
      <c r="AP714">
        <f t="shared" si="332"/>
        <v>0</v>
      </c>
      <c r="AQ714">
        <f t="shared" si="333"/>
        <v>0</v>
      </c>
      <c r="AR714">
        <f t="shared" si="334"/>
        <v>0</v>
      </c>
      <c r="AS714">
        <f t="shared" si="335"/>
        <v>1</v>
      </c>
    </row>
    <row r="715" spans="2:45" x14ac:dyDescent="0.3">
      <c r="B715">
        <v>714</v>
      </c>
      <c r="C715" s="1">
        <v>41257</v>
      </c>
      <c r="D715">
        <v>4</v>
      </c>
      <c r="E715">
        <v>1</v>
      </c>
      <c r="F715">
        <v>12</v>
      </c>
      <c r="G715">
        <v>5</v>
      </c>
      <c r="H715">
        <v>1</v>
      </c>
      <c r="I715">
        <v>429</v>
      </c>
      <c r="J715">
        <v>5182</v>
      </c>
      <c r="K715" s="8">
        <v>5611</v>
      </c>
      <c r="L715">
        <v>11.548347</v>
      </c>
      <c r="M715">
        <v>14.7096</v>
      </c>
      <c r="N715">
        <v>64.291700000000006</v>
      </c>
      <c r="O715">
        <v>8.7923430000000007</v>
      </c>
      <c r="P715">
        <v>0</v>
      </c>
      <c r="Q715">
        <v>1</v>
      </c>
      <c r="R715">
        <f t="shared" si="308"/>
        <v>0</v>
      </c>
      <c r="S715">
        <f t="shared" si="309"/>
        <v>0</v>
      </c>
      <c r="T715">
        <f t="shared" si="310"/>
        <v>0</v>
      </c>
      <c r="U715">
        <f t="shared" si="311"/>
        <v>0</v>
      </c>
      <c r="V715">
        <f t="shared" si="312"/>
        <v>0</v>
      </c>
      <c r="W715">
        <f t="shared" si="313"/>
        <v>0</v>
      </c>
      <c r="X715">
        <f t="shared" si="314"/>
        <v>0</v>
      </c>
      <c r="Y715">
        <f t="shared" si="315"/>
        <v>0</v>
      </c>
      <c r="Z715">
        <f t="shared" si="316"/>
        <v>0</v>
      </c>
      <c r="AA715">
        <f t="shared" si="317"/>
        <v>0</v>
      </c>
      <c r="AB715">
        <f t="shared" si="318"/>
        <v>0</v>
      </c>
      <c r="AC715">
        <f t="shared" si="319"/>
        <v>1</v>
      </c>
      <c r="AD715">
        <f t="shared" si="320"/>
        <v>0</v>
      </c>
      <c r="AE715">
        <f t="shared" si="321"/>
        <v>0</v>
      </c>
      <c r="AF715">
        <f t="shared" si="322"/>
        <v>0</v>
      </c>
      <c r="AG715">
        <f t="shared" si="323"/>
        <v>0</v>
      </c>
      <c r="AH715">
        <f t="shared" si="324"/>
        <v>0</v>
      </c>
      <c r="AI715">
        <f t="shared" si="325"/>
        <v>1</v>
      </c>
      <c r="AJ715">
        <f t="shared" si="326"/>
        <v>0</v>
      </c>
      <c r="AK715">
        <f t="shared" si="327"/>
        <v>1</v>
      </c>
      <c r="AL715">
        <f t="shared" si="328"/>
        <v>0</v>
      </c>
      <c r="AM715">
        <f t="shared" si="329"/>
        <v>0</v>
      </c>
      <c r="AN715">
        <f t="shared" si="330"/>
        <v>0</v>
      </c>
      <c r="AO715">
        <f t="shared" si="331"/>
        <v>1</v>
      </c>
      <c r="AP715">
        <f t="shared" si="332"/>
        <v>0</v>
      </c>
      <c r="AQ715">
        <f t="shared" si="333"/>
        <v>0</v>
      </c>
      <c r="AR715">
        <f t="shared" si="334"/>
        <v>0</v>
      </c>
      <c r="AS715">
        <f t="shared" si="335"/>
        <v>1</v>
      </c>
    </row>
    <row r="716" spans="2:45" x14ac:dyDescent="0.3">
      <c r="B716">
        <v>715</v>
      </c>
      <c r="C716" s="1">
        <v>41258</v>
      </c>
      <c r="D716">
        <v>4</v>
      </c>
      <c r="E716">
        <v>1</v>
      </c>
      <c r="F716">
        <v>12</v>
      </c>
      <c r="G716">
        <v>6</v>
      </c>
      <c r="H716">
        <v>1</v>
      </c>
      <c r="I716">
        <v>767</v>
      </c>
      <c r="J716">
        <v>4280</v>
      </c>
      <c r="K716" s="8">
        <v>5047</v>
      </c>
      <c r="L716">
        <v>13.290846999999999</v>
      </c>
      <c r="M716">
        <v>16.919149999999998</v>
      </c>
      <c r="N716">
        <v>65.041700000000006</v>
      </c>
      <c r="O716">
        <v>7.1254499999999998</v>
      </c>
      <c r="P716">
        <v>0</v>
      </c>
      <c r="Q716">
        <v>0</v>
      </c>
      <c r="R716">
        <f t="shared" si="308"/>
        <v>0</v>
      </c>
      <c r="S716">
        <f t="shared" si="309"/>
        <v>0</v>
      </c>
      <c r="T716">
        <f t="shared" si="310"/>
        <v>0</v>
      </c>
      <c r="U716">
        <f t="shared" si="311"/>
        <v>0</v>
      </c>
      <c r="V716">
        <f t="shared" si="312"/>
        <v>0</v>
      </c>
      <c r="W716">
        <f t="shared" si="313"/>
        <v>0</v>
      </c>
      <c r="X716">
        <f t="shared" si="314"/>
        <v>0</v>
      </c>
      <c r="Y716">
        <f t="shared" si="315"/>
        <v>0</v>
      </c>
      <c r="Z716">
        <f t="shared" si="316"/>
        <v>0</v>
      </c>
      <c r="AA716">
        <f t="shared" si="317"/>
        <v>0</v>
      </c>
      <c r="AB716">
        <f t="shared" si="318"/>
        <v>0</v>
      </c>
      <c r="AC716">
        <f t="shared" si="319"/>
        <v>1</v>
      </c>
      <c r="AD716">
        <f t="shared" si="320"/>
        <v>0</v>
      </c>
      <c r="AE716">
        <f t="shared" si="321"/>
        <v>0</v>
      </c>
      <c r="AF716">
        <f t="shared" si="322"/>
        <v>0</v>
      </c>
      <c r="AG716">
        <f t="shared" si="323"/>
        <v>0</v>
      </c>
      <c r="AH716">
        <f t="shared" si="324"/>
        <v>0</v>
      </c>
      <c r="AI716">
        <f t="shared" si="325"/>
        <v>0</v>
      </c>
      <c r="AJ716">
        <f t="shared" si="326"/>
        <v>1</v>
      </c>
      <c r="AK716">
        <f t="shared" si="327"/>
        <v>1</v>
      </c>
      <c r="AL716">
        <f t="shared" si="328"/>
        <v>0</v>
      </c>
      <c r="AM716">
        <f t="shared" si="329"/>
        <v>0</v>
      </c>
      <c r="AN716">
        <f t="shared" si="330"/>
        <v>0</v>
      </c>
      <c r="AO716">
        <f t="shared" si="331"/>
        <v>1</v>
      </c>
      <c r="AP716">
        <f t="shared" si="332"/>
        <v>0</v>
      </c>
      <c r="AQ716">
        <f t="shared" si="333"/>
        <v>0</v>
      </c>
      <c r="AR716">
        <f t="shared" si="334"/>
        <v>0</v>
      </c>
      <c r="AS716">
        <f t="shared" si="335"/>
        <v>1</v>
      </c>
    </row>
    <row r="717" spans="2:45" x14ac:dyDescent="0.3">
      <c r="B717">
        <v>716</v>
      </c>
      <c r="C717" s="1">
        <v>41259</v>
      </c>
      <c r="D717">
        <v>4</v>
      </c>
      <c r="E717">
        <v>1</v>
      </c>
      <c r="F717">
        <v>12</v>
      </c>
      <c r="G717">
        <v>0</v>
      </c>
      <c r="H717">
        <v>2</v>
      </c>
      <c r="I717">
        <v>538</v>
      </c>
      <c r="J717">
        <v>3248</v>
      </c>
      <c r="K717" s="8">
        <v>3786</v>
      </c>
      <c r="L717">
        <v>14.862500000000001</v>
      </c>
      <c r="M717">
        <v>18.4969</v>
      </c>
      <c r="N717">
        <v>83.875</v>
      </c>
      <c r="O717">
        <v>6.749714</v>
      </c>
      <c r="P717">
        <v>0</v>
      </c>
      <c r="Q717">
        <v>0</v>
      </c>
      <c r="R717">
        <f t="shared" si="308"/>
        <v>0</v>
      </c>
      <c r="S717">
        <f t="shared" si="309"/>
        <v>0</v>
      </c>
      <c r="T717">
        <f t="shared" si="310"/>
        <v>0</v>
      </c>
      <c r="U717">
        <f t="shared" si="311"/>
        <v>0</v>
      </c>
      <c r="V717">
        <f t="shared" si="312"/>
        <v>0</v>
      </c>
      <c r="W717">
        <f t="shared" si="313"/>
        <v>0</v>
      </c>
      <c r="X717">
        <f t="shared" si="314"/>
        <v>0</v>
      </c>
      <c r="Y717">
        <f t="shared" si="315"/>
        <v>0</v>
      </c>
      <c r="Z717">
        <f t="shared" si="316"/>
        <v>0</v>
      </c>
      <c r="AA717">
        <f t="shared" si="317"/>
        <v>0</v>
      </c>
      <c r="AB717">
        <f t="shared" si="318"/>
        <v>0</v>
      </c>
      <c r="AC717">
        <f t="shared" si="319"/>
        <v>1</v>
      </c>
      <c r="AD717">
        <f t="shared" si="320"/>
        <v>1</v>
      </c>
      <c r="AE717">
        <f t="shared" si="321"/>
        <v>0</v>
      </c>
      <c r="AF717">
        <f t="shared" si="322"/>
        <v>0</v>
      </c>
      <c r="AG717">
        <f t="shared" si="323"/>
        <v>0</v>
      </c>
      <c r="AH717">
        <f t="shared" si="324"/>
        <v>0</v>
      </c>
      <c r="AI717">
        <f t="shared" si="325"/>
        <v>0</v>
      </c>
      <c r="AJ717">
        <f t="shared" si="326"/>
        <v>0</v>
      </c>
      <c r="AK717">
        <f t="shared" si="327"/>
        <v>0</v>
      </c>
      <c r="AL717">
        <f t="shared" si="328"/>
        <v>1</v>
      </c>
      <c r="AM717">
        <f t="shared" si="329"/>
        <v>0</v>
      </c>
      <c r="AN717">
        <f t="shared" si="330"/>
        <v>0</v>
      </c>
      <c r="AO717">
        <f t="shared" si="331"/>
        <v>1</v>
      </c>
      <c r="AP717">
        <f t="shared" si="332"/>
        <v>0</v>
      </c>
      <c r="AQ717">
        <f t="shared" si="333"/>
        <v>0</v>
      </c>
      <c r="AR717">
        <f t="shared" si="334"/>
        <v>0</v>
      </c>
      <c r="AS717">
        <f t="shared" si="335"/>
        <v>1</v>
      </c>
    </row>
    <row r="718" spans="2:45" x14ac:dyDescent="0.3">
      <c r="B718">
        <v>717</v>
      </c>
      <c r="C718" s="1">
        <v>41260</v>
      </c>
      <c r="D718">
        <v>4</v>
      </c>
      <c r="E718">
        <v>1</v>
      </c>
      <c r="F718">
        <v>12</v>
      </c>
      <c r="G718">
        <v>1</v>
      </c>
      <c r="H718">
        <v>2</v>
      </c>
      <c r="I718">
        <v>212</v>
      </c>
      <c r="J718">
        <v>4373</v>
      </c>
      <c r="K718" s="8">
        <v>4585</v>
      </c>
      <c r="L718">
        <v>16.126653000000001</v>
      </c>
      <c r="M718">
        <v>20.074999999999999</v>
      </c>
      <c r="N718">
        <v>90.708299999999994</v>
      </c>
      <c r="O718">
        <v>6.5833060999999997</v>
      </c>
      <c r="P718">
        <v>0</v>
      </c>
      <c r="Q718">
        <v>1</v>
      </c>
      <c r="R718">
        <f t="shared" si="308"/>
        <v>0</v>
      </c>
      <c r="S718">
        <f t="shared" si="309"/>
        <v>0</v>
      </c>
      <c r="T718">
        <f t="shared" si="310"/>
        <v>0</v>
      </c>
      <c r="U718">
        <f t="shared" si="311"/>
        <v>0</v>
      </c>
      <c r="V718">
        <f t="shared" si="312"/>
        <v>0</v>
      </c>
      <c r="W718">
        <f t="shared" si="313"/>
        <v>0</v>
      </c>
      <c r="X718">
        <f t="shared" si="314"/>
        <v>0</v>
      </c>
      <c r="Y718">
        <f t="shared" si="315"/>
        <v>0</v>
      </c>
      <c r="Z718">
        <f t="shared" si="316"/>
        <v>0</v>
      </c>
      <c r="AA718">
        <f t="shared" si="317"/>
        <v>0</v>
      </c>
      <c r="AB718">
        <f t="shared" si="318"/>
        <v>0</v>
      </c>
      <c r="AC718">
        <f t="shared" si="319"/>
        <v>1</v>
      </c>
      <c r="AD718">
        <f t="shared" si="320"/>
        <v>0</v>
      </c>
      <c r="AE718">
        <f t="shared" si="321"/>
        <v>1</v>
      </c>
      <c r="AF718">
        <f t="shared" si="322"/>
        <v>0</v>
      </c>
      <c r="AG718">
        <f t="shared" si="323"/>
        <v>0</v>
      </c>
      <c r="AH718">
        <f t="shared" si="324"/>
        <v>0</v>
      </c>
      <c r="AI718">
        <f t="shared" si="325"/>
        <v>0</v>
      </c>
      <c r="AJ718">
        <f t="shared" si="326"/>
        <v>0</v>
      </c>
      <c r="AK718">
        <f t="shared" si="327"/>
        <v>0</v>
      </c>
      <c r="AL718">
        <f t="shared" si="328"/>
        <v>1</v>
      </c>
      <c r="AM718">
        <f t="shared" si="329"/>
        <v>0</v>
      </c>
      <c r="AN718">
        <f t="shared" si="330"/>
        <v>0</v>
      </c>
      <c r="AO718">
        <f t="shared" si="331"/>
        <v>1</v>
      </c>
      <c r="AP718">
        <f t="shared" si="332"/>
        <v>0</v>
      </c>
      <c r="AQ718">
        <f t="shared" si="333"/>
        <v>0</v>
      </c>
      <c r="AR718">
        <f t="shared" si="334"/>
        <v>0</v>
      </c>
      <c r="AS718">
        <f t="shared" si="335"/>
        <v>1</v>
      </c>
    </row>
    <row r="719" spans="2:45" x14ac:dyDescent="0.3">
      <c r="B719">
        <v>718</v>
      </c>
      <c r="C719" s="1">
        <v>41261</v>
      </c>
      <c r="D719">
        <v>4</v>
      </c>
      <c r="E719">
        <v>1</v>
      </c>
      <c r="F719">
        <v>12</v>
      </c>
      <c r="G719">
        <v>2</v>
      </c>
      <c r="H719">
        <v>1</v>
      </c>
      <c r="I719">
        <v>433</v>
      </c>
      <c r="J719">
        <v>5124</v>
      </c>
      <c r="K719" s="8">
        <v>5557</v>
      </c>
      <c r="L719">
        <v>16.844152999999999</v>
      </c>
      <c r="M719">
        <v>20.485399999999998</v>
      </c>
      <c r="N719">
        <v>66.625</v>
      </c>
      <c r="O719">
        <v>14.834068</v>
      </c>
      <c r="P719">
        <v>0</v>
      </c>
      <c r="Q719">
        <v>1</v>
      </c>
      <c r="R719">
        <f t="shared" si="308"/>
        <v>0</v>
      </c>
      <c r="S719">
        <f t="shared" si="309"/>
        <v>0</v>
      </c>
      <c r="T719">
        <f t="shared" si="310"/>
        <v>0</v>
      </c>
      <c r="U719">
        <f t="shared" si="311"/>
        <v>0</v>
      </c>
      <c r="V719">
        <f t="shared" si="312"/>
        <v>0</v>
      </c>
      <c r="W719">
        <f t="shared" si="313"/>
        <v>0</v>
      </c>
      <c r="X719">
        <f t="shared" si="314"/>
        <v>0</v>
      </c>
      <c r="Y719">
        <f t="shared" si="315"/>
        <v>0</v>
      </c>
      <c r="Z719">
        <f t="shared" si="316"/>
        <v>0</v>
      </c>
      <c r="AA719">
        <f t="shared" si="317"/>
        <v>0</v>
      </c>
      <c r="AB719">
        <f t="shared" si="318"/>
        <v>0</v>
      </c>
      <c r="AC719">
        <f t="shared" si="319"/>
        <v>1</v>
      </c>
      <c r="AD719">
        <f t="shared" si="320"/>
        <v>0</v>
      </c>
      <c r="AE719">
        <f t="shared" si="321"/>
        <v>0</v>
      </c>
      <c r="AF719">
        <f t="shared" si="322"/>
        <v>1</v>
      </c>
      <c r="AG719">
        <f t="shared" si="323"/>
        <v>0</v>
      </c>
      <c r="AH719">
        <f t="shared" si="324"/>
        <v>0</v>
      </c>
      <c r="AI719">
        <f t="shared" si="325"/>
        <v>0</v>
      </c>
      <c r="AJ719">
        <f t="shared" si="326"/>
        <v>0</v>
      </c>
      <c r="AK719">
        <f t="shared" si="327"/>
        <v>1</v>
      </c>
      <c r="AL719">
        <f t="shared" si="328"/>
        <v>0</v>
      </c>
      <c r="AM719">
        <f t="shared" si="329"/>
        <v>0</v>
      </c>
      <c r="AN719">
        <f t="shared" si="330"/>
        <v>0</v>
      </c>
      <c r="AO719">
        <f t="shared" si="331"/>
        <v>1</v>
      </c>
      <c r="AP719">
        <f t="shared" si="332"/>
        <v>0</v>
      </c>
      <c r="AQ719">
        <f t="shared" si="333"/>
        <v>0</v>
      </c>
      <c r="AR719">
        <f t="shared" si="334"/>
        <v>0</v>
      </c>
      <c r="AS719">
        <f t="shared" si="335"/>
        <v>1</v>
      </c>
    </row>
    <row r="720" spans="2:45" x14ac:dyDescent="0.3">
      <c r="B720">
        <v>719</v>
      </c>
      <c r="C720" s="1">
        <v>41262</v>
      </c>
      <c r="D720">
        <v>4</v>
      </c>
      <c r="E720">
        <v>1</v>
      </c>
      <c r="F720">
        <v>12</v>
      </c>
      <c r="G720">
        <v>3</v>
      </c>
      <c r="H720">
        <v>1</v>
      </c>
      <c r="I720">
        <v>333</v>
      </c>
      <c r="J720">
        <v>4934</v>
      </c>
      <c r="K720" s="8">
        <v>5267</v>
      </c>
      <c r="L720">
        <v>13.6325</v>
      </c>
      <c r="M720">
        <v>17.1081</v>
      </c>
      <c r="N720">
        <v>62.541699999999999</v>
      </c>
      <c r="O720">
        <v>12.334163999999999</v>
      </c>
      <c r="P720">
        <v>0</v>
      </c>
      <c r="Q720">
        <v>1</v>
      </c>
      <c r="R720">
        <f t="shared" si="308"/>
        <v>0</v>
      </c>
      <c r="S720">
        <f t="shared" si="309"/>
        <v>0</v>
      </c>
      <c r="T720">
        <f t="shared" si="310"/>
        <v>0</v>
      </c>
      <c r="U720">
        <f t="shared" si="311"/>
        <v>0</v>
      </c>
      <c r="V720">
        <f t="shared" si="312"/>
        <v>0</v>
      </c>
      <c r="W720">
        <f t="shared" si="313"/>
        <v>0</v>
      </c>
      <c r="X720">
        <f t="shared" si="314"/>
        <v>0</v>
      </c>
      <c r="Y720">
        <f t="shared" si="315"/>
        <v>0</v>
      </c>
      <c r="Z720">
        <f t="shared" si="316"/>
        <v>0</v>
      </c>
      <c r="AA720">
        <f t="shared" si="317"/>
        <v>0</v>
      </c>
      <c r="AB720">
        <f t="shared" si="318"/>
        <v>0</v>
      </c>
      <c r="AC720">
        <f t="shared" si="319"/>
        <v>1</v>
      </c>
      <c r="AD720">
        <f t="shared" si="320"/>
        <v>0</v>
      </c>
      <c r="AE720">
        <f t="shared" si="321"/>
        <v>0</v>
      </c>
      <c r="AF720">
        <f t="shared" si="322"/>
        <v>0</v>
      </c>
      <c r="AG720">
        <f t="shared" si="323"/>
        <v>1</v>
      </c>
      <c r="AH720">
        <f t="shared" si="324"/>
        <v>0</v>
      </c>
      <c r="AI720">
        <f t="shared" si="325"/>
        <v>0</v>
      </c>
      <c r="AJ720">
        <f t="shared" si="326"/>
        <v>0</v>
      </c>
      <c r="AK720">
        <f t="shared" si="327"/>
        <v>1</v>
      </c>
      <c r="AL720">
        <f t="shared" si="328"/>
        <v>0</v>
      </c>
      <c r="AM720">
        <f t="shared" si="329"/>
        <v>0</v>
      </c>
      <c r="AN720">
        <f t="shared" si="330"/>
        <v>0</v>
      </c>
      <c r="AO720">
        <f t="shared" si="331"/>
        <v>1</v>
      </c>
      <c r="AP720">
        <f t="shared" si="332"/>
        <v>0</v>
      </c>
      <c r="AQ720">
        <f t="shared" si="333"/>
        <v>0</v>
      </c>
      <c r="AR720">
        <f t="shared" si="334"/>
        <v>0</v>
      </c>
      <c r="AS720">
        <f t="shared" si="335"/>
        <v>1</v>
      </c>
    </row>
    <row r="721" spans="2:45" x14ac:dyDescent="0.3">
      <c r="B721">
        <v>720</v>
      </c>
      <c r="C721" s="1">
        <v>41263</v>
      </c>
      <c r="D721">
        <v>4</v>
      </c>
      <c r="E721">
        <v>1</v>
      </c>
      <c r="F721">
        <v>12</v>
      </c>
      <c r="G721">
        <v>4</v>
      </c>
      <c r="H721">
        <v>2</v>
      </c>
      <c r="I721">
        <v>314</v>
      </c>
      <c r="J721">
        <v>3814</v>
      </c>
      <c r="K721" s="8">
        <v>4128</v>
      </c>
      <c r="L721">
        <v>13.53</v>
      </c>
      <c r="M721">
        <v>16.760850000000001</v>
      </c>
      <c r="N721">
        <v>66.791700000000006</v>
      </c>
      <c r="O721">
        <v>8.8750210000000003</v>
      </c>
      <c r="P721">
        <v>0</v>
      </c>
      <c r="Q721">
        <v>1</v>
      </c>
      <c r="R721">
        <f t="shared" si="308"/>
        <v>0</v>
      </c>
      <c r="S721">
        <f t="shared" si="309"/>
        <v>0</v>
      </c>
      <c r="T721">
        <f t="shared" si="310"/>
        <v>0</v>
      </c>
      <c r="U721">
        <f t="shared" si="311"/>
        <v>0</v>
      </c>
      <c r="V721">
        <f t="shared" si="312"/>
        <v>0</v>
      </c>
      <c r="W721">
        <f t="shared" si="313"/>
        <v>0</v>
      </c>
      <c r="X721">
        <f t="shared" si="314"/>
        <v>0</v>
      </c>
      <c r="Y721">
        <f t="shared" si="315"/>
        <v>0</v>
      </c>
      <c r="Z721">
        <f t="shared" si="316"/>
        <v>0</v>
      </c>
      <c r="AA721">
        <f t="shared" si="317"/>
        <v>0</v>
      </c>
      <c r="AB721">
        <f t="shared" si="318"/>
        <v>0</v>
      </c>
      <c r="AC721">
        <f t="shared" si="319"/>
        <v>1</v>
      </c>
      <c r="AD721">
        <f t="shared" si="320"/>
        <v>0</v>
      </c>
      <c r="AE721">
        <f t="shared" si="321"/>
        <v>0</v>
      </c>
      <c r="AF721">
        <f t="shared" si="322"/>
        <v>0</v>
      </c>
      <c r="AG721">
        <f t="shared" si="323"/>
        <v>0</v>
      </c>
      <c r="AH721">
        <f t="shared" si="324"/>
        <v>1</v>
      </c>
      <c r="AI721">
        <f t="shared" si="325"/>
        <v>0</v>
      </c>
      <c r="AJ721">
        <f t="shared" si="326"/>
        <v>0</v>
      </c>
      <c r="AK721">
        <f t="shared" si="327"/>
        <v>0</v>
      </c>
      <c r="AL721">
        <f t="shared" si="328"/>
        <v>1</v>
      </c>
      <c r="AM721">
        <f t="shared" si="329"/>
        <v>0</v>
      </c>
      <c r="AN721">
        <f t="shared" si="330"/>
        <v>0</v>
      </c>
      <c r="AO721">
        <f t="shared" si="331"/>
        <v>1</v>
      </c>
      <c r="AP721">
        <f t="shared" si="332"/>
        <v>0</v>
      </c>
      <c r="AQ721">
        <f t="shared" si="333"/>
        <v>0</v>
      </c>
      <c r="AR721">
        <f t="shared" si="334"/>
        <v>0</v>
      </c>
      <c r="AS721">
        <f t="shared" si="335"/>
        <v>1</v>
      </c>
    </row>
    <row r="722" spans="2:45" x14ac:dyDescent="0.3">
      <c r="B722">
        <v>721</v>
      </c>
      <c r="C722" s="1">
        <v>41264</v>
      </c>
      <c r="D722">
        <v>1</v>
      </c>
      <c r="E722">
        <v>1</v>
      </c>
      <c r="F722">
        <v>12</v>
      </c>
      <c r="G722">
        <v>5</v>
      </c>
      <c r="H722">
        <v>2</v>
      </c>
      <c r="I722">
        <v>221</v>
      </c>
      <c r="J722">
        <v>3402</v>
      </c>
      <c r="K722" s="8">
        <v>3623</v>
      </c>
      <c r="L722">
        <v>13.393347</v>
      </c>
      <c r="M722">
        <v>15.08835</v>
      </c>
      <c r="N722">
        <v>55.666699999999999</v>
      </c>
      <c r="O722">
        <v>25.083660999999999</v>
      </c>
      <c r="P722">
        <v>0</v>
      </c>
      <c r="Q722">
        <v>1</v>
      </c>
      <c r="R722">
        <f t="shared" si="308"/>
        <v>0</v>
      </c>
      <c r="S722">
        <f t="shared" si="309"/>
        <v>0</v>
      </c>
      <c r="T722">
        <f t="shared" si="310"/>
        <v>0</v>
      </c>
      <c r="U722">
        <f t="shared" si="311"/>
        <v>0</v>
      </c>
      <c r="V722">
        <f t="shared" si="312"/>
        <v>0</v>
      </c>
      <c r="W722">
        <f t="shared" si="313"/>
        <v>0</v>
      </c>
      <c r="X722">
        <f t="shared" si="314"/>
        <v>0</v>
      </c>
      <c r="Y722">
        <f t="shared" si="315"/>
        <v>0</v>
      </c>
      <c r="Z722">
        <f t="shared" si="316"/>
        <v>0</v>
      </c>
      <c r="AA722">
        <f t="shared" si="317"/>
        <v>0</v>
      </c>
      <c r="AB722">
        <f t="shared" si="318"/>
        <v>0</v>
      </c>
      <c r="AC722">
        <f t="shared" si="319"/>
        <v>1</v>
      </c>
      <c r="AD722">
        <f t="shared" si="320"/>
        <v>0</v>
      </c>
      <c r="AE722">
        <f t="shared" si="321"/>
        <v>0</v>
      </c>
      <c r="AF722">
        <f t="shared" si="322"/>
        <v>0</v>
      </c>
      <c r="AG722">
        <f t="shared" si="323"/>
        <v>0</v>
      </c>
      <c r="AH722">
        <f t="shared" si="324"/>
        <v>0</v>
      </c>
      <c r="AI722">
        <f t="shared" si="325"/>
        <v>1</v>
      </c>
      <c r="AJ722">
        <f t="shared" si="326"/>
        <v>0</v>
      </c>
      <c r="AK722">
        <f t="shared" si="327"/>
        <v>0</v>
      </c>
      <c r="AL722">
        <f t="shared" si="328"/>
        <v>1</v>
      </c>
      <c r="AM722">
        <f t="shared" si="329"/>
        <v>0</v>
      </c>
      <c r="AN722">
        <f t="shared" si="330"/>
        <v>0</v>
      </c>
      <c r="AO722">
        <f t="shared" si="331"/>
        <v>1</v>
      </c>
      <c r="AP722">
        <f t="shared" si="332"/>
        <v>1</v>
      </c>
      <c r="AQ722">
        <f t="shared" si="333"/>
        <v>0</v>
      </c>
      <c r="AR722">
        <f t="shared" si="334"/>
        <v>0</v>
      </c>
      <c r="AS722">
        <f t="shared" si="335"/>
        <v>0</v>
      </c>
    </row>
    <row r="723" spans="2:45" x14ac:dyDescent="0.3">
      <c r="B723">
        <v>722</v>
      </c>
      <c r="C723" s="1">
        <v>41265</v>
      </c>
      <c r="D723">
        <v>1</v>
      </c>
      <c r="E723">
        <v>1</v>
      </c>
      <c r="F723">
        <v>12</v>
      </c>
      <c r="G723">
        <v>6</v>
      </c>
      <c r="H723">
        <v>1</v>
      </c>
      <c r="I723">
        <v>205</v>
      </c>
      <c r="J723">
        <v>1544</v>
      </c>
      <c r="K723" s="8">
        <v>1749</v>
      </c>
      <c r="L723">
        <v>10.899153</v>
      </c>
      <c r="M723">
        <v>11.80565</v>
      </c>
      <c r="N723">
        <v>44.125</v>
      </c>
      <c r="O723">
        <v>27.292182</v>
      </c>
      <c r="P723">
        <v>0</v>
      </c>
      <c r="Q723">
        <v>0</v>
      </c>
      <c r="R723">
        <f t="shared" si="308"/>
        <v>0</v>
      </c>
      <c r="S723">
        <f t="shared" si="309"/>
        <v>0</v>
      </c>
      <c r="T723">
        <f t="shared" si="310"/>
        <v>0</v>
      </c>
      <c r="U723">
        <f t="shared" si="311"/>
        <v>0</v>
      </c>
      <c r="V723">
        <f t="shared" si="312"/>
        <v>0</v>
      </c>
      <c r="W723">
        <f t="shared" si="313"/>
        <v>0</v>
      </c>
      <c r="X723">
        <f t="shared" si="314"/>
        <v>0</v>
      </c>
      <c r="Y723">
        <f t="shared" si="315"/>
        <v>0</v>
      </c>
      <c r="Z723">
        <f t="shared" si="316"/>
        <v>0</v>
      </c>
      <c r="AA723">
        <f t="shared" si="317"/>
        <v>0</v>
      </c>
      <c r="AB723">
        <f t="shared" si="318"/>
        <v>0</v>
      </c>
      <c r="AC723">
        <f t="shared" si="319"/>
        <v>1</v>
      </c>
      <c r="AD723">
        <f t="shared" si="320"/>
        <v>0</v>
      </c>
      <c r="AE723">
        <f t="shared" si="321"/>
        <v>0</v>
      </c>
      <c r="AF723">
        <f t="shared" si="322"/>
        <v>0</v>
      </c>
      <c r="AG723">
        <f t="shared" si="323"/>
        <v>0</v>
      </c>
      <c r="AH723">
        <f t="shared" si="324"/>
        <v>0</v>
      </c>
      <c r="AI723">
        <f t="shared" si="325"/>
        <v>0</v>
      </c>
      <c r="AJ723">
        <f t="shared" si="326"/>
        <v>1</v>
      </c>
      <c r="AK723">
        <f t="shared" si="327"/>
        <v>1</v>
      </c>
      <c r="AL723">
        <f t="shared" si="328"/>
        <v>0</v>
      </c>
      <c r="AM723">
        <f t="shared" si="329"/>
        <v>0</v>
      </c>
      <c r="AN723">
        <f t="shared" si="330"/>
        <v>0</v>
      </c>
      <c r="AO723">
        <f t="shared" si="331"/>
        <v>1</v>
      </c>
      <c r="AP723">
        <f t="shared" si="332"/>
        <v>1</v>
      </c>
      <c r="AQ723">
        <f t="shared" si="333"/>
        <v>0</v>
      </c>
      <c r="AR723">
        <f t="shared" si="334"/>
        <v>0</v>
      </c>
      <c r="AS723">
        <f t="shared" si="335"/>
        <v>0</v>
      </c>
    </row>
    <row r="724" spans="2:45" x14ac:dyDescent="0.3">
      <c r="B724">
        <v>723</v>
      </c>
      <c r="C724" s="1">
        <v>41266</v>
      </c>
      <c r="D724">
        <v>1</v>
      </c>
      <c r="E724">
        <v>1</v>
      </c>
      <c r="F724">
        <v>12</v>
      </c>
      <c r="G724">
        <v>0</v>
      </c>
      <c r="H724">
        <v>1</v>
      </c>
      <c r="I724">
        <v>408</v>
      </c>
      <c r="J724">
        <v>1379</v>
      </c>
      <c r="K724" s="8">
        <v>1787</v>
      </c>
      <c r="L724">
        <v>10.079153</v>
      </c>
      <c r="M724">
        <v>12.973549999999999</v>
      </c>
      <c r="N724">
        <v>51.541699999999999</v>
      </c>
      <c r="O724">
        <v>8.9165609999999997</v>
      </c>
      <c r="P724">
        <v>0</v>
      </c>
      <c r="Q724">
        <v>0</v>
      </c>
      <c r="R724">
        <f t="shared" si="308"/>
        <v>0</v>
      </c>
      <c r="S724">
        <f t="shared" si="309"/>
        <v>0</v>
      </c>
      <c r="T724">
        <f t="shared" si="310"/>
        <v>0</v>
      </c>
      <c r="U724">
        <f t="shared" si="311"/>
        <v>0</v>
      </c>
      <c r="V724">
        <f t="shared" si="312"/>
        <v>0</v>
      </c>
      <c r="W724">
        <f t="shared" si="313"/>
        <v>0</v>
      </c>
      <c r="X724">
        <f t="shared" si="314"/>
        <v>0</v>
      </c>
      <c r="Y724">
        <f t="shared" si="315"/>
        <v>0</v>
      </c>
      <c r="Z724">
        <f t="shared" si="316"/>
        <v>0</v>
      </c>
      <c r="AA724">
        <f t="shared" si="317"/>
        <v>0</v>
      </c>
      <c r="AB724">
        <f t="shared" si="318"/>
        <v>0</v>
      </c>
      <c r="AC724">
        <f t="shared" si="319"/>
        <v>1</v>
      </c>
      <c r="AD724">
        <f t="shared" si="320"/>
        <v>1</v>
      </c>
      <c r="AE724">
        <f t="shared" si="321"/>
        <v>0</v>
      </c>
      <c r="AF724">
        <f t="shared" si="322"/>
        <v>0</v>
      </c>
      <c r="AG724">
        <f t="shared" si="323"/>
        <v>0</v>
      </c>
      <c r="AH724">
        <f t="shared" si="324"/>
        <v>0</v>
      </c>
      <c r="AI724">
        <f t="shared" si="325"/>
        <v>0</v>
      </c>
      <c r="AJ724">
        <f t="shared" si="326"/>
        <v>0</v>
      </c>
      <c r="AK724">
        <f t="shared" si="327"/>
        <v>1</v>
      </c>
      <c r="AL724">
        <f t="shared" si="328"/>
        <v>0</v>
      </c>
      <c r="AM724">
        <f t="shared" si="329"/>
        <v>0</v>
      </c>
      <c r="AN724">
        <f t="shared" si="330"/>
        <v>0</v>
      </c>
      <c r="AO724">
        <f t="shared" si="331"/>
        <v>1</v>
      </c>
      <c r="AP724">
        <f t="shared" si="332"/>
        <v>1</v>
      </c>
      <c r="AQ724">
        <f t="shared" si="333"/>
        <v>0</v>
      </c>
      <c r="AR724">
        <f t="shared" si="334"/>
        <v>0</v>
      </c>
      <c r="AS724">
        <f t="shared" si="335"/>
        <v>0</v>
      </c>
    </row>
    <row r="725" spans="2:45" x14ac:dyDescent="0.3">
      <c r="B725">
        <v>724</v>
      </c>
      <c r="C725" s="1">
        <v>41267</v>
      </c>
      <c r="D725">
        <v>1</v>
      </c>
      <c r="E725">
        <v>1</v>
      </c>
      <c r="F725">
        <v>12</v>
      </c>
      <c r="G725">
        <v>1</v>
      </c>
      <c r="H725">
        <v>2</v>
      </c>
      <c r="I725">
        <v>174</v>
      </c>
      <c r="J725">
        <v>746</v>
      </c>
      <c r="K725" s="8">
        <v>920</v>
      </c>
      <c r="L725">
        <v>9.4834639999999997</v>
      </c>
      <c r="M725">
        <v>12.945</v>
      </c>
      <c r="N725">
        <v>79.130399999999995</v>
      </c>
      <c r="O725">
        <v>5.1744367999999996</v>
      </c>
      <c r="P725">
        <v>0</v>
      </c>
      <c r="Q725">
        <v>1</v>
      </c>
      <c r="R725">
        <f t="shared" si="308"/>
        <v>0</v>
      </c>
      <c r="S725">
        <f t="shared" si="309"/>
        <v>0</v>
      </c>
      <c r="T725">
        <f t="shared" si="310"/>
        <v>0</v>
      </c>
      <c r="U725">
        <f t="shared" si="311"/>
        <v>0</v>
      </c>
      <c r="V725">
        <f t="shared" si="312"/>
        <v>0</v>
      </c>
      <c r="W725">
        <f t="shared" si="313"/>
        <v>0</v>
      </c>
      <c r="X725">
        <f t="shared" si="314"/>
        <v>0</v>
      </c>
      <c r="Y725">
        <f t="shared" si="315"/>
        <v>0</v>
      </c>
      <c r="Z725">
        <f t="shared" si="316"/>
        <v>0</v>
      </c>
      <c r="AA725">
        <f t="shared" si="317"/>
        <v>0</v>
      </c>
      <c r="AB725">
        <f t="shared" si="318"/>
        <v>0</v>
      </c>
      <c r="AC725">
        <f t="shared" si="319"/>
        <v>1</v>
      </c>
      <c r="AD725">
        <f t="shared" si="320"/>
        <v>0</v>
      </c>
      <c r="AE725">
        <f t="shared" si="321"/>
        <v>1</v>
      </c>
      <c r="AF725">
        <f t="shared" si="322"/>
        <v>0</v>
      </c>
      <c r="AG725">
        <f t="shared" si="323"/>
        <v>0</v>
      </c>
      <c r="AH725">
        <f t="shared" si="324"/>
        <v>0</v>
      </c>
      <c r="AI725">
        <f t="shared" si="325"/>
        <v>0</v>
      </c>
      <c r="AJ725">
        <f t="shared" si="326"/>
        <v>0</v>
      </c>
      <c r="AK725">
        <f t="shared" si="327"/>
        <v>0</v>
      </c>
      <c r="AL725">
        <f t="shared" si="328"/>
        <v>1</v>
      </c>
      <c r="AM725">
        <f t="shared" si="329"/>
        <v>0</v>
      </c>
      <c r="AN725">
        <f t="shared" si="330"/>
        <v>0</v>
      </c>
      <c r="AO725">
        <f t="shared" si="331"/>
        <v>1</v>
      </c>
      <c r="AP725">
        <f t="shared" si="332"/>
        <v>1</v>
      </c>
      <c r="AQ725">
        <f t="shared" si="333"/>
        <v>0</v>
      </c>
      <c r="AR725">
        <f t="shared" si="334"/>
        <v>0</v>
      </c>
      <c r="AS725">
        <f t="shared" si="335"/>
        <v>0</v>
      </c>
    </row>
    <row r="726" spans="2:45" x14ac:dyDescent="0.3">
      <c r="B726">
        <v>725</v>
      </c>
      <c r="C726" s="1">
        <v>41268</v>
      </c>
      <c r="D726">
        <v>1</v>
      </c>
      <c r="E726">
        <v>1</v>
      </c>
      <c r="F726">
        <v>12</v>
      </c>
      <c r="G726">
        <v>2</v>
      </c>
      <c r="H726">
        <v>2</v>
      </c>
      <c r="I726">
        <v>440</v>
      </c>
      <c r="J726">
        <v>573</v>
      </c>
      <c r="K726" s="8">
        <v>1013</v>
      </c>
      <c r="L726">
        <v>11.943464000000001</v>
      </c>
      <c r="M726">
        <v>14.72325</v>
      </c>
      <c r="N726">
        <v>73.478300000000004</v>
      </c>
      <c r="O726">
        <v>11.304641999999999</v>
      </c>
      <c r="P726">
        <v>1</v>
      </c>
      <c r="Q726">
        <v>0</v>
      </c>
      <c r="R726">
        <f t="shared" si="308"/>
        <v>0</v>
      </c>
      <c r="S726">
        <f t="shared" si="309"/>
        <v>0</v>
      </c>
      <c r="T726">
        <f t="shared" si="310"/>
        <v>0</v>
      </c>
      <c r="U726">
        <f t="shared" si="311"/>
        <v>0</v>
      </c>
      <c r="V726">
        <f t="shared" si="312"/>
        <v>0</v>
      </c>
      <c r="W726">
        <f t="shared" si="313"/>
        <v>0</v>
      </c>
      <c r="X726">
        <f t="shared" si="314"/>
        <v>0</v>
      </c>
      <c r="Y726">
        <f t="shared" si="315"/>
        <v>0</v>
      </c>
      <c r="Z726">
        <f t="shared" si="316"/>
        <v>0</v>
      </c>
      <c r="AA726">
        <f t="shared" si="317"/>
        <v>0</v>
      </c>
      <c r="AB726">
        <f t="shared" si="318"/>
        <v>0</v>
      </c>
      <c r="AC726">
        <f t="shared" si="319"/>
        <v>1</v>
      </c>
      <c r="AD726">
        <f t="shared" si="320"/>
        <v>0</v>
      </c>
      <c r="AE726">
        <f t="shared" si="321"/>
        <v>0</v>
      </c>
      <c r="AF726">
        <f t="shared" si="322"/>
        <v>1</v>
      </c>
      <c r="AG726">
        <f t="shared" si="323"/>
        <v>0</v>
      </c>
      <c r="AH726">
        <f t="shared" si="324"/>
        <v>0</v>
      </c>
      <c r="AI726">
        <f t="shared" si="325"/>
        <v>0</v>
      </c>
      <c r="AJ726">
        <f t="shared" si="326"/>
        <v>0</v>
      </c>
      <c r="AK726">
        <f t="shared" si="327"/>
        <v>0</v>
      </c>
      <c r="AL726">
        <f t="shared" si="328"/>
        <v>1</v>
      </c>
      <c r="AM726">
        <f t="shared" si="329"/>
        <v>0</v>
      </c>
      <c r="AN726">
        <f t="shared" si="330"/>
        <v>0</v>
      </c>
      <c r="AO726">
        <f t="shared" si="331"/>
        <v>1</v>
      </c>
      <c r="AP726">
        <f t="shared" si="332"/>
        <v>1</v>
      </c>
      <c r="AQ726">
        <f t="shared" si="333"/>
        <v>0</v>
      </c>
      <c r="AR726">
        <f t="shared" si="334"/>
        <v>0</v>
      </c>
      <c r="AS726">
        <f t="shared" si="335"/>
        <v>0</v>
      </c>
    </row>
    <row r="727" spans="2:45" x14ac:dyDescent="0.3">
      <c r="B727">
        <v>726</v>
      </c>
      <c r="C727" s="1">
        <v>41269</v>
      </c>
      <c r="D727">
        <v>1</v>
      </c>
      <c r="E727">
        <v>1</v>
      </c>
      <c r="F727">
        <v>12</v>
      </c>
      <c r="G727">
        <v>3</v>
      </c>
      <c r="H727">
        <v>3</v>
      </c>
      <c r="I727">
        <v>9</v>
      </c>
      <c r="J727">
        <v>432</v>
      </c>
      <c r="K727" s="8">
        <v>441</v>
      </c>
      <c r="L727">
        <v>9.9766530000000007</v>
      </c>
      <c r="M727">
        <v>11.01665</v>
      </c>
      <c r="N727">
        <v>82.333299999999994</v>
      </c>
      <c r="O727">
        <v>21.208582</v>
      </c>
      <c r="P727">
        <v>0</v>
      </c>
      <c r="Q727">
        <v>1</v>
      </c>
      <c r="R727">
        <f t="shared" si="308"/>
        <v>0</v>
      </c>
      <c r="S727">
        <f t="shared" si="309"/>
        <v>0</v>
      </c>
      <c r="T727">
        <f t="shared" si="310"/>
        <v>0</v>
      </c>
      <c r="U727">
        <f t="shared" si="311"/>
        <v>0</v>
      </c>
      <c r="V727">
        <f t="shared" si="312"/>
        <v>0</v>
      </c>
      <c r="W727">
        <f t="shared" si="313"/>
        <v>0</v>
      </c>
      <c r="X727">
        <f t="shared" si="314"/>
        <v>0</v>
      </c>
      <c r="Y727">
        <f t="shared" si="315"/>
        <v>0</v>
      </c>
      <c r="Z727">
        <f t="shared" si="316"/>
        <v>0</v>
      </c>
      <c r="AA727">
        <f t="shared" si="317"/>
        <v>0</v>
      </c>
      <c r="AB727">
        <f t="shared" si="318"/>
        <v>0</v>
      </c>
      <c r="AC727">
        <f t="shared" si="319"/>
        <v>1</v>
      </c>
      <c r="AD727">
        <f t="shared" si="320"/>
        <v>0</v>
      </c>
      <c r="AE727">
        <f t="shared" si="321"/>
        <v>0</v>
      </c>
      <c r="AF727">
        <f t="shared" si="322"/>
        <v>0</v>
      </c>
      <c r="AG727">
        <f t="shared" si="323"/>
        <v>1</v>
      </c>
      <c r="AH727">
        <f t="shared" si="324"/>
        <v>0</v>
      </c>
      <c r="AI727">
        <f t="shared" si="325"/>
        <v>0</v>
      </c>
      <c r="AJ727">
        <f t="shared" si="326"/>
        <v>0</v>
      </c>
      <c r="AK727">
        <f t="shared" si="327"/>
        <v>0</v>
      </c>
      <c r="AL727">
        <f t="shared" si="328"/>
        <v>0</v>
      </c>
      <c r="AM727">
        <f t="shared" si="329"/>
        <v>1</v>
      </c>
      <c r="AN727">
        <f t="shared" si="330"/>
        <v>0</v>
      </c>
      <c r="AO727">
        <f t="shared" si="331"/>
        <v>1</v>
      </c>
      <c r="AP727">
        <f t="shared" si="332"/>
        <v>1</v>
      </c>
      <c r="AQ727">
        <f t="shared" si="333"/>
        <v>0</v>
      </c>
      <c r="AR727">
        <f t="shared" si="334"/>
        <v>0</v>
      </c>
      <c r="AS727">
        <f t="shared" si="335"/>
        <v>0</v>
      </c>
    </row>
    <row r="728" spans="2:45" x14ac:dyDescent="0.3">
      <c r="B728">
        <v>727</v>
      </c>
      <c r="C728" s="1">
        <v>41270</v>
      </c>
      <c r="D728">
        <v>1</v>
      </c>
      <c r="E728">
        <v>1</v>
      </c>
      <c r="F728">
        <v>12</v>
      </c>
      <c r="G728">
        <v>4</v>
      </c>
      <c r="H728">
        <v>2</v>
      </c>
      <c r="I728">
        <v>247</v>
      </c>
      <c r="J728">
        <v>1867</v>
      </c>
      <c r="K728" s="8">
        <v>2114</v>
      </c>
      <c r="L728">
        <v>10.420847</v>
      </c>
      <c r="M728">
        <v>11.332100000000001</v>
      </c>
      <c r="N728">
        <v>65.291700000000006</v>
      </c>
      <c r="O728">
        <v>23.458911000000001</v>
      </c>
      <c r="P728">
        <v>0</v>
      </c>
      <c r="Q728">
        <v>1</v>
      </c>
      <c r="R728">
        <f t="shared" si="308"/>
        <v>0</v>
      </c>
      <c r="S728">
        <f t="shared" si="309"/>
        <v>0</v>
      </c>
      <c r="T728">
        <f t="shared" si="310"/>
        <v>0</v>
      </c>
      <c r="U728">
        <f t="shared" si="311"/>
        <v>0</v>
      </c>
      <c r="V728">
        <f t="shared" si="312"/>
        <v>0</v>
      </c>
      <c r="W728">
        <f t="shared" si="313"/>
        <v>0</v>
      </c>
      <c r="X728">
        <f t="shared" si="314"/>
        <v>0</v>
      </c>
      <c r="Y728">
        <f t="shared" si="315"/>
        <v>0</v>
      </c>
      <c r="Z728">
        <f t="shared" si="316"/>
        <v>0</v>
      </c>
      <c r="AA728">
        <f t="shared" si="317"/>
        <v>0</v>
      </c>
      <c r="AB728">
        <f t="shared" si="318"/>
        <v>0</v>
      </c>
      <c r="AC728">
        <f t="shared" si="319"/>
        <v>1</v>
      </c>
      <c r="AD728">
        <f t="shared" si="320"/>
        <v>0</v>
      </c>
      <c r="AE728">
        <f t="shared" si="321"/>
        <v>0</v>
      </c>
      <c r="AF728">
        <f t="shared" si="322"/>
        <v>0</v>
      </c>
      <c r="AG728">
        <f t="shared" si="323"/>
        <v>0</v>
      </c>
      <c r="AH728">
        <f t="shared" si="324"/>
        <v>1</v>
      </c>
      <c r="AI728">
        <f t="shared" si="325"/>
        <v>0</v>
      </c>
      <c r="AJ728">
        <f t="shared" si="326"/>
        <v>0</v>
      </c>
      <c r="AK728">
        <f t="shared" si="327"/>
        <v>0</v>
      </c>
      <c r="AL728">
        <f t="shared" si="328"/>
        <v>1</v>
      </c>
      <c r="AM728">
        <f t="shared" si="329"/>
        <v>0</v>
      </c>
      <c r="AN728">
        <f t="shared" si="330"/>
        <v>0</v>
      </c>
      <c r="AO728">
        <f t="shared" si="331"/>
        <v>1</v>
      </c>
      <c r="AP728">
        <f t="shared" si="332"/>
        <v>1</v>
      </c>
      <c r="AQ728">
        <f t="shared" si="333"/>
        <v>0</v>
      </c>
      <c r="AR728">
        <f t="shared" si="334"/>
        <v>0</v>
      </c>
      <c r="AS728">
        <f t="shared" si="335"/>
        <v>0</v>
      </c>
    </row>
    <row r="729" spans="2:45" x14ac:dyDescent="0.3">
      <c r="B729">
        <v>728</v>
      </c>
      <c r="C729" s="1">
        <v>41271</v>
      </c>
      <c r="D729">
        <v>1</v>
      </c>
      <c r="E729">
        <v>1</v>
      </c>
      <c r="F729">
        <v>12</v>
      </c>
      <c r="G729">
        <v>5</v>
      </c>
      <c r="H729">
        <v>2</v>
      </c>
      <c r="I729">
        <v>644</v>
      </c>
      <c r="J729">
        <v>2451</v>
      </c>
      <c r="K729" s="8">
        <v>3095</v>
      </c>
      <c r="L729">
        <v>10.386653000000001</v>
      </c>
      <c r="M729">
        <v>12.7523</v>
      </c>
      <c r="N729">
        <v>59</v>
      </c>
      <c r="O729">
        <v>10.416556999999999</v>
      </c>
      <c r="P729">
        <v>0</v>
      </c>
      <c r="Q729">
        <v>1</v>
      </c>
      <c r="R729">
        <f t="shared" si="308"/>
        <v>0</v>
      </c>
      <c r="S729">
        <f t="shared" si="309"/>
        <v>0</v>
      </c>
      <c r="T729">
        <f t="shared" si="310"/>
        <v>0</v>
      </c>
      <c r="U729">
        <f t="shared" si="311"/>
        <v>0</v>
      </c>
      <c r="V729">
        <f t="shared" si="312"/>
        <v>0</v>
      </c>
      <c r="W729">
        <f t="shared" si="313"/>
        <v>0</v>
      </c>
      <c r="X729">
        <f t="shared" si="314"/>
        <v>0</v>
      </c>
      <c r="Y729">
        <f t="shared" si="315"/>
        <v>0</v>
      </c>
      <c r="Z729">
        <f t="shared" si="316"/>
        <v>0</v>
      </c>
      <c r="AA729">
        <f t="shared" si="317"/>
        <v>0</v>
      </c>
      <c r="AB729">
        <f t="shared" si="318"/>
        <v>0</v>
      </c>
      <c r="AC729">
        <f t="shared" si="319"/>
        <v>1</v>
      </c>
      <c r="AD729">
        <f t="shared" si="320"/>
        <v>0</v>
      </c>
      <c r="AE729">
        <f t="shared" si="321"/>
        <v>0</v>
      </c>
      <c r="AF729">
        <f t="shared" si="322"/>
        <v>0</v>
      </c>
      <c r="AG729">
        <f t="shared" si="323"/>
        <v>0</v>
      </c>
      <c r="AH729">
        <f t="shared" si="324"/>
        <v>0</v>
      </c>
      <c r="AI729">
        <f t="shared" si="325"/>
        <v>1</v>
      </c>
      <c r="AJ729">
        <f t="shared" si="326"/>
        <v>0</v>
      </c>
      <c r="AK729">
        <f t="shared" si="327"/>
        <v>0</v>
      </c>
      <c r="AL729">
        <f t="shared" si="328"/>
        <v>1</v>
      </c>
      <c r="AM729">
        <f t="shared" si="329"/>
        <v>0</v>
      </c>
      <c r="AN729">
        <f t="shared" si="330"/>
        <v>0</v>
      </c>
      <c r="AO729">
        <f t="shared" si="331"/>
        <v>1</v>
      </c>
      <c r="AP729">
        <f t="shared" si="332"/>
        <v>1</v>
      </c>
      <c r="AQ729">
        <f t="shared" si="333"/>
        <v>0</v>
      </c>
      <c r="AR729">
        <f t="shared" si="334"/>
        <v>0</v>
      </c>
      <c r="AS729">
        <f t="shared" si="335"/>
        <v>0</v>
      </c>
    </row>
    <row r="730" spans="2:45" x14ac:dyDescent="0.3">
      <c r="B730">
        <v>729</v>
      </c>
      <c r="C730" s="1">
        <v>41272</v>
      </c>
      <c r="D730">
        <v>1</v>
      </c>
      <c r="E730">
        <v>1</v>
      </c>
      <c r="F730">
        <v>12</v>
      </c>
      <c r="G730">
        <v>6</v>
      </c>
      <c r="H730">
        <v>2</v>
      </c>
      <c r="I730">
        <v>159</v>
      </c>
      <c r="J730">
        <v>1182</v>
      </c>
      <c r="K730" s="8">
        <v>1341</v>
      </c>
      <c r="L730">
        <v>10.386653000000001</v>
      </c>
      <c r="M730">
        <v>12.12</v>
      </c>
      <c r="N730">
        <v>75.291700000000006</v>
      </c>
      <c r="O730">
        <v>8.3336609999999993</v>
      </c>
      <c r="P730">
        <v>0</v>
      </c>
      <c r="Q730">
        <v>0</v>
      </c>
      <c r="R730">
        <f t="shared" si="308"/>
        <v>0</v>
      </c>
      <c r="S730">
        <f t="shared" si="309"/>
        <v>0</v>
      </c>
      <c r="T730">
        <f t="shared" si="310"/>
        <v>0</v>
      </c>
      <c r="U730">
        <f t="shared" si="311"/>
        <v>0</v>
      </c>
      <c r="V730">
        <f t="shared" si="312"/>
        <v>0</v>
      </c>
      <c r="W730">
        <f t="shared" si="313"/>
        <v>0</v>
      </c>
      <c r="X730">
        <f t="shared" si="314"/>
        <v>0</v>
      </c>
      <c r="Y730">
        <f t="shared" si="315"/>
        <v>0</v>
      </c>
      <c r="Z730">
        <f t="shared" si="316"/>
        <v>0</v>
      </c>
      <c r="AA730">
        <f t="shared" si="317"/>
        <v>0</v>
      </c>
      <c r="AB730">
        <f t="shared" si="318"/>
        <v>0</v>
      </c>
      <c r="AC730">
        <f t="shared" si="319"/>
        <v>1</v>
      </c>
      <c r="AD730">
        <f t="shared" si="320"/>
        <v>0</v>
      </c>
      <c r="AE730">
        <f t="shared" si="321"/>
        <v>0</v>
      </c>
      <c r="AF730">
        <f t="shared" si="322"/>
        <v>0</v>
      </c>
      <c r="AG730">
        <f t="shared" si="323"/>
        <v>0</v>
      </c>
      <c r="AH730">
        <f t="shared" si="324"/>
        <v>0</v>
      </c>
      <c r="AI730">
        <f t="shared" si="325"/>
        <v>0</v>
      </c>
      <c r="AJ730">
        <f t="shared" si="326"/>
        <v>1</v>
      </c>
      <c r="AK730">
        <f t="shared" si="327"/>
        <v>0</v>
      </c>
      <c r="AL730">
        <f t="shared" si="328"/>
        <v>1</v>
      </c>
      <c r="AM730">
        <f t="shared" si="329"/>
        <v>0</v>
      </c>
      <c r="AN730">
        <f t="shared" si="330"/>
        <v>0</v>
      </c>
      <c r="AO730">
        <f t="shared" si="331"/>
        <v>1</v>
      </c>
      <c r="AP730">
        <f t="shared" si="332"/>
        <v>1</v>
      </c>
      <c r="AQ730">
        <f t="shared" si="333"/>
        <v>0</v>
      </c>
      <c r="AR730">
        <f t="shared" si="334"/>
        <v>0</v>
      </c>
      <c r="AS730">
        <f t="shared" si="335"/>
        <v>0</v>
      </c>
    </row>
    <row r="731" spans="2:45" x14ac:dyDescent="0.3">
      <c r="B731">
        <v>730</v>
      </c>
      <c r="C731" s="1">
        <v>41273</v>
      </c>
      <c r="D731">
        <v>1</v>
      </c>
      <c r="E731">
        <v>1</v>
      </c>
      <c r="F731">
        <v>12</v>
      </c>
      <c r="G731">
        <v>0</v>
      </c>
      <c r="H731">
        <v>1</v>
      </c>
      <c r="I731">
        <v>364</v>
      </c>
      <c r="J731">
        <v>1432</v>
      </c>
      <c r="K731" s="8">
        <v>1796</v>
      </c>
      <c r="L731">
        <v>10.489153</v>
      </c>
      <c r="M731">
        <v>11.585000000000001</v>
      </c>
      <c r="N731">
        <v>48.333300000000001</v>
      </c>
      <c r="O731">
        <v>23.500518</v>
      </c>
      <c r="P731">
        <v>0</v>
      </c>
      <c r="Q731">
        <v>0</v>
      </c>
      <c r="R731">
        <f t="shared" si="308"/>
        <v>0</v>
      </c>
      <c r="S731">
        <f t="shared" si="309"/>
        <v>0</v>
      </c>
      <c r="T731">
        <f t="shared" si="310"/>
        <v>0</v>
      </c>
      <c r="U731">
        <f t="shared" si="311"/>
        <v>0</v>
      </c>
      <c r="V731">
        <f t="shared" si="312"/>
        <v>0</v>
      </c>
      <c r="W731">
        <f t="shared" si="313"/>
        <v>0</v>
      </c>
      <c r="X731">
        <f t="shared" si="314"/>
        <v>0</v>
      </c>
      <c r="Y731">
        <f t="shared" si="315"/>
        <v>0</v>
      </c>
      <c r="Z731">
        <f t="shared" si="316"/>
        <v>0</v>
      </c>
      <c r="AA731">
        <f t="shared" si="317"/>
        <v>0</v>
      </c>
      <c r="AB731">
        <f t="shared" si="318"/>
        <v>0</v>
      </c>
      <c r="AC731">
        <f t="shared" si="319"/>
        <v>1</v>
      </c>
      <c r="AD731">
        <f t="shared" si="320"/>
        <v>1</v>
      </c>
      <c r="AE731">
        <f t="shared" si="321"/>
        <v>0</v>
      </c>
      <c r="AF731">
        <f t="shared" si="322"/>
        <v>0</v>
      </c>
      <c r="AG731">
        <f t="shared" si="323"/>
        <v>0</v>
      </c>
      <c r="AH731">
        <f t="shared" si="324"/>
        <v>0</v>
      </c>
      <c r="AI731">
        <f t="shared" si="325"/>
        <v>0</v>
      </c>
      <c r="AJ731">
        <f t="shared" si="326"/>
        <v>0</v>
      </c>
      <c r="AK731">
        <f t="shared" si="327"/>
        <v>1</v>
      </c>
      <c r="AL731">
        <f t="shared" si="328"/>
        <v>0</v>
      </c>
      <c r="AM731">
        <f t="shared" si="329"/>
        <v>0</v>
      </c>
      <c r="AN731">
        <f t="shared" si="330"/>
        <v>0</v>
      </c>
      <c r="AO731">
        <f t="shared" si="331"/>
        <v>1</v>
      </c>
      <c r="AP731">
        <f t="shared" si="332"/>
        <v>1</v>
      </c>
      <c r="AQ731">
        <f t="shared" si="333"/>
        <v>0</v>
      </c>
      <c r="AR731">
        <f t="shared" si="334"/>
        <v>0</v>
      </c>
      <c r="AS731">
        <f t="shared" si="335"/>
        <v>0</v>
      </c>
    </row>
    <row r="732" spans="2:45" x14ac:dyDescent="0.3">
      <c r="B732">
        <v>731</v>
      </c>
      <c r="C732" s="1">
        <v>41274</v>
      </c>
      <c r="D732">
        <v>1</v>
      </c>
      <c r="E732">
        <v>1</v>
      </c>
      <c r="F732">
        <v>12</v>
      </c>
      <c r="G732">
        <v>1</v>
      </c>
      <c r="H732">
        <v>2</v>
      </c>
      <c r="I732">
        <v>439</v>
      </c>
      <c r="J732">
        <v>2290</v>
      </c>
      <c r="K732" s="8">
        <v>2729</v>
      </c>
      <c r="L732">
        <v>8.8491529999999994</v>
      </c>
      <c r="M732">
        <v>11.17435</v>
      </c>
      <c r="N732">
        <v>57.75</v>
      </c>
      <c r="O732">
        <v>10.374682</v>
      </c>
      <c r="P732">
        <v>0</v>
      </c>
      <c r="Q732">
        <v>1</v>
      </c>
      <c r="R732">
        <f t="shared" si="308"/>
        <v>0</v>
      </c>
      <c r="S732">
        <f t="shared" si="309"/>
        <v>0</v>
      </c>
      <c r="T732">
        <f t="shared" si="310"/>
        <v>0</v>
      </c>
      <c r="U732">
        <f t="shared" si="311"/>
        <v>0</v>
      </c>
      <c r="V732">
        <f t="shared" si="312"/>
        <v>0</v>
      </c>
      <c r="W732">
        <f t="shared" si="313"/>
        <v>0</v>
      </c>
      <c r="X732">
        <f t="shared" si="314"/>
        <v>0</v>
      </c>
      <c r="Y732">
        <f t="shared" si="315"/>
        <v>0</v>
      </c>
      <c r="Z732">
        <f t="shared" si="316"/>
        <v>0</v>
      </c>
      <c r="AA732">
        <f t="shared" si="317"/>
        <v>0</v>
      </c>
      <c r="AB732">
        <f t="shared" si="318"/>
        <v>0</v>
      </c>
      <c r="AC732">
        <f t="shared" si="319"/>
        <v>1</v>
      </c>
      <c r="AD732">
        <f t="shared" si="320"/>
        <v>0</v>
      </c>
      <c r="AE732">
        <f t="shared" si="321"/>
        <v>1</v>
      </c>
      <c r="AF732">
        <f t="shared" si="322"/>
        <v>0</v>
      </c>
      <c r="AG732">
        <f t="shared" si="323"/>
        <v>0</v>
      </c>
      <c r="AH732">
        <f t="shared" si="324"/>
        <v>0</v>
      </c>
      <c r="AI732">
        <f t="shared" si="325"/>
        <v>0</v>
      </c>
      <c r="AJ732">
        <f t="shared" si="326"/>
        <v>0</v>
      </c>
      <c r="AK732">
        <f t="shared" si="327"/>
        <v>0</v>
      </c>
      <c r="AL732">
        <f t="shared" si="328"/>
        <v>1</v>
      </c>
      <c r="AM732">
        <f t="shared" si="329"/>
        <v>0</v>
      </c>
      <c r="AN732">
        <f t="shared" si="330"/>
        <v>0</v>
      </c>
      <c r="AO732">
        <f t="shared" si="331"/>
        <v>1</v>
      </c>
      <c r="AP732">
        <f t="shared" si="332"/>
        <v>1</v>
      </c>
      <c r="AQ732">
        <f t="shared" si="333"/>
        <v>0</v>
      </c>
      <c r="AR732">
        <f t="shared" si="334"/>
        <v>0</v>
      </c>
      <c r="AS732">
        <f t="shared" si="335"/>
        <v>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8D35-5767-46C7-9B98-67D69A242822}">
  <dimension ref="A1:AJ36"/>
  <sheetViews>
    <sheetView workbookViewId="0"/>
  </sheetViews>
  <sheetFormatPr defaultRowHeight="14.4" x14ac:dyDescent="0.3"/>
  <cols>
    <col min="1" max="1" width="12" bestFit="1" customWidth="1"/>
    <col min="2" max="35" width="12.6640625" bestFit="1" customWidth="1"/>
    <col min="36" max="36" width="7.21875" bestFit="1" customWidth="1"/>
  </cols>
  <sheetData>
    <row r="1" spans="1:36" x14ac:dyDescent="0.3">
      <c r="A1" s="4"/>
      <c r="B1" s="4" t="s">
        <v>15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5</v>
      </c>
      <c r="H1" s="4" t="s">
        <v>7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61</v>
      </c>
      <c r="T1" s="4" t="s">
        <v>62</v>
      </c>
      <c r="U1" s="4" t="s">
        <v>63</v>
      </c>
      <c r="V1" s="4" t="s">
        <v>64</v>
      </c>
      <c r="W1" s="4" t="s">
        <v>65</v>
      </c>
      <c r="X1" s="4" t="s">
        <v>66</v>
      </c>
      <c r="Y1" s="4" t="s">
        <v>67</v>
      </c>
      <c r="Z1" s="4" t="s">
        <v>68</v>
      </c>
      <c r="AA1" s="4" t="s">
        <v>69</v>
      </c>
      <c r="AB1" s="4" t="s">
        <v>20</v>
      </c>
      <c r="AC1" s="4" t="s">
        <v>21</v>
      </c>
      <c r="AD1" s="4" t="s">
        <v>22</v>
      </c>
      <c r="AE1" s="4">
        <v>2018</v>
      </c>
      <c r="AF1" s="4">
        <v>2019</v>
      </c>
      <c r="AG1" s="4" t="s">
        <v>17</v>
      </c>
      <c r="AH1" s="4" t="s">
        <v>16</v>
      </c>
      <c r="AI1" s="4" t="s">
        <v>18</v>
      </c>
      <c r="AJ1" s="4" t="s">
        <v>19</v>
      </c>
    </row>
    <row r="2" spans="1:36" x14ac:dyDescent="0.3">
      <c r="A2" s="2" t="s">
        <v>15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3">
      <c r="A3" s="2" t="s">
        <v>9</v>
      </c>
      <c r="B3" s="2">
        <v>0.62749400903349195</v>
      </c>
      <c r="C3" s="2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2" t="s">
        <v>10</v>
      </c>
      <c r="B4" s="2">
        <v>0.63106569984918115</v>
      </c>
      <c r="C4" s="2">
        <v>0.99170155322946407</v>
      </c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3">
      <c r="A5" s="2" t="s">
        <v>11</v>
      </c>
      <c r="B5" s="2">
        <v>-0.10065856213715524</v>
      </c>
      <c r="C5" s="2">
        <v>0.12696293902718869</v>
      </c>
      <c r="D5" s="2">
        <v>0.13998805994655977</v>
      </c>
      <c r="E5" s="2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3">
      <c r="A6" s="2" t="s">
        <v>12</v>
      </c>
      <c r="B6" s="2">
        <v>-0.23454499742166957</v>
      </c>
      <c r="C6" s="2">
        <v>-0.15794412041209957</v>
      </c>
      <c r="D6" s="2">
        <v>-0.18364296669082864</v>
      </c>
      <c r="E6" s="2">
        <v>-0.24848909864371396</v>
      </c>
      <c r="F6" s="2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3">
      <c r="A7" s="2" t="s">
        <v>5</v>
      </c>
      <c r="B7" s="2">
        <v>-6.8347715892484201E-2</v>
      </c>
      <c r="C7" s="2">
        <v>-2.8555534981074389E-2</v>
      </c>
      <c r="D7" s="2">
        <v>-3.2506692300223905E-2</v>
      </c>
      <c r="E7" s="2">
        <v>-1.5937478506522582E-2</v>
      </c>
      <c r="F7" s="2">
        <v>6.2915065437887559E-3</v>
      </c>
      <c r="G7" s="2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3">
      <c r="A8" s="2" t="s">
        <v>7</v>
      </c>
      <c r="B8" s="2">
        <v>6.1156063060521126E-2</v>
      </c>
      <c r="C8" s="2">
        <v>5.2659810177104027E-2</v>
      </c>
      <c r="D8" s="2">
        <v>5.2182275059596266E-2</v>
      </c>
      <c r="E8" s="2">
        <v>2.4327045787561764E-2</v>
      </c>
      <c r="F8" s="2">
        <v>-1.8796486567174083E-2</v>
      </c>
      <c r="G8" s="2">
        <v>-0.25302269968463303</v>
      </c>
      <c r="H8" s="2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3">
      <c r="A9" s="2" t="s">
        <v>51</v>
      </c>
      <c r="B9" s="2">
        <v>-0.3660900134167574</v>
      </c>
      <c r="C9" s="2">
        <v>-0.43093179496567358</v>
      </c>
      <c r="D9" s="2">
        <v>-0.4384764822369811</v>
      </c>
      <c r="E9" s="2">
        <v>-8.99726196140367E-2</v>
      </c>
      <c r="F9" s="2">
        <v>6.2173053976715693E-2</v>
      </c>
      <c r="G9" s="2">
        <v>3.5828611566748887E-2</v>
      </c>
      <c r="H9" s="2">
        <v>-2.5428033333117526E-2</v>
      </c>
      <c r="I9" s="2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3">
      <c r="A10" s="2" t="s">
        <v>52</v>
      </c>
      <c r="B10" s="2">
        <v>-0.27776434960183716</v>
      </c>
      <c r="C10" s="2">
        <v>-0.31184547095521498</v>
      </c>
      <c r="D10" s="2">
        <v>-0.31183247658453372</v>
      </c>
      <c r="E10" s="2">
        <v>-0.12346792572787452</v>
      </c>
      <c r="F10" s="2">
        <v>9.461854671206936E-2</v>
      </c>
      <c r="G10" s="2">
        <v>1.1072346701194653E-2</v>
      </c>
      <c r="H10" s="2">
        <v>1.3510895695254904E-4</v>
      </c>
      <c r="I10" s="2">
        <v>-8.852995947794319E-2</v>
      </c>
      <c r="J10" s="2">
        <v>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2" t="s">
        <v>53</v>
      </c>
      <c r="B11" s="2">
        <v>-0.1277049091646609</v>
      </c>
      <c r="C11" s="2">
        <v>-0.17448574019134444</v>
      </c>
      <c r="D11" s="2">
        <v>-0.17273058587430359</v>
      </c>
      <c r="E11" s="2">
        <v>-8.4311588079475086E-2</v>
      </c>
      <c r="F11" s="2">
        <v>0.12662647873274097</v>
      </c>
      <c r="G11" s="2">
        <v>-5.2355614208650633E-2</v>
      </c>
      <c r="H11" s="2">
        <v>2.7378479071736718E-2</v>
      </c>
      <c r="I11" s="2">
        <v>-9.2675635276528515E-2</v>
      </c>
      <c r="J11" s="2">
        <v>-8.8529959477943523E-2</v>
      </c>
      <c r="K11" s="2"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3">
      <c r="A12" s="2" t="s">
        <v>54</v>
      </c>
      <c r="B12" s="2">
        <v>-3.0041958169046458E-3</v>
      </c>
      <c r="C12" s="2">
        <v>-4.1498560851723799E-2</v>
      </c>
      <c r="D12" s="2">
        <v>-3.1717391941310125E-2</v>
      </c>
      <c r="E12" s="2">
        <v>-8.3682285381930746E-2</v>
      </c>
      <c r="F12" s="2">
        <v>0.16987727818210493</v>
      </c>
      <c r="G12" s="2">
        <v>8.2447152794695878E-3</v>
      </c>
      <c r="H12" s="2">
        <v>-1.1145144789600905E-2</v>
      </c>
      <c r="I12" s="2">
        <v>-9.1032642780230558E-2</v>
      </c>
      <c r="J12" s="2">
        <v>-8.6960463259374926E-2</v>
      </c>
      <c r="K12" s="2">
        <v>-9.1032642780230266E-2</v>
      </c>
      <c r="L12" s="2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3">
      <c r="A13" s="2" t="s">
        <v>55</v>
      </c>
      <c r="B13" s="2">
        <v>0.13294692165844305</v>
      </c>
      <c r="C13" s="2">
        <v>0.16544509019315581</v>
      </c>
      <c r="D13" s="2">
        <v>0.17068870050294493</v>
      </c>
      <c r="E13" s="2">
        <v>0.13060755830260579</v>
      </c>
      <c r="F13" s="2">
        <v>-2.947095767350125E-2</v>
      </c>
      <c r="G13" s="2">
        <v>6.4338696416159254E-3</v>
      </c>
      <c r="H13" s="2">
        <v>6.2558741097953723E-3</v>
      </c>
      <c r="I13" s="2">
        <v>-9.2675635276529097E-2</v>
      </c>
      <c r="J13" s="2">
        <v>-8.8529959477943648E-2</v>
      </c>
      <c r="K13" s="2">
        <v>-9.2675635276529694E-2</v>
      </c>
      <c r="L13" s="2">
        <v>-9.1032642780230183E-2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3">
      <c r="A14" s="2" t="s">
        <v>56</v>
      </c>
      <c r="B14" s="2">
        <v>0.19586640671732786</v>
      </c>
      <c r="C14" s="2">
        <v>0.30848921923880102</v>
      </c>
      <c r="D14" s="2">
        <v>0.30094317699670348</v>
      </c>
      <c r="E14" s="2">
        <v>-0.1094347235635532</v>
      </c>
      <c r="F14" s="2">
        <v>-1.9562003149752226E-2</v>
      </c>
      <c r="G14" s="2">
        <v>-5.1427431941245799E-2</v>
      </c>
      <c r="H14" s="2">
        <v>2.1014463794076666E-2</v>
      </c>
      <c r="I14" s="2">
        <v>-9.1032642780230377E-2</v>
      </c>
      <c r="J14" s="2">
        <v>-8.6960463259374399E-2</v>
      </c>
      <c r="K14" s="2">
        <v>-9.10326427802301E-2</v>
      </c>
      <c r="L14" s="2">
        <v>-8.9418777943368014E-2</v>
      </c>
      <c r="M14" s="2">
        <v>-9.1032642780229767E-2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3">
      <c r="A15" s="2" t="s">
        <v>57</v>
      </c>
      <c r="B15" s="2">
        <v>0.16658416141065702</v>
      </c>
      <c r="C15" s="2">
        <v>0.43283692877017454</v>
      </c>
      <c r="D15" s="2">
        <v>0.42946942587591741</v>
      </c>
      <c r="E15" s="2">
        <v>-6.4203591925535375E-2</v>
      </c>
      <c r="F15" s="2">
        <v>-9.6021223960458577E-2</v>
      </c>
      <c r="G15" s="2">
        <v>6.433869641615941E-3</v>
      </c>
      <c r="H15" s="2">
        <v>-1.4866730852146463E-2</v>
      </c>
      <c r="I15" s="2">
        <v>-9.2675635276529444E-2</v>
      </c>
      <c r="J15" s="2">
        <v>-8.8529959477943995E-2</v>
      </c>
      <c r="K15" s="2">
        <v>-9.2675635276530027E-2</v>
      </c>
      <c r="L15" s="2">
        <v>-9.1032642780230294E-2</v>
      </c>
      <c r="M15" s="2">
        <v>-9.2675635276530638E-2</v>
      </c>
      <c r="N15" s="2">
        <v>-9.1032642780229989E-2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3">
      <c r="A16" s="2" t="s">
        <v>58</v>
      </c>
      <c r="B16" s="2">
        <v>0.18242628171621658</v>
      </c>
      <c r="C16" s="2">
        <v>0.35480405991876662</v>
      </c>
      <c r="D16" s="2">
        <v>0.33110481517331819</v>
      </c>
      <c r="E16" s="2">
        <v>2.103784948374128E-2</v>
      </c>
      <c r="F16" s="2">
        <v>-6.9058026049581833E-2</v>
      </c>
      <c r="G16" s="2">
        <v>-5.2355614208650689E-2</v>
      </c>
      <c r="H16" s="2">
        <v>3.7939781552707823E-2</v>
      </c>
      <c r="I16" s="2">
        <v>-9.2675635276529736E-2</v>
      </c>
      <c r="J16" s="2">
        <v>-8.8529959477944203E-2</v>
      </c>
      <c r="K16" s="2">
        <v>-9.2675635276530333E-2</v>
      </c>
      <c r="L16" s="2">
        <v>-9.1032642780230197E-2</v>
      </c>
      <c r="M16" s="2">
        <v>-9.2675635276530915E-2</v>
      </c>
      <c r="N16" s="2">
        <v>-9.1032642780229919E-2</v>
      </c>
      <c r="O16" s="2">
        <v>-9.2675635276531221E-2</v>
      </c>
      <c r="P16" s="2">
        <v>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3">
      <c r="A17" s="2" t="s">
        <v>59</v>
      </c>
      <c r="B17" s="2">
        <v>0.19496277708951137</v>
      </c>
      <c r="C17" s="2">
        <v>0.19796312873322486</v>
      </c>
      <c r="D17" s="2">
        <v>0.19270350362940109</v>
      </c>
      <c r="E17" s="2">
        <v>0.18240393755324597</v>
      </c>
      <c r="F17" s="2">
        <v>-9.4757959669421937E-2</v>
      </c>
      <c r="G17" s="2">
        <v>8.2447152794695618E-3</v>
      </c>
      <c r="H17" s="2">
        <v>-1.1145144789600927E-2</v>
      </c>
      <c r="I17" s="2">
        <v>-9.1032642780229808E-2</v>
      </c>
      <c r="J17" s="2">
        <v>-8.6960463259373469E-2</v>
      </c>
      <c r="K17" s="2">
        <v>-9.1032642780229503E-2</v>
      </c>
      <c r="L17" s="2">
        <v>-8.9418777943368416E-2</v>
      </c>
      <c r="M17" s="2">
        <v>-9.1032642780229198E-2</v>
      </c>
      <c r="N17" s="2">
        <v>-8.9418777943368263E-2</v>
      </c>
      <c r="O17" s="2">
        <v>-9.1032642780229447E-2</v>
      </c>
      <c r="P17" s="2">
        <v>-9.1032642780229642E-2</v>
      </c>
      <c r="Q17" s="2">
        <v>1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3">
      <c r="A18" s="2" t="s">
        <v>60</v>
      </c>
      <c r="B18" s="2">
        <v>0.10927251388833613</v>
      </c>
      <c r="C18" s="2">
        <v>-1.7262169122834778E-2</v>
      </c>
      <c r="D18" s="2">
        <v>-4.450563124216168E-3</v>
      </c>
      <c r="E18" s="2">
        <v>0.14087954709412581</v>
      </c>
      <c r="F18" s="2">
        <v>-6.0066812677872013E-2</v>
      </c>
      <c r="G18" s="2">
        <v>6.4338696416160537E-3</v>
      </c>
      <c r="H18" s="2">
        <v>-4.3054283711755877E-3</v>
      </c>
      <c r="I18" s="2">
        <v>-9.2675635276530346E-2</v>
      </c>
      <c r="J18" s="2">
        <v>-8.8529959477944745E-2</v>
      </c>
      <c r="K18" s="2">
        <v>-9.2675635276530915E-2</v>
      </c>
      <c r="L18" s="2">
        <v>-9.1032642780229947E-2</v>
      </c>
      <c r="M18" s="2">
        <v>-9.267563527653154E-2</v>
      </c>
      <c r="N18" s="2">
        <v>-9.1032642780229669E-2</v>
      </c>
      <c r="O18" s="2">
        <v>-9.2675635276531818E-2</v>
      </c>
      <c r="P18" s="2">
        <v>-9.2675635276531873E-2</v>
      </c>
      <c r="Q18" s="2">
        <v>-9.1032642780229905E-2</v>
      </c>
      <c r="R18" s="2">
        <v>1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3">
      <c r="A19" s="2" t="s">
        <v>61</v>
      </c>
      <c r="B19" s="2">
        <v>-3.9723481804188998E-2</v>
      </c>
      <c r="C19" s="2">
        <v>-0.20624265662138536</v>
      </c>
      <c r="D19" s="2">
        <v>-0.19646804283760713</v>
      </c>
      <c r="E19" s="2">
        <v>-6.3397428498902682E-3</v>
      </c>
      <c r="F19" s="2">
        <v>-2.5811291041927455E-2</v>
      </c>
      <c r="G19" s="2">
        <v>6.7916862500184402E-2</v>
      </c>
      <c r="H19" s="2">
        <v>-1.1145144789600886E-2</v>
      </c>
      <c r="I19" s="2">
        <v>-9.1032642780229295E-2</v>
      </c>
      <c r="J19" s="2">
        <v>-8.69604632593729E-2</v>
      </c>
      <c r="K19" s="2">
        <v>-9.1032642780229003E-2</v>
      </c>
      <c r="L19" s="2">
        <v>-8.9418777943368583E-2</v>
      </c>
      <c r="M19" s="2">
        <v>-9.1032642780228684E-2</v>
      </c>
      <c r="N19" s="2">
        <v>-8.9418777943368458E-2</v>
      </c>
      <c r="O19" s="2">
        <v>-9.1032642780228948E-2</v>
      </c>
      <c r="P19" s="2">
        <v>-9.1032642780229142E-2</v>
      </c>
      <c r="Q19" s="2">
        <v>-8.9418777943368277E-2</v>
      </c>
      <c r="R19" s="2">
        <v>-9.1032642780229503E-2</v>
      </c>
      <c r="S19" s="2"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3">
      <c r="A20" s="2" t="s">
        <v>62</v>
      </c>
      <c r="B20" s="2">
        <v>-0.17306521648848852</v>
      </c>
      <c r="C20" s="2">
        <v>-0.28516862416646094</v>
      </c>
      <c r="D20" s="2">
        <v>-0.27703033418295459</v>
      </c>
      <c r="E20" s="2">
        <v>8.1589729488576582E-2</v>
      </c>
      <c r="F20" s="2">
        <v>-5.4550025621555046E-2</v>
      </c>
      <c r="G20" s="2">
        <v>6.4338696416160997E-3</v>
      </c>
      <c r="H20" s="2">
        <v>-1.4866730852146466E-2</v>
      </c>
      <c r="I20" s="2">
        <v>-9.2675635276530929E-2</v>
      </c>
      <c r="J20" s="2">
        <v>-8.8529959477945244E-2</v>
      </c>
      <c r="K20" s="2">
        <v>-9.2675635276531512E-2</v>
      </c>
      <c r="L20" s="2">
        <v>-9.1032642780229697E-2</v>
      </c>
      <c r="M20" s="2">
        <v>-9.2675635276532123E-2</v>
      </c>
      <c r="N20" s="2">
        <v>-9.103264278022942E-2</v>
      </c>
      <c r="O20" s="2">
        <v>-9.26756352765324E-2</v>
      </c>
      <c r="P20" s="2">
        <v>-9.267563527653247E-2</v>
      </c>
      <c r="Q20" s="2">
        <v>-9.1032642780229628E-2</v>
      </c>
      <c r="R20" s="2">
        <v>-9.2675635276532553E-2</v>
      </c>
      <c r="S20" s="2">
        <v>-9.1032642780229656E-2</v>
      </c>
      <c r="T20" s="2">
        <v>1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3">
      <c r="A21" s="2" t="s">
        <v>63</v>
      </c>
      <c r="B21" s="2">
        <v>-5.8288282988851005E-2</v>
      </c>
      <c r="C21" s="2">
        <v>-2.6323030081387599E-2</v>
      </c>
      <c r="D21" s="2">
        <v>-2.280073990365078E-2</v>
      </c>
      <c r="E21" s="2">
        <v>-6.770367803230861E-4</v>
      </c>
      <c r="F21" s="2">
        <v>-1.0345601742762169E-2</v>
      </c>
      <c r="G21" s="2">
        <v>-7.0434908691126619E-2</v>
      </c>
      <c r="H21" s="2">
        <v>-0.6025408491351989</v>
      </c>
      <c r="I21" s="2">
        <v>1.5321428796374707E-2</v>
      </c>
      <c r="J21" s="2">
        <v>-2.7262857584773627E-3</v>
      </c>
      <c r="K21" s="2">
        <v>-1.2678482328999858E-2</v>
      </c>
      <c r="L21" s="2">
        <v>5.4235731476698209E-3</v>
      </c>
      <c r="M21" s="2">
        <v>1.321473233687235E-3</v>
      </c>
      <c r="N21" s="2">
        <v>-8.7865772858307812E-3</v>
      </c>
      <c r="O21" s="2">
        <v>1.532142879637453E-2</v>
      </c>
      <c r="P21" s="2">
        <v>-1.2678482328999891E-2</v>
      </c>
      <c r="Q21" s="2">
        <v>5.4235731476698001E-3</v>
      </c>
      <c r="R21" s="2">
        <v>1.3214732336872441E-3</v>
      </c>
      <c r="S21" s="2">
        <v>-8.7865772858307222E-3</v>
      </c>
      <c r="T21" s="2">
        <v>1.3214732336872467E-3</v>
      </c>
      <c r="U21" s="2">
        <v>1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3">
      <c r="A22" s="2" t="s">
        <v>64</v>
      </c>
      <c r="B22" s="2">
        <v>-3.5166093594263703E-2</v>
      </c>
      <c r="C22" s="2">
        <v>-4.3331997578879419E-3</v>
      </c>
      <c r="D22" s="2">
        <v>5.2492394776956905E-4</v>
      </c>
      <c r="E22" s="2">
        <v>2.7860711581537308E-2</v>
      </c>
      <c r="F22" s="2">
        <v>1.0810707531390361E-3</v>
      </c>
      <c r="G22" s="2">
        <v>0.27982303860964763</v>
      </c>
      <c r="H22" s="2">
        <v>0.15252891209536576</v>
      </c>
      <c r="I22" s="2">
        <v>1.5321428796374709E-2</v>
      </c>
      <c r="J22" s="2">
        <v>-2.7262857584773588E-3</v>
      </c>
      <c r="K22" s="2">
        <v>-1.2678482328999865E-2</v>
      </c>
      <c r="L22" s="2">
        <v>5.4235731476698209E-3</v>
      </c>
      <c r="M22" s="2">
        <v>1.3214732336872381E-3</v>
      </c>
      <c r="N22" s="2">
        <v>-8.7865772858307812E-3</v>
      </c>
      <c r="O22" s="2">
        <v>1.3214732336872404E-3</v>
      </c>
      <c r="P22" s="2">
        <v>1.3214732336872396E-3</v>
      </c>
      <c r="Q22" s="2">
        <v>-8.78657728583075E-3</v>
      </c>
      <c r="R22" s="2">
        <v>1.5321428796374442E-2</v>
      </c>
      <c r="S22" s="2">
        <v>-8.7865772858307222E-3</v>
      </c>
      <c r="T22" s="2">
        <v>1.3214732336872465E-3</v>
      </c>
      <c r="U22" s="2">
        <v>-0.16773162939297059</v>
      </c>
      <c r="V22" s="2">
        <v>1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3">
      <c r="A23" s="2" t="s">
        <v>65</v>
      </c>
      <c r="B23" s="2">
        <v>1.328466626191404E-3</v>
      </c>
      <c r="C23" s="2">
        <v>1.9808930875846769E-2</v>
      </c>
      <c r="D23" s="2">
        <v>2.2465163419693436E-2</v>
      </c>
      <c r="E23" s="2">
        <v>3.9874737925876334E-2</v>
      </c>
      <c r="F23" s="2">
        <v>7.0421039757385395E-3</v>
      </c>
      <c r="G23" s="2">
        <v>-4.6598973769988637E-2</v>
      </c>
      <c r="H23" s="2">
        <v>0.26840091652229292</v>
      </c>
      <c r="I23" s="2">
        <v>2.5189059481878231E-3</v>
      </c>
      <c r="J23" s="2">
        <v>-1.5983510505220132E-3</v>
      </c>
      <c r="K23" s="2">
        <v>2.5189059481876427E-3</v>
      </c>
      <c r="L23" s="2">
        <v>-7.6506571743190123E-3</v>
      </c>
      <c r="M23" s="2">
        <v>1.6574785704869009E-2</v>
      </c>
      <c r="N23" s="2">
        <v>-7.6506571743189967E-3</v>
      </c>
      <c r="O23" s="2">
        <v>2.5189059481878209E-3</v>
      </c>
      <c r="P23" s="2">
        <v>2.5189059481876335E-3</v>
      </c>
      <c r="Q23" s="2">
        <v>-7.6506571743189767E-3</v>
      </c>
      <c r="R23" s="2">
        <v>2.5189059481878114E-3</v>
      </c>
      <c r="S23" s="2">
        <v>6.6162570971790126E-3</v>
      </c>
      <c r="T23" s="2">
        <v>-1.1536973808493715E-2</v>
      </c>
      <c r="U23" s="2">
        <v>-0.16679782458196621</v>
      </c>
      <c r="V23" s="2">
        <v>-0.16679782458196621</v>
      </c>
      <c r="W23" s="2">
        <v>1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3">
      <c r="A24" s="2" t="s">
        <v>66</v>
      </c>
      <c r="B24" s="2">
        <v>9.296584893283848E-3</v>
      </c>
      <c r="C24" s="2">
        <v>2.0574007558863485E-2</v>
      </c>
      <c r="D24" s="2">
        <v>1.814767541634062E-2</v>
      </c>
      <c r="E24" s="2">
        <v>5.0000363973955297E-2</v>
      </c>
      <c r="F24" s="2">
        <v>-1.4460525246370036E-2</v>
      </c>
      <c r="G24" s="2">
        <v>-4.6598973769989414E-2</v>
      </c>
      <c r="H24" s="2">
        <v>0.26840091652229292</v>
      </c>
      <c r="I24" s="2">
        <v>-1.1536973808493809E-2</v>
      </c>
      <c r="J24" s="2">
        <v>1.3006581673623006E-2</v>
      </c>
      <c r="K24" s="2">
        <v>2.5189059481876366E-3</v>
      </c>
      <c r="L24" s="2">
        <v>-7.6506571743190236E-3</v>
      </c>
      <c r="M24" s="2">
        <v>2.5189059481878153E-3</v>
      </c>
      <c r="N24" s="2">
        <v>6.6162570971790742E-3</v>
      </c>
      <c r="O24" s="2">
        <v>-1.1536973808493757E-2</v>
      </c>
      <c r="P24" s="2">
        <v>1.6574785704869081E-2</v>
      </c>
      <c r="Q24" s="2">
        <v>-7.6506571743190045E-3</v>
      </c>
      <c r="R24" s="2">
        <v>2.5189059481878179E-3</v>
      </c>
      <c r="S24" s="2">
        <v>6.6162570971790126E-3</v>
      </c>
      <c r="T24" s="2">
        <v>-1.1536973808493714E-2</v>
      </c>
      <c r="U24" s="2">
        <v>-0.16679782458196621</v>
      </c>
      <c r="V24" s="2">
        <v>-0.16679782458196621</v>
      </c>
      <c r="W24" s="2">
        <v>-0.16586921850079459</v>
      </c>
      <c r="X24" s="2">
        <v>1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3">
      <c r="A25" s="2" t="s">
        <v>67</v>
      </c>
      <c r="B25" s="2">
        <v>3.4273065280130771E-2</v>
      </c>
      <c r="C25" s="2">
        <v>1.9941488792384932E-2</v>
      </c>
      <c r="D25" s="2">
        <v>2.0873221526609576E-2</v>
      </c>
      <c r="E25" s="2">
        <v>-5.2635898315676631E-2</v>
      </c>
      <c r="F25" s="2">
        <v>5.8734368734228862E-3</v>
      </c>
      <c r="G25" s="2">
        <v>-2.3155167971048059E-2</v>
      </c>
      <c r="H25" s="2">
        <v>0.25997773917382794</v>
      </c>
      <c r="I25" s="2">
        <v>-1.1536973808493802E-2</v>
      </c>
      <c r="J25" s="2">
        <v>-1.5983510505220124E-3</v>
      </c>
      <c r="K25" s="2">
        <v>1.6574785704868956E-2</v>
      </c>
      <c r="L25" s="2">
        <v>-7.6506571743190513E-3</v>
      </c>
      <c r="M25" s="2">
        <v>2.5189059481878239E-3</v>
      </c>
      <c r="N25" s="2">
        <v>6.6162570971790742E-3</v>
      </c>
      <c r="O25" s="2">
        <v>-1.1536973808493754E-2</v>
      </c>
      <c r="P25" s="2">
        <v>2.5189059481878135E-3</v>
      </c>
      <c r="Q25" s="2">
        <v>6.6162570971790369E-3</v>
      </c>
      <c r="R25" s="2">
        <v>-1.1536973808493733E-2</v>
      </c>
      <c r="S25" s="2">
        <v>6.6162570971790109E-3</v>
      </c>
      <c r="T25" s="2">
        <v>2.518905948187637E-3</v>
      </c>
      <c r="U25" s="2">
        <v>-0.16679782458196621</v>
      </c>
      <c r="V25" s="2">
        <v>-0.16679782458196621</v>
      </c>
      <c r="W25" s="2">
        <v>-0.16586921850079459</v>
      </c>
      <c r="X25" s="2">
        <v>-0.16586921850079456</v>
      </c>
      <c r="Y25" s="2">
        <v>1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3">
      <c r="A26" s="2" t="s">
        <v>68</v>
      </c>
      <c r="B26" s="2">
        <v>3.911785919982777E-2</v>
      </c>
      <c r="C26" s="2">
        <v>4.5564632473860356E-4</v>
      </c>
      <c r="D26" s="2">
        <v>-8.1084123666910861E-3</v>
      </c>
      <c r="E26" s="2">
        <v>-4.0455635924138755E-2</v>
      </c>
      <c r="F26" s="2">
        <v>-2.1547916440246295E-2</v>
      </c>
      <c r="G26" s="2">
        <v>-2.3155167971047646E-2</v>
      </c>
      <c r="H26" s="2">
        <v>0.25997773917382816</v>
      </c>
      <c r="I26" s="2">
        <v>-1.1536973808493804E-2</v>
      </c>
      <c r="J26" s="2">
        <v>-1.5983510505220156E-3</v>
      </c>
      <c r="K26" s="2">
        <v>2.5189059481878166E-3</v>
      </c>
      <c r="L26" s="2">
        <v>6.6162570971790725E-3</v>
      </c>
      <c r="M26" s="2">
        <v>-1.1536973808493776E-2</v>
      </c>
      <c r="N26" s="2">
        <v>6.6162570971790178E-3</v>
      </c>
      <c r="O26" s="2">
        <v>2.5189059481876396E-3</v>
      </c>
      <c r="P26" s="2">
        <v>2.5189059481878183E-3</v>
      </c>
      <c r="Q26" s="2">
        <v>6.6162570971790282E-3</v>
      </c>
      <c r="R26" s="2">
        <v>-1.1536973808493733E-2</v>
      </c>
      <c r="S26" s="2">
        <v>6.6162570971789797E-3</v>
      </c>
      <c r="T26" s="2">
        <v>2.5189059481876279E-3</v>
      </c>
      <c r="U26" s="2">
        <v>-0.16679782458196624</v>
      </c>
      <c r="V26" s="2">
        <v>-0.16679782458196626</v>
      </c>
      <c r="W26" s="2">
        <v>-0.16586921850079461</v>
      </c>
      <c r="X26" s="2">
        <v>-0.16586921850079461</v>
      </c>
      <c r="Y26" s="2">
        <v>-0.16586921850079461</v>
      </c>
      <c r="Z26" s="2">
        <v>1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3">
      <c r="A27" s="2" t="s">
        <v>69</v>
      </c>
      <c r="B27" s="2">
        <v>9.7726753371474729E-3</v>
      </c>
      <c r="C27" s="2">
        <v>-2.9882017751953437E-2</v>
      </c>
      <c r="D27" s="2">
        <v>-3.0889458144366205E-2</v>
      </c>
      <c r="E27" s="2">
        <v>-2.3980039695502803E-2</v>
      </c>
      <c r="F27" s="2">
        <v>3.2265551995386062E-2</v>
      </c>
      <c r="G27" s="2">
        <v>-7.043490869112666E-2</v>
      </c>
      <c r="H27" s="2">
        <v>-0.6025408491351989</v>
      </c>
      <c r="I27" s="2">
        <v>1.3214732336872305E-3</v>
      </c>
      <c r="J27" s="2">
        <v>-2.7262857584773662E-3</v>
      </c>
      <c r="K27" s="2">
        <v>1.3214732336872339E-3</v>
      </c>
      <c r="L27" s="2">
        <v>5.4235731476697828E-3</v>
      </c>
      <c r="M27" s="2">
        <v>-1.2678482328999876E-2</v>
      </c>
      <c r="N27" s="2">
        <v>5.4235731476698114E-3</v>
      </c>
      <c r="O27" s="2">
        <v>1.3214732336872378E-3</v>
      </c>
      <c r="P27" s="2">
        <v>-1.2678482328999888E-2</v>
      </c>
      <c r="Q27" s="2">
        <v>5.4235731476697984E-3</v>
      </c>
      <c r="R27" s="2">
        <v>1.3214732336872411E-3</v>
      </c>
      <c r="S27" s="2">
        <v>-8.7865772858307257E-3</v>
      </c>
      <c r="T27" s="2">
        <v>1.5321428796374388E-2</v>
      </c>
      <c r="U27" s="2">
        <v>-0.16773162939297059</v>
      </c>
      <c r="V27" s="2">
        <v>-0.16773162939297059</v>
      </c>
      <c r="W27" s="2">
        <v>-0.16679782458196621</v>
      </c>
      <c r="X27" s="2">
        <v>-0.16679782458196621</v>
      </c>
      <c r="Y27" s="2">
        <v>-0.16679782458196621</v>
      </c>
      <c r="Z27" s="2">
        <v>-0.16679782458196624</v>
      </c>
      <c r="AA27" s="2">
        <v>1</v>
      </c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3">
      <c r="A28" s="2" t="s">
        <v>20</v>
      </c>
      <c r="B28" s="2">
        <v>0.25286955560239738</v>
      </c>
      <c r="C28" s="2">
        <v>0.11609143498172507</v>
      </c>
      <c r="D28" s="2">
        <v>0.11495098881137708</v>
      </c>
      <c r="E28" s="2">
        <v>-0.57531725794562216</v>
      </c>
      <c r="F28" s="2">
        <v>-3.964434752787971E-3</v>
      </c>
      <c r="G28" s="2">
        <v>2.8875192061421636E-2</v>
      </c>
      <c r="H28" s="2">
        <v>-5.9165475222803819E-2</v>
      </c>
      <c r="I28" s="2">
        <v>-2.3124885436464755E-2</v>
      </c>
      <c r="J28" s="2">
        <v>9.501202421242921E-3</v>
      </c>
      <c r="K28" s="2">
        <v>-3.3314331641440868E-2</v>
      </c>
      <c r="L28" s="2">
        <v>-1.0370726876733027E-2</v>
      </c>
      <c r="M28" s="2">
        <v>-2.3124885436464571E-2</v>
      </c>
      <c r="N28" s="2">
        <v>8.271114504963957E-2</v>
      </c>
      <c r="O28" s="2">
        <v>0.11952736143320257</v>
      </c>
      <c r="P28" s="2">
        <v>3.8011791793392403E-2</v>
      </c>
      <c r="Q28" s="2">
        <v>-5.1740447732899257E-2</v>
      </c>
      <c r="R28" s="2">
        <v>-7.4072116461345552E-2</v>
      </c>
      <c r="S28" s="2">
        <v>4.1341424193473496E-2</v>
      </c>
      <c r="T28" s="2">
        <v>-7.407211646134565E-2</v>
      </c>
      <c r="U28" s="2">
        <v>6.0668267328310467E-2</v>
      </c>
      <c r="V28" s="2">
        <v>-4.0858898784717637E-3</v>
      </c>
      <c r="W28" s="2">
        <v>-3.1461404242259641E-2</v>
      </c>
      <c r="X28" s="2">
        <v>-1.5208198234420578E-2</v>
      </c>
      <c r="Y28" s="2">
        <v>9.1716107773373943E-3</v>
      </c>
      <c r="Z28" s="2">
        <v>-2.3334801238340204E-2</v>
      </c>
      <c r="AA28" s="2">
        <v>4.0083797723760037E-3</v>
      </c>
      <c r="AB28" s="2">
        <v>1</v>
      </c>
      <c r="AC28" s="2"/>
      <c r="AD28" s="2"/>
      <c r="AE28" s="2"/>
      <c r="AF28" s="2"/>
      <c r="AG28" s="2"/>
      <c r="AH28" s="2"/>
      <c r="AI28" s="2"/>
      <c r="AJ28" s="2"/>
    </row>
    <row r="29" spans="1:36" x14ac:dyDescent="0.3">
      <c r="A29" s="2" t="s">
        <v>21</v>
      </c>
      <c r="B29" s="2">
        <v>-0.172879340478716</v>
      </c>
      <c r="C29" s="2">
        <v>-9.7706064469223711E-2</v>
      </c>
      <c r="D29" s="2">
        <v>-9.4252813178682573E-2</v>
      </c>
      <c r="E29" s="2">
        <v>0.49183354359057335</v>
      </c>
      <c r="F29" s="2">
        <v>-3.7408336803876681E-2</v>
      </c>
      <c r="G29" s="2">
        <v>-1.8972411554259834E-2</v>
      </c>
      <c r="H29" s="2">
        <v>5.009932634867121E-2</v>
      </c>
      <c r="I29" s="2">
        <v>3.166830375673782E-2</v>
      </c>
      <c r="J29" s="2">
        <v>-2.8035936483191562E-3</v>
      </c>
      <c r="K29" s="2">
        <v>3.1668303756737674E-2</v>
      </c>
      <c r="L29" s="2">
        <v>7.6539651127753208E-3</v>
      </c>
      <c r="M29" s="2">
        <v>4.2049258934394054E-2</v>
      </c>
      <c r="N29" s="2">
        <v>-6.6103736360052373E-2</v>
      </c>
      <c r="O29" s="2">
        <v>-0.11366506873046202</v>
      </c>
      <c r="P29" s="2">
        <v>-2.0236472131547195E-2</v>
      </c>
      <c r="Q29" s="2">
        <v>3.9264408601129917E-2</v>
      </c>
      <c r="R29" s="2">
        <v>4.2049258934394547E-2</v>
      </c>
      <c r="S29" s="2">
        <v>-5.5566921863933673E-2</v>
      </c>
      <c r="T29" s="2">
        <v>6.2811169289708771E-2</v>
      </c>
      <c r="U29" s="2">
        <v>-4.5180345408909861E-2</v>
      </c>
      <c r="V29" s="2">
        <v>1.2544455454358746E-2</v>
      </c>
      <c r="W29" s="2">
        <v>2.367144057294851E-2</v>
      </c>
      <c r="X29" s="2">
        <v>-1.7725265309408759E-2</v>
      </c>
      <c r="Y29" s="2">
        <v>-9.4459241329372511E-3</v>
      </c>
      <c r="Z29" s="2">
        <v>4.850946410236328E-2</v>
      </c>
      <c r="AA29" s="2">
        <v>-1.2194744915613391E-2</v>
      </c>
      <c r="AB29" s="2">
        <v>-0.93896389756874454</v>
      </c>
      <c r="AC29" s="2">
        <v>1</v>
      </c>
      <c r="AD29" s="2"/>
      <c r="AE29" s="2"/>
      <c r="AF29" s="2"/>
      <c r="AG29" s="2"/>
      <c r="AH29" s="2"/>
      <c r="AI29" s="2"/>
      <c r="AJ29" s="2"/>
    </row>
    <row r="30" spans="1:36" x14ac:dyDescent="0.3">
      <c r="A30" s="2" t="s">
        <v>22</v>
      </c>
      <c r="B30" s="2">
        <v>-0.23995811263314179</v>
      </c>
      <c r="C30" s="2">
        <v>-5.8238396361958024E-2</v>
      </c>
      <c r="D30" s="2">
        <v>-6.4726647867927839E-2</v>
      </c>
      <c r="E30" s="2">
        <v>0.2670108240080396</v>
      </c>
      <c r="F30" s="2">
        <v>0.11736224177042269</v>
      </c>
      <c r="G30" s="2">
        <v>-2.9577464788732452E-2</v>
      </c>
      <c r="H30" s="2">
        <v>2.8820490364077998E-2</v>
      </c>
      <c r="I30" s="2">
        <v>-2.2960872283517238E-2</v>
      </c>
      <c r="J30" s="2">
        <v>-1.9470617217949925E-2</v>
      </c>
      <c r="K30" s="2">
        <v>6.4338696416157953E-3</v>
      </c>
      <c r="L30" s="2">
        <v>8.2447152794695583E-3</v>
      </c>
      <c r="M30" s="2">
        <v>-5.2355614208650439E-2</v>
      </c>
      <c r="N30" s="2">
        <v>-5.1427431941245584E-2</v>
      </c>
      <c r="O30" s="2">
        <v>-2.2960872283517387E-2</v>
      </c>
      <c r="P30" s="2">
        <v>-5.2355614208650467E-2</v>
      </c>
      <c r="Q30" s="2">
        <v>3.8080788889826196E-2</v>
      </c>
      <c r="R30" s="2">
        <v>9.4618095417015352E-2</v>
      </c>
      <c r="S30" s="2">
        <v>3.808078888982603E-2</v>
      </c>
      <c r="T30" s="2">
        <v>3.5828611566748964E-2</v>
      </c>
      <c r="U30" s="2">
        <v>-4.708437887107457E-2</v>
      </c>
      <c r="V30" s="2">
        <v>-2.3733849051022701E-2</v>
      </c>
      <c r="W30" s="2">
        <v>2.3732443626834982E-2</v>
      </c>
      <c r="X30" s="2">
        <v>9.4063861023661058E-2</v>
      </c>
      <c r="Y30" s="2">
        <v>2.8863782789362833E-4</v>
      </c>
      <c r="Z30" s="2">
        <v>-7.0042779568929278E-2</v>
      </c>
      <c r="AA30" s="2">
        <v>2.2967210589079551E-2</v>
      </c>
      <c r="AB30" s="2">
        <v>-0.22604951079967847</v>
      </c>
      <c r="AC30" s="2">
        <v>-0.12285879991504167</v>
      </c>
      <c r="AD30" s="2">
        <v>1</v>
      </c>
      <c r="AE30" s="2"/>
      <c r="AF30" s="2"/>
      <c r="AG30" s="2"/>
      <c r="AH30" s="2"/>
      <c r="AI30" s="2"/>
      <c r="AJ30" s="2"/>
    </row>
    <row r="31" spans="1:36" x14ac:dyDescent="0.3">
      <c r="A31" s="2">
        <v>2018</v>
      </c>
      <c r="B31" s="2">
        <v>-0.56670970786808339</v>
      </c>
      <c r="C31" s="2">
        <v>-4.7603571916022727E-2</v>
      </c>
      <c r="D31" s="2">
        <v>-4.6106148538421723E-2</v>
      </c>
      <c r="E31" s="2">
        <v>0.11065104471777884</v>
      </c>
      <c r="F31" s="2">
        <v>1.1817059907781341E-2</v>
      </c>
      <c r="G31" s="2">
        <v>-7.954310803060102E-3</v>
      </c>
      <c r="H31" s="2">
        <v>2.0126211935208487E-3</v>
      </c>
      <c r="I31" s="2">
        <v>4.1645282769995051E-4</v>
      </c>
      <c r="J31" s="2">
        <v>-4.7040892163133438E-3</v>
      </c>
      <c r="K31" s="2">
        <v>4.164528277001603E-4</v>
      </c>
      <c r="L31" s="2">
        <v>4.0906977746317931E-4</v>
      </c>
      <c r="M31" s="2">
        <v>4.1645282770030038E-4</v>
      </c>
      <c r="N31" s="2">
        <v>4.0906977746320517E-4</v>
      </c>
      <c r="O31" s="2">
        <v>4.1645282770026595E-4</v>
      </c>
      <c r="P31" s="2">
        <v>4.1645282770029241E-4</v>
      </c>
      <c r="Q31" s="2">
        <v>4.0906977746318202E-4</v>
      </c>
      <c r="R31" s="2">
        <v>4.1645282770018822E-4</v>
      </c>
      <c r="S31" s="2">
        <v>4.0906977746289574E-4</v>
      </c>
      <c r="T31" s="2">
        <v>4.16452827699989E-4</v>
      </c>
      <c r="U31" s="2">
        <v>-3.3402236485866989E-3</v>
      </c>
      <c r="V31" s="2">
        <v>-3.3402236485867032E-3</v>
      </c>
      <c r="W31" s="2">
        <v>5.5714203820149931E-4</v>
      </c>
      <c r="X31" s="2">
        <v>5.5714203820149931E-4</v>
      </c>
      <c r="Y31" s="2">
        <v>5.5714203820149931E-4</v>
      </c>
      <c r="Z31" s="2">
        <v>5.5714203820149942E-4</v>
      </c>
      <c r="AA31" s="2">
        <v>4.4607459588155186E-3</v>
      </c>
      <c r="AB31" s="2">
        <v>-2.9429286830417505E-2</v>
      </c>
      <c r="AC31" s="2">
        <v>3.8694632537169585E-3</v>
      </c>
      <c r="AD31" s="2">
        <v>7.3941480704502752E-2</v>
      </c>
      <c r="AE31" s="2">
        <v>1</v>
      </c>
      <c r="AF31" s="2"/>
      <c r="AG31" s="2"/>
      <c r="AH31" s="2"/>
      <c r="AI31" s="2"/>
      <c r="AJ31" s="2"/>
    </row>
    <row r="32" spans="1:36" x14ac:dyDescent="0.3">
      <c r="A32" s="2">
        <v>2019</v>
      </c>
      <c r="B32" s="2">
        <v>0.56670970786808339</v>
      </c>
      <c r="C32" s="2">
        <v>4.7603571916022727E-2</v>
      </c>
      <c r="D32" s="2">
        <v>4.6106148538421723E-2</v>
      </c>
      <c r="E32" s="2">
        <v>-0.11065104471777884</v>
      </c>
      <c r="F32" s="2">
        <v>-1.1817059907781341E-2</v>
      </c>
      <c r="G32" s="2">
        <v>7.954310803060102E-3</v>
      </c>
      <c r="H32" s="2">
        <v>-2.0126211935208487E-3</v>
      </c>
      <c r="I32" s="2">
        <v>-4.1645282769995051E-4</v>
      </c>
      <c r="J32" s="2">
        <v>4.7040892163133438E-3</v>
      </c>
      <c r="K32" s="2">
        <v>-4.164528277001603E-4</v>
      </c>
      <c r="L32" s="2">
        <v>-4.0906977746317931E-4</v>
      </c>
      <c r="M32" s="2">
        <v>-4.1645282770030038E-4</v>
      </c>
      <c r="N32" s="2">
        <v>-4.0906977746320517E-4</v>
      </c>
      <c r="O32" s="2">
        <v>-4.1645282770026595E-4</v>
      </c>
      <c r="P32" s="2">
        <v>-4.1645282770029241E-4</v>
      </c>
      <c r="Q32" s="2">
        <v>-4.0906977746318202E-4</v>
      </c>
      <c r="R32" s="2">
        <v>-4.1645282770018822E-4</v>
      </c>
      <c r="S32" s="2">
        <v>-4.0906977746289574E-4</v>
      </c>
      <c r="T32" s="2">
        <v>-4.16452827699989E-4</v>
      </c>
      <c r="U32" s="2">
        <v>3.3402236485866989E-3</v>
      </c>
      <c r="V32" s="2">
        <v>3.3402236485867032E-3</v>
      </c>
      <c r="W32" s="2">
        <v>-5.5714203820149931E-4</v>
      </c>
      <c r="X32" s="2">
        <v>-5.5714203820149931E-4</v>
      </c>
      <c r="Y32" s="2">
        <v>-5.5714203820149931E-4</v>
      </c>
      <c r="Z32" s="2">
        <v>-5.5714203820149942E-4</v>
      </c>
      <c r="AA32" s="2">
        <v>-4.4607459588155186E-3</v>
      </c>
      <c r="AB32" s="2">
        <v>2.9429286830417505E-2</v>
      </c>
      <c r="AC32" s="2">
        <v>-3.8694632537169585E-3</v>
      </c>
      <c r="AD32" s="2">
        <v>-7.3941480704502752E-2</v>
      </c>
      <c r="AE32" s="2">
        <v>-1</v>
      </c>
      <c r="AF32" s="2">
        <v>1</v>
      </c>
      <c r="AG32" s="2"/>
      <c r="AH32" s="2"/>
      <c r="AI32" s="2"/>
      <c r="AJ32" s="2"/>
    </row>
    <row r="33" spans="1:36" x14ac:dyDescent="0.3">
      <c r="A33" s="2" t="s">
        <v>17</v>
      </c>
      <c r="B33" s="2">
        <v>-0.56309438794016364</v>
      </c>
      <c r="C33" s="2">
        <v>-0.61980044464413142</v>
      </c>
      <c r="D33" s="2">
        <v>-0.62506140667689991</v>
      </c>
      <c r="E33" s="2">
        <v>-0.18133581678962357</v>
      </c>
      <c r="F33" s="2">
        <v>0.17815420387832948</v>
      </c>
      <c r="G33" s="2">
        <v>3.4158314700635718E-2</v>
      </c>
      <c r="H33" s="2">
        <v>-2.5925860006999004E-2</v>
      </c>
      <c r="I33" s="2">
        <v>0.5306703745456286</v>
      </c>
      <c r="J33" s="2">
        <v>0.50693180159476792</v>
      </c>
      <c r="K33" s="2">
        <v>0.28039937855024449</v>
      </c>
      <c r="L33" s="2">
        <v>-0.17154272623221908</v>
      </c>
      <c r="M33" s="2">
        <v>-0.17463879598683513</v>
      </c>
      <c r="N33" s="2">
        <v>-0.17154272623221883</v>
      </c>
      <c r="O33" s="2">
        <v>-0.17463879598683615</v>
      </c>
      <c r="P33" s="2">
        <v>-0.17463879598683665</v>
      </c>
      <c r="Q33" s="2">
        <v>-0.17154272623221842</v>
      </c>
      <c r="R33" s="2">
        <v>-0.17463879598683732</v>
      </c>
      <c r="S33" s="2">
        <v>-0.17154272623221806</v>
      </c>
      <c r="T33" s="2">
        <v>7.5632200008557166E-2</v>
      </c>
      <c r="U33" s="2">
        <v>9.0491676179847227E-3</v>
      </c>
      <c r="V33" s="2">
        <v>1.2362250844243448E-5</v>
      </c>
      <c r="W33" s="2">
        <v>-6.8139865533990186E-3</v>
      </c>
      <c r="X33" s="2">
        <v>-6.81398655339901E-3</v>
      </c>
      <c r="Y33" s="2">
        <v>-6.8139865533990152E-3</v>
      </c>
      <c r="Z33" s="2">
        <v>2.2589172180667466E-3</v>
      </c>
      <c r="AA33" s="2">
        <v>9.0491676179846724E-3</v>
      </c>
      <c r="AB33" s="2">
        <v>-2.3951324041349351E-2</v>
      </c>
      <c r="AC33" s="2">
        <v>3.2440592154197284E-2</v>
      </c>
      <c r="AD33" s="2">
        <v>-2.2763557745028404E-2</v>
      </c>
      <c r="AE33" s="2">
        <v>-2.3846524212879331E-3</v>
      </c>
      <c r="AF33" s="2">
        <v>2.3846524212879331E-3</v>
      </c>
      <c r="AG33" s="2">
        <v>1</v>
      </c>
      <c r="AH33" s="2"/>
      <c r="AI33" s="2"/>
      <c r="AJ33" s="2"/>
    </row>
    <row r="34" spans="1:36" x14ac:dyDescent="0.3">
      <c r="A34" s="2" t="s">
        <v>16</v>
      </c>
      <c r="B34" s="2">
        <v>0.14619748140894143</v>
      </c>
      <c r="C34" s="2">
        <v>0.15542360826464616</v>
      </c>
      <c r="D34" s="2">
        <v>0.16366107843003488</v>
      </c>
      <c r="E34" s="2">
        <v>-3.8537328306428244E-3</v>
      </c>
      <c r="F34" s="2">
        <v>9.7513415328124423E-2</v>
      </c>
      <c r="G34" s="2">
        <v>-2.4265344261987554E-2</v>
      </c>
      <c r="H34" s="2">
        <v>1.4542949349865266E-2</v>
      </c>
      <c r="I34" s="2">
        <v>-0.17656232303031585</v>
      </c>
      <c r="J34" s="2">
        <v>-0.16866412899749314</v>
      </c>
      <c r="K34" s="2">
        <v>7.2339787679145215E-2</v>
      </c>
      <c r="L34" s="2">
        <v>0.51558362632440502</v>
      </c>
      <c r="M34" s="2">
        <v>0.52488907987815525</v>
      </c>
      <c r="N34" s="2">
        <v>0.28591170015551748</v>
      </c>
      <c r="O34" s="2">
        <v>-0.1765623230303156</v>
      </c>
      <c r="P34" s="2">
        <v>-0.17656232303031524</v>
      </c>
      <c r="Q34" s="2">
        <v>-0.17343215218224969</v>
      </c>
      <c r="R34" s="2">
        <v>-0.17656232303031452</v>
      </c>
      <c r="S34" s="2">
        <v>-0.17343215218224919</v>
      </c>
      <c r="T34" s="2">
        <v>-0.17656232303031424</v>
      </c>
      <c r="U34" s="2">
        <v>-3.8605151157377563E-3</v>
      </c>
      <c r="V34" s="2">
        <v>5.1268624307725715E-3</v>
      </c>
      <c r="W34" s="2">
        <v>-1.6046870121112088E-3</v>
      </c>
      <c r="X34" s="2">
        <v>7.4185914944530085E-3</v>
      </c>
      <c r="Y34" s="2">
        <v>-1.6046870121112467E-3</v>
      </c>
      <c r="Z34" s="2">
        <v>-1.604687012111253E-3</v>
      </c>
      <c r="AA34" s="2">
        <v>-3.8605151157377455E-3</v>
      </c>
      <c r="AB34" s="2">
        <v>-2.3167095196440758E-2</v>
      </c>
      <c r="AC34" s="2">
        <v>3.8836122918071835E-2</v>
      </c>
      <c r="AD34" s="2">
        <v>-4.31355215550853E-2</v>
      </c>
      <c r="AE34" s="2">
        <v>7.9341111039573471E-4</v>
      </c>
      <c r="AF34" s="2">
        <v>-7.9341111039573471E-4</v>
      </c>
      <c r="AG34" s="2">
        <v>-0.33271562065527593</v>
      </c>
      <c r="AH34" s="2">
        <v>1</v>
      </c>
      <c r="AI34" s="2"/>
      <c r="AJ34" s="2"/>
    </row>
    <row r="35" spans="1:36" x14ac:dyDescent="0.3">
      <c r="A35" s="2" t="s">
        <v>18</v>
      </c>
      <c r="B35" s="2">
        <v>0.34648680662117493</v>
      </c>
      <c r="C35" s="2">
        <v>0.67847092488219229</v>
      </c>
      <c r="D35" s="2">
        <v>0.65595641059593035</v>
      </c>
      <c r="E35" s="2">
        <v>2.310115038052565E-2</v>
      </c>
      <c r="F35" s="2">
        <v>-0.13973215281754428</v>
      </c>
      <c r="G35" s="2">
        <v>-2.624715859871192E-2</v>
      </c>
      <c r="H35" s="2">
        <v>1.6217709783141621E-2</v>
      </c>
      <c r="I35" s="2">
        <v>-0.1791273065609422</v>
      </c>
      <c r="J35" s="2">
        <v>-0.17111437266024601</v>
      </c>
      <c r="K35" s="2">
        <v>-0.17912730656094264</v>
      </c>
      <c r="L35" s="2">
        <v>-0.17595166261003625</v>
      </c>
      <c r="M35" s="2">
        <v>-0.17912730656094314</v>
      </c>
      <c r="N35" s="2">
        <v>5.2099162510418899E-2</v>
      </c>
      <c r="O35" s="2">
        <v>0.5173730184180475</v>
      </c>
      <c r="P35" s="2">
        <v>0.51737301841804784</v>
      </c>
      <c r="Q35" s="2">
        <v>0.32576015265495956</v>
      </c>
      <c r="R35" s="2">
        <v>-0.17912730656094386</v>
      </c>
      <c r="S35" s="2">
        <v>-0.1759516626100342</v>
      </c>
      <c r="T35" s="2">
        <v>-0.17912730656094428</v>
      </c>
      <c r="U35" s="2">
        <v>-8.9605652020734606E-3</v>
      </c>
      <c r="V35" s="2">
        <v>-8.9605652020734658E-3</v>
      </c>
      <c r="W35" s="2">
        <v>2.2674746943519351E-3</v>
      </c>
      <c r="X35" s="2">
        <v>2.2674746943519282E-3</v>
      </c>
      <c r="Y35" s="2">
        <v>1.1227063892034185E-2</v>
      </c>
      <c r="Z35" s="2">
        <v>2.2674746943519221E-3</v>
      </c>
      <c r="AA35" s="2">
        <v>-3.6623563496274657E-5</v>
      </c>
      <c r="AB35" s="2">
        <v>0.10992669714954402</v>
      </c>
      <c r="AC35" s="2">
        <v>-0.10272338693094214</v>
      </c>
      <c r="AD35" s="2">
        <v>-2.6247158598711857E-2</v>
      </c>
      <c r="AE35" s="2">
        <v>8.0493727518758673E-4</v>
      </c>
      <c r="AF35" s="2">
        <v>-8.0493727518758673E-4</v>
      </c>
      <c r="AG35" s="2">
        <v>-0.3375490985610704</v>
      </c>
      <c r="AH35" s="2">
        <v>-0.34126697130472983</v>
      </c>
      <c r="AI35" s="2">
        <v>1</v>
      </c>
      <c r="AJ35" s="2"/>
    </row>
    <row r="36" spans="1:36" ht="15" thickBot="1" x14ac:dyDescent="0.35">
      <c r="A36" s="3" t="s">
        <v>19</v>
      </c>
      <c r="B36" s="3">
        <v>6.5592635107084893E-2</v>
      </c>
      <c r="C36" s="3">
        <v>-0.2247932608289866</v>
      </c>
      <c r="D36" s="3">
        <v>-0.2049040126252718</v>
      </c>
      <c r="E36" s="3">
        <v>0.16273214739974187</v>
      </c>
      <c r="F36" s="3">
        <v>-0.13546598361793913</v>
      </c>
      <c r="G36" s="3">
        <v>1.6914673430578158E-2</v>
      </c>
      <c r="H36" s="3">
        <v>-5.1488327582966172E-3</v>
      </c>
      <c r="I36" s="3">
        <v>-0.17271506539426604</v>
      </c>
      <c r="J36" s="3">
        <v>-0.16498897142663471</v>
      </c>
      <c r="K36" s="3">
        <v>-0.17271506539426623</v>
      </c>
      <c r="L36" s="3">
        <v>-0.16965310034169889</v>
      </c>
      <c r="M36" s="3">
        <v>-0.1727150653942664</v>
      </c>
      <c r="N36" s="3">
        <v>-0.16965310034169859</v>
      </c>
      <c r="O36" s="3">
        <v>-0.17271506539426654</v>
      </c>
      <c r="P36" s="3">
        <v>-0.17271506539426665</v>
      </c>
      <c r="Q36" s="3">
        <v>1.6139283702918505E-2</v>
      </c>
      <c r="R36" s="3">
        <v>0.53658107394960486</v>
      </c>
      <c r="S36" s="3">
        <v>0.52706833982561374</v>
      </c>
      <c r="T36" s="3">
        <v>0.28489534708565045</v>
      </c>
      <c r="U36" s="3">
        <v>3.928553751673264E-3</v>
      </c>
      <c r="V36" s="3">
        <v>3.9285537516732675E-3</v>
      </c>
      <c r="W36" s="3">
        <v>6.166005986644644E-3</v>
      </c>
      <c r="X36" s="3">
        <v>-2.9581850583700136E-3</v>
      </c>
      <c r="Y36" s="3">
        <v>-2.9581850583700136E-3</v>
      </c>
      <c r="Z36" s="3">
        <v>-2.9581850583700014E-3</v>
      </c>
      <c r="AA36" s="3">
        <v>-5.1593348321026383E-3</v>
      </c>
      <c r="AB36" s="3">
        <v>-6.4433322522215578E-2</v>
      </c>
      <c r="AC36" s="3">
        <v>3.2716156355908396E-2</v>
      </c>
      <c r="AD36" s="3">
        <v>9.3239526996950761E-2</v>
      </c>
      <c r="AE36" s="3">
        <v>7.7612284129678025E-4</v>
      </c>
      <c r="AF36" s="3">
        <v>-7.7612284129678025E-4</v>
      </c>
      <c r="AG36" s="3">
        <v>-0.325465813956824</v>
      </c>
      <c r="AH36" s="3">
        <v>-0.32905059757455224</v>
      </c>
      <c r="AI36" s="3">
        <v>-0.33383083238930483</v>
      </c>
      <c r="AJ36" s="3">
        <v>1</v>
      </c>
    </row>
  </sheetData>
  <conditionalFormatting sqref="C2:AJ36">
    <cfRule type="cellIs" dxfId="2" priority="1" operator="greaterThanOrEqual">
      <formula>0.28</formula>
    </cfRule>
    <cfRule type="cellIs" dxfId="1" priority="2" operator="lessThanOrEqual">
      <formula>-0.28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F7AC-FE2D-4D0C-9DA1-510C33D23E64}">
  <dimension ref="B1:AA738"/>
  <sheetViews>
    <sheetView showGridLines="0" workbookViewId="0"/>
  </sheetViews>
  <sheetFormatPr defaultRowHeight="14.4" x14ac:dyDescent="0.3"/>
  <cols>
    <col min="1" max="1" width="1.88671875" customWidth="1"/>
    <col min="2" max="2" width="6.77734375" bestFit="1" customWidth="1"/>
    <col min="3" max="3" width="6.88671875" bestFit="1" customWidth="1"/>
    <col min="4" max="4" width="6.77734375" bestFit="1" customWidth="1"/>
    <col min="5" max="5" width="2.6640625" bestFit="1" customWidth="1"/>
    <col min="6" max="6" width="5.5546875" bestFit="1" customWidth="1"/>
    <col min="7" max="7" width="8.5546875" bestFit="1" customWidth="1"/>
    <col min="8" max="8" width="9.77734375" bestFit="1" customWidth="1"/>
    <col min="9" max="9" width="6.21875" bestFit="1" customWidth="1"/>
    <col min="10" max="10" width="13.44140625" bestFit="1" customWidth="1"/>
    <col min="11" max="11" width="12.109375" style="8" bestFit="1" customWidth="1"/>
    <col min="12" max="12" width="9.109375" bestFit="1" customWidth="1"/>
    <col min="13" max="13" width="8.5546875" bestFit="1" customWidth="1"/>
    <col min="14" max="14" width="10.21875" bestFit="1" customWidth="1"/>
    <col min="15" max="15" width="9.88671875" style="8" bestFit="1" customWidth="1"/>
    <col min="16" max="16" width="12.6640625" bestFit="1" customWidth="1"/>
    <col min="17" max="17" width="11.109375" bestFit="1" customWidth="1"/>
    <col min="18" max="18" width="16.44140625" bestFit="1" customWidth="1"/>
    <col min="19" max="19" width="8" bestFit="1" customWidth="1"/>
    <col min="20" max="20" width="10.88671875" bestFit="1" customWidth="1"/>
    <col min="21" max="21" width="8.77734375" bestFit="1" customWidth="1"/>
    <col min="22" max="22" width="6.109375" bestFit="1" customWidth="1"/>
    <col min="23" max="23" width="8.5546875" bestFit="1" customWidth="1"/>
    <col min="24" max="24" width="12" bestFit="1" customWidth="1"/>
    <col min="25" max="25" width="8.109375" bestFit="1" customWidth="1"/>
    <col min="26" max="26" width="3.77734375" bestFit="1" customWidth="1"/>
    <col min="27" max="27" width="6.6640625" bestFit="1" customWidth="1"/>
  </cols>
  <sheetData>
    <row r="1" spans="2:27" x14ac:dyDescent="0.3">
      <c r="K1" s="5"/>
      <c r="O1" s="5"/>
    </row>
    <row r="2" spans="2:27" x14ac:dyDescent="0.3">
      <c r="J2" s="9" t="s">
        <v>70</v>
      </c>
      <c r="K2" s="6">
        <f>AVERAGE(K8:K738)</f>
        <v>4504.3488372093025</v>
      </c>
      <c r="L2" s="6">
        <f t="shared" ref="L2:N2" si="0">AVERAGE(L8:L738)</f>
        <v>23.717699432284533</v>
      </c>
      <c r="M2" s="6">
        <f t="shared" si="0"/>
        <v>62.789406292749653</v>
      </c>
      <c r="N2" s="6">
        <f t="shared" si="0"/>
        <v>12.762576179069764</v>
      </c>
      <c r="O2" s="6"/>
      <c r="P2" s="6"/>
      <c r="Q2" s="6"/>
      <c r="R2" s="6"/>
    </row>
    <row r="3" spans="2:27" x14ac:dyDescent="0.3">
      <c r="J3" s="9" t="s">
        <v>71</v>
      </c>
      <c r="K3" s="6">
        <f>_xlfn.STDEV.P(K8:K738)</f>
        <v>1935.8859561152221</v>
      </c>
      <c r="L3" s="6">
        <f t="shared" ref="L3:N3" si="1">_xlfn.STDEV.P(L8:L738)</f>
        <v>8.1424837842671653</v>
      </c>
      <c r="M3" s="6">
        <f t="shared" si="1"/>
        <v>14.233164107621603</v>
      </c>
      <c r="N3" s="6">
        <f t="shared" si="1"/>
        <v>5.188804576216798</v>
      </c>
      <c r="O3" s="6"/>
      <c r="P3" s="6"/>
      <c r="Q3" s="6"/>
      <c r="R3" s="6"/>
    </row>
    <row r="4" spans="2:27" x14ac:dyDescent="0.3">
      <c r="K4" s="5"/>
      <c r="O4" s="5"/>
    </row>
    <row r="5" spans="2:27" x14ac:dyDescent="0.3">
      <c r="K5" s="5"/>
      <c r="O5" s="5"/>
    </row>
    <row r="6" spans="2:27" x14ac:dyDescent="0.3">
      <c r="K6" s="5"/>
      <c r="O6" s="5"/>
    </row>
    <row r="7" spans="2:27" s="9" customFormat="1" x14ac:dyDescent="0.3">
      <c r="B7" s="11" t="s">
        <v>0</v>
      </c>
      <c r="C7" s="11" t="s">
        <v>1</v>
      </c>
      <c r="D7" s="11" t="s">
        <v>2</v>
      </c>
      <c r="E7" s="11" t="s">
        <v>3</v>
      </c>
      <c r="F7" s="11" t="s">
        <v>4</v>
      </c>
      <c r="G7" s="11" t="s">
        <v>6</v>
      </c>
      <c r="H7" s="11" t="s">
        <v>8</v>
      </c>
      <c r="I7" s="11" t="s">
        <v>13</v>
      </c>
      <c r="J7" s="11" t="s">
        <v>14</v>
      </c>
      <c r="K7" s="10" t="s">
        <v>15</v>
      </c>
      <c r="L7" s="11" t="s">
        <v>10</v>
      </c>
      <c r="M7" s="11" t="s">
        <v>11</v>
      </c>
      <c r="N7" s="11" t="s">
        <v>12</v>
      </c>
      <c r="O7" s="10" t="s">
        <v>50</v>
      </c>
      <c r="P7" s="11" t="s">
        <v>23</v>
      </c>
      <c r="Q7" s="11" t="s">
        <v>24</v>
      </c>
      <c r="R7" s="11" t="s">
        <v>25</v>
      </c>
      <c r="S7" s="11" t="s">
        <v>64</v>
      </c>
      <c r="T7" s="11" t="s">
        <v>65</v>
      </c>
      <c r="U7" s="11" t="s">
        <v>66</v>
      </c>
      <c r="V7" s="11" t="s">
        <v>67</v>
      </c>
      <c r="W7" s="11" t="s">
        <v>68</v>
      </c>
      <c r="X7" s="11" t="s">
        <v>22</v>
      </c>
      <c r="Y7" s="11" t="s">
        <v>16</v>
      </c>
      <c r="Z7" s="11" t="s">
        <v>18</v>
      </c>
      <c r="AA7" s="11" t="s">
        <v>19</v>
      </c>
    </row>
    <row r="8" spans="2:27" x14ac:dyDescent="0.3">
      <c r="B8">
        <v>1</v>
      </c>
      <c r="C8" s="1">
        <v>40544</v>
      </c>
      <c r="D8">
        <v>1</v>
      </c>
      <c r="E8">
        <v>0</v>
      </c>
      <c r="F8">
        <v>1</v>
      </c>
      <c r="G8">
        <v>6</v>
      </c>
      <c r="H8">
        <v>2</v>
      </c>
      <c r="I8">
        <v>331</v>
      </c>
      <c r="J8">
        <v>654</v>
      </c>
      <c r="K8" s="8">
        <v>985</v>
      </c>
      <c r="L8" s="12">
        <v>18.181249999999999</v>
      </c>
      <c r="M8" s="12">
        <v>80.583299999999994</v>
      </c>
      <c r="N8" s="12">
        <v>10.749881999999999</v>
      </c>
      <c r="O8" s="13">
        <f>(K8-K$2)/K$3</f>
        <v>-1.81795256383369</v>
      </c>
      <c r="P8" s="6">
        <f>(L8-L$2)/L$3</f>
        <v>-0.67994601880350225</v>
      </c>
      <c r="Q8" s="6">
        <f>(M8-M$2)/M$3</f>
        <v>1.2501713303313935</v>
      </c>
      <c r="R8" s="6">
        <f t="shared" ref="P8:R8" si="2">(N8-N$2)/N$3</f>
        <v>-0.3878916905630001</v>
      </c>
      <c r="S8">
        <f>IF($G8=1,1,0)</f>
        <v>0</v>
      </c>
      <c r="T8">
        <f>IF($G8=2,1,0)</f>
        <v>0</v>
      </c>
      <c r="U8">
        <f>IF($G8=3,1,0)</f>
        <v>0</v>
      </c>
      <c r="V8">
        <f>IF($G8=4,1,0)</f>
        <v>0</v>
      </c>
      <c r="W8">
        <f>IF($G8=5,1,0)</f>
        <v>0</v>
      </c>
      <c r="X8">
        <f>IF($H8=3,1,0)</f>
        <v>0</v>
      </c>
      <c r="Y8">
        <f>IF($D8=2,1,0)</f>
        <v>0</v>
      </c>
      <c r="Z8">
        <f>IF($D8=3,1,0)</f>
        <v>0</v>
      </c>
      <c r="AA8">
        <f>IF($D8=4,1,0)</f>
        <v>0</v>
      </c>
    </row>
    <row r="9" spans="2:27" x14ac:dyDescent="0.3">
      <c r="B9">
        <v>2</v>
      </c>
      <c r="C9" s="1">
        <v>40545</v>
      </c>
      <c r="D9">
        <v>1</v>
      </c>
      <c r="E9">
        <v>0</v>
      </c>
      <c r="F9">
        <v>1</v>
      </c>
      <c r="G9">
        <v>0</v>
      </c>
      <c r="H9">
        <v>2</v>
      </c>
      <c r="I9">
        <v>131</v>
      </c>
      <c r="J9">
        <v>670</v>
      </c>
      <c r="K9" s="8">
        <v>801</v>
      </c>
      <c r="L9" s="12">
        <v>17.68695</v>
      </c>
      <c r="M9" s="12">
        <v>69.608699999999999</v>
      </c>
      <c r="N9" s="12">
        <v>16.652113</v>
      </c>
      <c r="O9" s="13">
        <f t="shared" ref="O9:O72" si="3">(K9-K$2)/K$3</f>
        <v>-1.9129994850734289</v>
      </c>
      <c r="P9" s="6">
        <f t="shared" ref="P9:P72" si="4">(L9-L$2)/L$3</f>
        <v>-0.74065231102296991</v>
      </c>
      <c r="Q9" s="6">
        <f t="shared" ref="Q9:Q72" si="5">(M9-M$2)/M$3</f>
        <v>0.479112982586826</v>
      </c>
      <c r="R9" s="6">
        <f t="shared" ref="R9:R72" si="6">(N9-N$2)/N$3</f>
        <v>0.74960171727379454</v>
      </c>
      <c r="S9">
        <f t="shared" ref="S9:S72" si="7">IF($G9=1,1,0)</f>
        <v>0</v>
      </c>
      <c r="T9">
        <f t="shared" ref="T9:T72" si="8">IF($G9=2,1,0)</f>
        <v>0</v>
      </c>
      <c r="U9">
        <f t="shared" ref="U9:U72" si="9">IF($G9=3,1,0)</f>
        <v>0</v>
      </c>
      <c r="V9">
        <f t="shared" ref="V9:V72" si="10">IF($G9=4,1,0)</f>
        <v>0</v>
      </c>
      <c r="W9">
        <f t="shared" ref="W9:W72" si="11">IF($G9=5,1,0)</f>
        <v>0</v>
      </c>
      <c r="X9">
        <f t="shared" ref="X9:X72" si="12">IF($H9=3,1,0)</f>
        <v>0</v>
      </c>
      <c r="Y9">
        <f t="shared" ref="Y9:Y72" si="13">IF($D9=2,1,0)</f>
        <v>0</v>
      </c>
      <c r="Z9">
        <f t="shared" ref="Z9:Z72" si="14">IF($D9=3,1,0)</f>
        <v>0</v>
      </c>
      <c r="AA9">
        <f t="shared" ref="AA9:AA72" si="15">IF($D9=4,1,0)</f>
        <v>0</v>
      </c>
    </row>
    <row r="10" spans="2:27" x14ac:dyDescent="0.3">
      <c r="B10">
        <v>3</v>
      </c>
      <c r="C10" s="1">
        <v>40546</v>
      </c>
      <c r="D10">
        <v>1</v>
      </c>
      <c r="E10">
        <v>0</v>
      </c>
      <c r="F10">
        <v>1</v>
      </c>
      <c r="G10">
        <v>1</v>
      </c>
      <c r="H10">
        <v>1</v>
      </c>
      <c r="I10">
        <v>120</v>
      </c>
      <c r="J10">
        <v>1229</v>
      </c>
      <c r="K10" s="8">
        <v>1349</v>
      </c>
      <c r="L10" s="12">
        <v>9.4702500000000001</v>
      </c>
      <c r="M10" s="12">
        <v>43.7273</v>
      </c>
      <c r="N10" s="12">
        <v>16.636703000000001</v>
      </c>
      <c r="O10" s="13">
        <f t="shared" si="3"/>
        <v>-1.6299249587724676</v>
      </c>
      <c r="P10" s="6">
        <f t="shared" si="4"/>
        <v>-1.7497670010486639</v>
      </c>
      <c r="Q10" s="6">
        <f t="shared" si="5"/>
        <v>-1.3392739765111146</v>
      </c>
      <c r="R10" s="6">
        <f t="shared" si="6"/>
        <v>0.74663186173700447</v>
      </c>
      <c r="S10">
        <f t="shared" si="7"/>
        <v>1</v>
      </c>
      <c r="T10">
        <f t="shared" si="8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</row>
    <row r="11" spans="2:27" x14ac:dyDescent="0.3">
      <c r="B11">
        <v>4</v>
      </c>
      <c r="C11" s="1">
        <v>40547</v>
      </c>
      <c r="D11">
        <v>1</v>
      </c>
      <c r="E11">
        <v>0</v>
      </c>
      <c r="F11">
        <v>1</v>
      </c>
      <c r="G11">
        <v>2</v>
      </c>
      <c r="H11">
        <v>1</v>
      </c>
      <c r="I11">
        <v>108</v>
      </c>
      <c r="J11">
        <v>1454</v>
      </c>
      <c r="K11" s="8">
        <v>1562</v>
      </c>
      <c r="L11" s="12">
        <v>10.6061</v>
      </c>
      <c r="M11" s="12">
        <v>59.043500000000002</v>
      </c>
      <c r="N11" s="12">
        <v>10.739832</v>
      </c>
      <c r="O11" s="13">
        <f t="shared" si="3"/>
        <v>-1.5198978162503787</v>
      </c>
      <c r="P11" s="6">
        <f t="shared" si="4"/>
        <v>-1.6102702540984668</v>
      </c>
      <c r="Q11" s="6">
        <f t="shared" si="5"/>
        <v>-0.2631815571313329</v>
      </c>
      <c r="R11" s="6">
        <f t="shared" si="6"/>
        <v>-0.38982855286960233</v>
      </c>
      <c r="S11">
        <f t="shared" si="7"/>
        <v>0</v>
      </c>
      <c r="T11">
        <f t="shared" si="8"/>
        <v>1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</row>
    <row r="12" spans="2:27" x14ac:dyDescent="0.3">
      <c r="B12">
        <v>5</v>
      </c>
      <c r="C12" s="1">
        <v>40548</v>
      </c>
      <c r="D12">
        <v>1</v>
      </c>
      <c r="E12">
        <v>0</v>
      </c>
      <c r="F12">
        <v>1</v>
      </c>
      <c r="G12">
        <v>3</v>
      </c>
      <c r="H12">
        <v>1</v>
      </c>
      <c r="I12">
        <v>82</v>
      </c>
      <c r="J12">
        <v>1518</v>
      </c>
      <c r="K12" s="8">
        <v>1600</v>
      </c>
      <c r="L12" s="12">
        <v>11.4635</v>
      </c>
      <c r="M12" s="12">
        <v>43.695700000000002</v>
      </c>
      <c r="N12" s="12">
        <v>12.5223</v>
      </c>
      <c r="O12" s="13">
        <f t="shared" si="3"/>
        <v>-1.5002685607769544</v>
      </c>
      <c r="P12" s="6">
        <f t="shared" si="4"/>
        <v>-1.5049706891602275</v>
      </c>
      <c r="Q12" s="6">
        <f t="shared" si="5"/>
        <v>-1.3414941434227767</v>
      </c>
      <c r="R12" s="6">
        <f t="shared" si="6"/>
        <v>-4.6306654170612908E-2</v>
      </c>
      <c r="S12">
        <f t="shared" si="7"/>
        <v>0</v>
      </c>
      <c r="T12">
        <f t="shared" si="8"/>
        <v>0</v>
      </c>
      <c r="U12">
        <f t="shared" si="9"/>
        <v>1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</row>
    <row r="13" spans="2:27" x14ac:dyDescent="0.3">
      <c r="B13">
        <v>6</v>
      </c>
      <c r="C13" s="1">
        <v>40549</v>
      </c>
      <c r="D13">
        <v>1</v>
      </c>
      <c r="E13">
        <v>0</v>
      </c>
      <c r="F13">
        <v>1</v>
      </c>
      <c r="G13">
        <v>4</v>
      </c>
      <c r="H13">
        <v>1</v>
      </c>
      <c r="I13">
        <v>88</v>
      </c>
      <c r="J13">
        <v>1518</v>
      </c>
      <c r="K13" s="8">
        <v>1606</v>
      </c>
      <c r="L13" s="12">
        <v>11.660450000000001</v>
      </c>
      <c r="M13" s="12">
        <v>51.826099999999997</v>
      </c>
      <c r="N13" s="12">
        <v>6.0008683999999999</v>
      </c>
      <c r="O13" s="13">
        <f t="shared" si="3"/>
        <v>-1.4971692046495715</v>
      </c>
      <c r="P13" s="6">
        <f t="shared" si="4"/>
        <v>-1.4807827380118881</v>
      </c>
      <c r="Q13" s="6">
        <f t="shared" si="5"/>
        <v>-0.77026486941712446</v>
      </c>
      <c r="R13" s="6">
        <f t="shared" si="6"/>
        <v>-1.3031340224417902</v>
      </c>
      <c r="S13">
        <f t="shared" si="7"/>
        <v>0</v>
      </c>
      <c r="T13">
        <f t="shared" si="8"/>
        <v>0</v>
      </c>
      <c r="U13">
        <f t="shared" si="9"/>
        <v>0</v>
      </c>
      <c r="V13">
        <f t="shared" si="10"/>
        <v>1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</row>
    <row r="14" spans="2:27" x14ac:dyDescent="0.3">
      <c r="B14">
        <v>7</v>
      </c>
      <c r="C14" s="1">
        <v>40550</v>
      </c>
      <c r="D14">
        <v>1</v>
      </c>
      <c r="E14">
        <v>0</v>
      </c>
      <c r="F14">
        <v>1</v>
      </c>
      <c r="G14">
        <v>5</v>
      </c>
      <c r="H14">
        <v>2</v>
      </c>
      <c r="I14">
        <v>148</v>
      </c>
      <c r="J14">
        <v>1362</v>
      </c>
      <c r="K14" s="8">
        <v>1510</v>
      </c>
      <c r="L14" s="12">
        <v>10.44195</v>
      </c>
      <c r="M14" s="12">
        <v>49.869599999999998</v>
      </c>
      <c r="N14" s="12">
        <v>11.304641999999999</v>
      </c>
      <c r="O14" s="13">
        <f t="shared" si="3"/>
        <v>-1.5467589026876962</v>
      </c>
      <c r="P14" s="6">
        <f t="shared" si="4"/>
        <v>-1.630429950371632</v>
      </c>
      <c r="Q14" s="6">
        <f t="shared" si="5"/>
        <v>-0.90772552013443952</v>
      </c>
      <c r="R14" s="6">
        <f t="shared" si="6"/>
        <v>-0.28097689123855141</v>
      </c>
      <c r="S14">
        <f t="shared" si="7"/>
        <v>0</v>
      </c>
      <c r="T14">
        <f t="shared" si="8"/>
        <v>0</v>
      </c>
      <c r="U14">
        <f t="shared" si="9"/>
        <v>0</v>
      </c>
      <c r="V14">
        <f t="shared" si="10"/>
        <v>0</v>
      </c>
      <c r="W14">
        <f t="shared" si="11"/>
        <v>1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</row>
    <row r="15" spans="2:27" x14ac:dyDescent="0.3">
      <c r="B15">
        <v>8</v>
      </c>
      <c r="C15" s="1">
        <v>40551</v>
      </c>
      <c r="D15">
        <v>1</v>
      </c>
      <c r="E15">
        <v>0</v>
      </c>
      <c r="F15">
        <v>1</v>
      </c>
      <c r="G15">
        <v>6</v>
      </c>
      <c r="H15">
        <v>2</v>
      </c>
      <c r="I15">
        <v>68</v>
      </c>
      <c r="J15">
        <v>891</v>
      </c>
      <c r="K15" s="8">
        <v>959</v>
      </c>
      <c r="L15" s="12">
        <v>8.1127000000000002</v>
      </c>
      <c r="M15" s="12">
        <v>53.583300000000001</v>
      </c>
      <c r="N15" s="12">
        <v>17.875868000000001</v>
      </c>
      <c r="O15" s="13">
        <f t="shared" si="3"/>
        <v>-1.8313831070523487</v>
      </c>
      <c r="P15" s="6">
        <f t="shared" si="4"/>
        <v>-1.9164913122008758</v>
      </c>
      <c r="Q15" s="6">
        <f t="shared" si="5"/>
        <v>-0.64680672710152676</v>
      </c>
      <c r="R15" s="6">
        <f t="shared" si="6"/>
        <v>0.9854469841410719</v>
      </c>
      <c r="S15">
        <f t="shared" si="7"/>
        <v>0</v>
      </c>
      <c r="T15">
        <f t="shared" si="8"/>
        <v>0</v>
      </c>
      <c r="U15">
        <f t="shared" si="9"/>
        <v>0</v>
      </c>
      <c r="V15">
        <f t="shared" si="10"/>
        <v>0</v>
      </c>
      <c r="W15">
        <f t="shared" si="11"/>
        <v>0</v>
      </c>
      <c r="X15">
        <f t="shared" si="12"/>
        <v>0</v>
      </c>
      <c r="Y15">
        <f t="shared" si="13"/>
        <v>0</v>
      </c>
      <c r="Z15">
        <f t="shared" si="14"/>
        <v>0</v>
      </c>
      <c r="AA15">
        <f t="shared" si="15"/>
        <v>0</v>
      </c>
    </row>
    <row r="16" spans="2:27" x14ac:dyDescent="0.3">
      <c r="B16">
        <v>9</v>
      </c>
      <c r="C16" s="1">
        <v>40552</v>
      </c>
      <c r="D16">
        <v>1</v>
      </c>
      <c r="E16">
        <v>0</v>
      </c>
      <c r="F16">
        <v>1</v>
      </c>
      <c r="G16">
        <v>0</v>
      </c>
      <c r="H16">
        <v>1</v>
      </c>
      <c r="I16">
        <v>54</v>
      </c>
      <c r="J16">
        <v>768</v>
      </c>
      <c r="K16" s="8">
        <v>822</v>
      </c>
      <c r="L16" s="12">
        <v>5.8087499999999999</v>
      </c>
      <c r="M16" s="12">
        <v>43.416699999999999</v>
      </c>
      <c r="N16" s="12">
        <v>24.25065</v>
      </c>
      <c r="O16" s="13">
        <f t="shared" si="3"/>
        <v>-1.902151738627589</v>
      </c>
      <c r="P16" s="6">
        <f t="shared" si="4"/>
        <v>-2.199445514019696</v>
      </c>
      <c r="Q16" s="6">
        <f t="shared" si="5"/>
        <v>-1.3610962500162505</v>
      </c>
      <c r="R16" s="6">
        <f t="shared" si="6"/>
        <v>2.2140116576343081</v>
      </c>
      <c r="S16">
        <f t="shared" si="7"/>
        <v>0</v>
      </c>
      <c r="T16">
        <f t="shared" si="8"/>
        <v>0</v>
      </c>
      <c r="U16">
        <f t="shared" si="9"/>
        <v>0</v>
      </c>
      <c r="V16">
        <f t="shared" si="10"/>
        <v>0</v>
      </c>
      <c r="W16">
        <f t="shared" si="11"/>
        <v>0</v>
      </c>
      <c r="X16">
        <f t="shared" si="12"/>
        <v>0</v>
      </c>
      <c r="Y16">
        <f t="shared" si="13"/>
        <v>0</v>
      </c>
      <c r="Z16">
        <f t="shared" si="14"/>
        <v>0</v>
      </c>
      <c r="AA16">
        <f t="shared" si="15"/>
        <v>0</v>
      </c>
    </row>
    <row r="17" spans="2:27" x14ac:dyDescent="0.3">
      <c r="B17">
        <v>10</v>
      </c>
      <c r="C17" s="1">
        <v>40553</v>
      </c>
      <c r="D17">
        <v>1</v>
      </c>
      <c r="E17">
        <v>0</v>
      </c>
      <c r="F17">
        <v>1</v>
      </c>
      <c r="G17">
        <v>1</v>
      </c>
      <c r="H17">
        <v>1</v>
      </c>
      <c r="I17">
        <v>41</v>
      </c>
      <c r="J17">
        <v>1280</v>
      </c>
      <c r="K17" s="8">
        <v>1321</v>
      </c>
      <c r="L17" s="12">
        <v>7.5444000000000004</v>
      </c>
      <c r="M17" s="12">
        <v>48.291699999999999</v>
      </c>
      <c r="N17" s="12">
        <v>14.958888999999999</v>
      </c>
      <c r="O17" s="13">
        <f t="shared" si="3"/>
        <v>-1.644388620700254</v>
      </c>
      <c r="P17" s="6">
        <f t="shared" si="4"/>
        <v>-1.986285740419212</v>
      </c>
      <c r="Q17" s="6">
        <f t="shared" si="5"/>
        <v>-1.0185863229797509</v>
      </c>
      <c r="R17" s="6">
        <f t="shared" si="6"/>
        <v>0.42327915585743359</v>
      </c>
      <c r="S17">
        <f t="shared" si="7"/>
        <v>1</v>
      </c>
      <c r="T17">
        <f t="shared" si="8"/>
        <v>0</v>
      </c>
      <c r="U17">
        <f t="shared" si="9"/>
        <v>0</v>
      </c>
      <c r="V17">
        <f t="shared" si="10"/>
        <v>0</v>
      </c>
      <c r="W17">
        <f t="shared" si="11"/>
        <v>0</v>
      </c>
      <c r="X17">
        <f t="shared" si="12"/>
        <v>0</v>
      </c>
      <c r="Y17">
        <f t="shared" si="13"/>
        <v>0</v>
      </c>
      <c r="Z17">
        <f t="shared" si="14"/>
        <v>0</v>
      </c>
      <c r="AA17">
        <f t="shared" si="15"/>
        <v>0</v>
      </c>
    </row>
    <row r="18" spans="2:27" x14ac:dyDescent="0.3">
      <c r="B18">
        <v>11</v>
      </c>
      <c r="C18" s="1">
        <v>40554</v>
      </c>
      <c r="D18">
        <v>1</v>
      </c>
      <c r="E18">
        <v>0</v>
      </c>
      <c r="F18">
        <v>1</v>
      </c>
      <c r="G18">
        <v>2</v>
      </c>
      <c r="H18">
        <v>2</v>
      </c>
      <c r="I18">
        <v>43</v>
      </c>
      <c r="J18">
        <v>1220</v>
      </c>
      <c r="K18" s="8">
        <v>1263</v>
      </c>
      <c r="L18" s="12">
        <v>9.5731999999999999</v>
      </c>
      <c r="M18" s="12">
        <v>68.636399999999995</v>
      </c>
      <c r="N18" s="12">
        <v>8.1828439999999993</v>
      </c>
      <c r="O18" s="13">
        <f t="shared" si="3"/>
        <v>-1.6743490632649543</v>
      </c>
      <c r="P18" s="6">
        <f t="shared" si="4"/>
        <v>-1.7371234388718599</v>
      </c>
      <c r="Q18" s="6">
        <f t="shared" si="5"/>
        <v>0.41080069498526905</v>
      </c>
      <c r="R18" s="6">
        <f t="shared" si="6"/>
        <v>-0.88261797333074499</v>
      </c>
      <c r="S18">
        <f t="shared" si="7"/>
        <v>0</v>
      </c>
      <c r="T18">
        <f t="shared" si="8"/>
        <v>1</v>
      </c>
      <c r="U18">
        <f t="shared" si="9"/>
        <v>0</v>
      </c>
      <c r="V18">
        <f t="shared" si="10"/>
        <v>0</v>
      </c>
      <c r="W18">
        <f t="shared" si="11"/>
        <v>0</v>
      </c>
      <c r="X18">
        <f t="shared" si="12"/>
        <v>0</v>
      </c>
      <c r="Y18">
        <f t="shared" si="13"/>
        <v>0</v>
      </c>
      <c r="Z18">
        <f t="shared" si="14"/>
        <v>0</v>
      </c>
      <c r="AA18">
        <f t="shared" si="15"/>
        <v>0</v>
      </c>
    </row>
    <row r="19" spans="2:27" x14ac:dyDescent="0.3">
      <c r="B19">
        <v>12</v>
      </c>
      <c r="C19" s="1">
        <v>40555</v>
      </c>
      <c r="D19">
        <v>1</v>
      </c>
      <c r="E19">
        <v>0</v>
      </c>
      <c r="F19">
        <v>1</v>
      </c>
      <c r="G19">
        <v>3</v>
      </c>
      <c r="H19">
        <v>1</v>
      </c>
      <c r="I19">
        <v>25</v>
      </c>
      <c r="J19">
        <v>1137</v>
      </c>
      <c r="K19" s="8">
        <v>1162</v>
      </c>
      <c r="L19" s="12">
        <v>8.0236499999999999</v>
      </c>
      <c r="M19" s="12">
        <v>59.954500000000003</v>
      </c>
      <c r="N19" s="12">
        <v>20.410008999999999</v>
      </c>
      <c r="O19" s="13">
        <f t="shared" si="3"/>
        <v>-1.7265215580758979</v>
      </c>
      <c r="P19" s="6">
        <f t="shared" si="4"/>
        <v>-1.9274277785616762</v>
      </c>
      <c r="Q19" s="6">
        <f t="shared" si="5"/>
        <v>-0.19917611230461463</v>
      </c>
      <c r="R19" s="6">
        <f t="shared" si="6"/>
        <v>1.473833270958538</v>
      </c>
      <c r="S19">
        <f t="shared" si="7"/>
        <v>0</v>
      </c>
      <c r="T19">
        <f t="shared" si="8"/>
        <v>0</v>
      </c>
      <c r="U19">
        <f t="shared" si="9"/>
        <v>1</v>
      </c>
      <c r="V19">
        <f t="shared" si="10"/>
        <v>0</v>
      </c>
      <c r="W19">
        <f t="shared" si="11"/>
        <v>0</v>
      </c>
      <c r="X19">
        <f t="shared" si="12"/>
        <v>0</v>
      </c>
      <c r="Y19">
        <f t="shared" si="13"/>
        <v>0</v>
      </c>
      <c r="Z19">
        <f t="shared" si="14"/>
        <v>0</v>
      </c>
      <c r="AA19">
        <f t="shared" si="15"/>
        <v>0</v>
      </c>
    </row>
    <row r="20" spans="2:27" x14ac:dyDescent="0.3">
      <c r="B20">
        <v>13</v>
      </c>
      <c r="C20" s="1">
        <v>40556</v>
      </c>
      <c r="D20">
        <v>1</v>
      </c>
      <c r="E20">
        <v>0</v>
      </c>
      <c r="F20">
        <v>1</v>
      </c>
      <c r="G20">
        <v>4</v>
      </c>
      <c r="H20">
        <v>1</v>
      </c>
      <c r="I20">
        <v>38</v>
      </c>
      <c r="J20">
        <v>1368</v>
      </c>
      <c r="K20" s="8">
        <v>1406</v>
      </c>
      <c r="L20" s="12">
        <v>7.5441500000000001</v>
      </c>
      <c r="M20" s="12">
        <v>47.041699999999999</v>
      </c>
      <c r="N20" s="12">
        <v>20.167000000000002</v>
      </c>
      <c r="O20" s="13">
        <f t="shared" si="3"/>
        <v>-1.6004810755623311</v>
      </c>
      <c r="P20" s="6">
        <f t="shared" si="4"/>
        <v>-1.9863164435813701</v>
      </c>
      <c r="Q20" s="6">
        <f t="shared" si="5"/>
        <v>-1.1064093811942379</v>
      </c>
      <c r="R20" s="6">
        <f t="shared" si="6"/>
        <v>1.4269999403848943</v>
      </c>
      <c r="S20">
        <f t="shared" si="7"/>
        <v>0</v>
      </c>
      <c r="T20">
        <f t="shared" si="8"/>
        <v>0</v>
      </c>
      <c r="U20">
        <f t="shared" si="9"/>
        <v>0</v>
      </c>
      <c r="V20">
        <f t="shared" si="10"/>
        <v>1</v>
      </c>
      <c r="W20">
        <f t="shared" si="11"/>
        <v>0</v>
      </c>
      <c r="X20">
        <f t="shared" si="12"/>
        <v>0</v>
      </c>
      <c r="Y20">
        <f t="shared" si="13"/>
        <v>0</v>
      </c>
      <c r="Z20">
        <f t="shared" si="14"/>
        <v>0</v>
      </c>
      <c r="AA20">
        <f t="shared" si="15"/>
        <v>0</v>
      </c>
    </row>
    <row r="21" spans="2:27" x14ac:dyDescent="0.3">
      <c r="B21">
        <v>14</v>
      </c>
      <c r="C21" s="1">
        <v>40557</v>
      </c>
      <c r="D21">
        <v>1</v>
      </c>
      <c r="E21">
        <v>0</v>
      </c>
      <c r="F21">
        <v>1</v>
      </c>
      <c r="G21">
        <v>5</v>
      </c>
      <c r="H21">
        <v>1</v>
      </c>
      <c r="I21">
        <v>54</v>
      </c>
      <c r="J21">
        <v>1367</v>
      </c>
      <c r="K21" s="8">
        <v>1421</v>
      </c>
      <c r="L21" s="12">
        <v>9.4206500000000002</v>
      </c>
      <c r="M21" s="12">
        <v>53.782600000000002</v>
      </c>
      <c r="N21" s="12">
        <v>8.4787160000000004</v>
      </c>
      <c r="O21" s="13">
        <f t="shared" si="3"/>
        <v>-1.5927326852438741</v>
      </c>
      <c r="P21" s="6">
        <f t="shared" si="4"/>
        <v>-1.7558585084208782</v>
      </c>
      <c r="Q21" s="6">
        <f t="shared" si="5"/>
        <v>-0.63280421869980896</v>
      </c>
      <c r="R21" s="6">
        <f t="shared" si="6"/>
        <v>-0.82559674702437214</v>
      </c>
      <c r="S21">
        <f t="shared" si="7"/>
        <v>0</v>
      </c>
      <c r="T21">
        <f t="shared" si="8"/>
        <v>0</v>
      </c>
      <c r="U21">
        <f t="shared" si="9"/>
        <v>0</v>
      </c>
      <c r="V21">
        <f t="shared" si="10"/>
        <v>0</v>
      </c>
      <c r="W21">
        <f t="shared" si="11"/>
        <v>1</v>
      </c>
      <c r="X21">
        <f t="shared" si="12"/>
        <v>0</v>
      </c>
      <c r="Y21">
        <f t="shared" si="13"/>
        <v>0</v>
      </c>
      <c r="Z21">
        <f t="shared" si="14"/>
        <v>0</v>
      </c>
      <c r="AA21">
        <f t="shared" si="15"/>
        <v>0</v>
      </c>
    </row>
    <row r="22" spans="2:27" x14ac:dyDescent="0.3">
      <c r="B22">
        <v>15</v>
      </c>
      <c r="C22" s="1">
        <v>40558</v>
      </c>
      <c r="D22">
        <v>1</v>
      </c>
      <c r="E22">
        <v>0</v>
      </c>
      <c r="F22">
        <v>1</v>
      </c>
      <c r="G22">
        <v>6</v>
      </c>
      <c r="H22">
        <v>2</v>
      </c>
      <c r="I22">
        <v>222</v>
      </c>
      <c r="J22">
        <v>1026</v>
      </c>
      <c r="K22" s="8">
        <v>1248</v>
      </c>
      <c r="L22" s="12">
        <v>12.4056</v>
      </c>
      <c r="M22" s="12">
        <v>49.875</v>
      </c>
      <c r="N22" s="12">
        <v>10.583520999999999</v>
      </c>
      <c r="O22" s="13">
        <f t="shared" si="3"/>
        <v>-1.6820974535834112</v>
      </c>
      <c r="P22" s="6">
        <f t="shared" si="4"/>
        <v>-1.389268892882743</v>
      </c>
      <c r="Q22" s="6">
        <f t="shared" si="5"/>
        <v>-0.90734612452295282</v>
      </c>
      <c r="R22" s="6">
        <f t="shared" si="6"/>
        <v>-0.41995321794495738</v>
      </c>
      <c r="S22">
        <f t="shared" si="7"/>
        <v>0</v>
      </c>
      <c r="T22">
        <f t="shared" si="8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</row>
    <row r="23" spans="2:27" x14ac:dyDescent="0.3">
      <c r="B23">
        <v>16</v>
      </c>
      <c r="C23" s="1">
        <v>40559</v>
      </c>
      <c r="D23">
        <v>1</v>
      </c>
      <c r="E23">
        <v>0</v>
      </c>
      <c r="F23">
        <v>1</v>
      </c>
      <c r="G23">
        <v>0</v>
      </c>
      <c r="H23">
        <v>1</v>
      </c>
      <c r="I23">
        <v>251</v>
      </c>
      <c r="J23">
        <v>953</v>
      </c>
      <c r="K23" s="8">
        <v>1204</v>
      </c>
      <c r="L23" s="12">
        <v>11.710850000000001</v>
      </c>
      <c r="M23" s="12">
        <v>48.375</v>
      </c>
      <c r="N23" s="12">
        <v>12.625011000000001</v>
      </c>
      <c r="O23" s="13">
        <f t="shared" si="3"/>
        <v>-1.7048260651842182</v>
      </c>
      <c r="P23" s="6">
        <f t="shared" si="4"/>
        <v>-1.4745929805207669</v>
      </c>
      <c r="Q23" s="6">
        <f t="shared" si="5"/>
        <v>-1.0127337943803374</v>
      </c>
      <c r="R23" s="6">
        <f t="shared" si="6"/>
        <v>-2.6511921397136873E-2</v>
      </c>
      <c r="S23">
        <f t="shared" si="7"/>
        <v>0</v>
      </c>
      <c r="T23">
        <f t="shared" si="8"/>
        <v>0</v>
      </c>
      <c r="U23">
        <f t="shared" si="9"/>
        <v>0</v>
      </c>
      <c r="V23">
        <f t="shared" si="10"/>
        <v>0</v>
      </c>
      <c r="W23">
        <f t="shared" si="11"/>
        <v>0</v>
      </c>
      <c r="X23">
        <f t="shared" si="12"/>
        <v>0</v>
      </c>
      <c r="Y23">
        <f t="shared" si="13"/>
        <v>0</v>
      </c>
      <c r="Z23">
        <f t="shared" si="14"/>
        <v>0</v>
      </c>
      <c r="AA23">
        <f t="shared" si="15"/>
        <v>0</v>
      </c>
    </row>
    <row r="24" spans="2:27" x14ac:dyDescent="0.3">
      <c r="B24">
        <v>17</v>
      </c>
      <c r="C24" s="1">
        <v>40560</v>
      </c>
      <c r="D24">
        <v>1</v>
      </c>
      <c r="E24">
        <v>0</v>
      </c>
      <c r="F24">
        <v>1</v>
      </c>
      <c r="G24">
        <v>1</v>
      </c>
      <c r="H24">
        <v>2</v>
      </c>
      <c r="I24">
        <v>117</v>
      </c>
      <c r="J24">
        <v>883</v>
      </c>
      <c r="K24" s="8">
        <v>1000</v>
      </c>
      <c r="L24" s="12">
        <v>8.8385499999999997</v>
      </c>
      <c r="M24" s="12">
        <v>53.75</v>
      </c>
      <c r="N24" s="12">
        <v>12.999139</v>
      </c>
      <c r="O24" s="13">
        <f t="shared" si="3"/>
        <v>-1.810204173515233</v>
      </c>
      <c r="P24" s="6">
        <f t="shared" si="4"/>
        <v>-1.8273477511903546</v>
      </c>
      <c r="Q24" s="6">
        <f t="shared" si="5"/>
        <v>-0.63509464405804295</v>
      </c>
      <c r="R24" s="6">
        <f t="shared" si="6"/>
        <v>4.559100606997904E-2</v>
      </c>
      <c r="S24">
        <f t="shared" si="7"/>
        <v>1</v>
      </c>
      <c r="T24">
        <f t="shared" si="8"/>
        <v>0</v>
      </c>
      <c r="U24">
        <f t="shared" si="9"/>
        <v>0</v>
      </c>
      <c r="V24">
        <f t="shared" si="10"/>
        <v>0</v>
      </c>
      <c r="W24">
        <f t="shared" si="11"/>
        <v>0</v>
      </c>
      <c r="X24">
        <f t="shared" si="12"/>
        <v>0</v>
      </c>
      <c r="Y24">
        <f t="shared" si="13"/>
        <v>0</v>
      </c>
      <c r="Z24">
        <f t="shared" si="14"/>
        <v>0</v>
      </c>
      <c r="AA24">
        <f t="shared" si="15"/>
        <v>0</v>
      </c>
    </row>
    <row r="25" spans="2:27" x14ac:dyDescent="0.3">
      <c r="B25">
        <v>18</v>
      </c>
      <c r="C25" s="1">
        <v>40561</v>
      </c>
      <c r="D25">
        <v>1</v>
      </c>
      <c r="E25">
        <v>0</v>
      </c>
      <c r="F25">
        <v>1</v>
      </c>
      <c r="G25">
        <v>2</v>
      </c>
      <c r="H25">
        <v>2</v>
      </c>
      <c r="I25">
        <v>9</v>
      </c>
      <c r="J25">
        <v>674</v>
      </c>
      <c r="K25" s="8">
        <v>683</v>
      </c>
      <c r="L25" s="12">
        <v>11.61665</v>
      </c>
      <c r="M25" s="12">
        <v>86.166700000000006</v>
      </c>
      <c r="N25" s="12">
        <v>9.8339250000000007</v>
      </c>
      <c r="O25" s="13">
        <f t="shared" si="3"/>
        <v>-1.973953488911957</v>
      </c>
      <c r="P25" s="6">
        <f t="shared" si="4"/>
        <v>-1.4861619320220292</v>
      </c>
      <c r="Q25" s="6">
        <f t="shared" si="5"/>
        <v>1.642452340919208</v>
      </c>
      <c r="R25" s="6">
        <f t="shared" si="6"/>
        <v>-0.56441732118673638</v>
      </c>
      <c r="S25">
        <f t="shared" si="7"/>
        <v>0</v>
      </c>
      <c r="T25">
        <f t="shared" si="8"/>
        <v>1</v>
      </c>
      <c r="U25">
        <f t="shared" si="9"/>
        <v>0</v>
      </c>
      <c r="V25">
        <f t="shared" si="10"/>
        <v>0</v>
      </c>
      <c r="W25">
        <f t="shared" si="11"/>
        <v>0</v>
      </c>
      <c r="X25">
        <f t="shared" si="12"/>
        <v>0</v>
      </c>
      <c r="Y25">
        <f t="shared" si="13"/>
        <v>0</v>
      </c>
      <c r="Z25">
        <f t="shared" si="14"/>
        <v>0</v>
      </c>
      <c r="AA25">
        <f t="shared" si="15"/>
        <v>0</v>
      </c>
    </row>
    <row r="26" spans="2:27" x14ac:dyDescent="0.3">
      <c r="B26">
        <v>19</v>
      </c>
      <c r="C26" s="1">
        <v>40562</v>
      </c>
      <c r="D26">
        <v>1</v>
      </c>
      <c r="E26">
        <v>0</v>
      </c>
      <c r="F26">
        <v>1</v>
      </c>
      <c r="G26">
        <v>3</v>
      </c>
      <c r="H26">
        <v>2</v>
      </c>
      <c r="I26">
        <v>78</v>
      </c>
      <c r="J26">
        <v>1572</v>
      </c>
      <c r="K26" s="8">
        <v>1650</v>
      </c>
      <c r="L26" s="12">
        <v>14.921099999999999</v>
      </c>
      <c r="M26" s="12">
        <v>74.173900000000003</v>
      </c>
      <c r="N26" s="12">
        <v>13.957239</v>
      </c>
      <c r="O26" s="13">
        <f t="shared" si="3"/>
        <v>-1.4744405930487645</v>
      </c>
      <c r="P26" s="6">
        <f t="shared" si="4"/>
        <v>-1.0803336752455368</v>
      </c>
      <c r="Q26" s="6">
        <f t="shared" si="5"/>
        <v>0.79985684287544745</v>
      </c>
      <c r="R26" s="6">
        <f t="shared" si="6"/>
        <v>0.23023854596606796</v>
      </c>
      <c r="S26">
        <f t="shared" si="7"/>
        <v>0</v>
      </c>
      <c r="T26">
        <f t="shared" si="8"/>
        <v>0</v>
      </c>
      <c r="U26">
        <f t="shared" si="9"/>
        <v>1</v>
      </c>
      <c r="V26">
        <f t="shared" si="10"/>
        <v>0</v>
      </c>
      <c r="W26">
        <f t="shared" si="11"/>
        <v>0</v>
      </c>
      <c r="X26">
        <f t="shared" si="12"/>
        <v>0</v>
      </c>
      <c r="Y26">
        <f t="shared" si="13"/>
        <v>0</v>
      </c>
      <c r="Z26">
        <f t="shared" si="14"/>
        <v>0</v>
      </c>
      <c r="AA26">
        <f t="shared" si="15"/>
        <v>0</v>
      </c>
    </row>
    <row r="27" spans="2:27" x14ac:dyDescent="0.3">
      <c r="B27">
        <v>20</v>
      </c>
      <c r="C27" s="1">
        <v>40563</v>
      </c>
      <c r="D27">
        <v>1</v>
      </c>
      <c r="E27">
        <v>0</v>
      </c>
      <c r="F27">
        <v>1</v>
      </c>
      <c r="G27">
        <v>4</v>
      </c>
      <c r="H27">
        <v>2</v>
      </c>
      <c r="I27">
        <v>83</v>
      </c>
      <c r="J27">
        <v>1844</v>
      </c>
      <c r="K27" s="8">
        <v>1927</v>
      </c>
      <c r="L27" s="12">
        <v>12.7525</v>
      </c>
      <c r="M27" s="12">
        <v>53.833300000000001</v>
      </c>
      <c r="N27" s="12">
        <v>13.125567999999999</v>
      </c>
      <c r="O27" s="13">
        <f t="shared" si="3"/>
        <v>-1.3313536518345923</v>
      </c>
      <c r="P27" s="6">
        <f t="shared" si="4"/>
        <v>-1.3466651850718321</v>
      </c>
      <c r="Q27" s="6">
        <f t="shared" si="5"/>
        <v>-0.6292421154586294</v>
      </c>
      <c r="R27" s="6">
        <f t="shared" si="6"/>
        <v>6.9956733887036354E-2</v>
      </c>
      <c r="S27">
        <f t="shared" si="7"/>
        <v>0</v>
      </c>
      <c r="T27">
        <f t="shared" si="8"/>
        <v>0</v>
      </c>
      <c r="U27">
        <f t="shared" si="9"/>
        <v>0</v>
      </c>
      <c r="V27">
        <f t="shared" si="10"/>
        <v>1</v>
      </c>
      <c r="W27">
        <f t="shared" si="11"/>
        <v>0</v>
      </c>
      <c r="X27">
        <f t="shared" si="12"/>
        <v>0</v>
      </c>
      <c r="Y27">
        <f t="shared" si="13"/>
        <v>0</v>
      </c>
      <c r="Z27">
        <f t="shared" si="14"/>
        <v>0</v>
      </c>
      <c r="AA27">
        <f t="shared" si="15"/>
        <v>0</v>
      </c>
    </row>
    <row r="28" spans="2:27" x14ac:dyDescent="0.3">
      <c r="B28">
        <v>21</v>
      </c>
      <c r="C28" s="1">
        <v>40564</v>
      </c>
      <c r="D28">
        <v>1</v>
      </c>
      <c r="E28">
        <v>0</v>
      </c>
      <c r="F28">
        <v>1</v>
      </c>
      <c r="G28">
        <v>5</v>
      </c>
      <c r="H28">
        <v>1</v>
      </c>
      <c r="I28">
        <v>75</v>
      </c>
      <c r="J28">
        <v>1468</v>
      </c>
      <c r="K28" s="8">
        <v>1543</v>
      </c>
      <c r="L28" s="12">
        <v>7.8916500000000003</v>
      </c>
      <c r="M28" s="12">
        <v>45.708300000000001</v>
      </c>
      <c r="N28" s="12">
        <v>23.667214000000001</v>
      </c>
      <c r="O28" s="13">
        <f t="shared" si="3"/>
        <v>-1.5297124439870908</v>
      </c>
      <c r="P28" s="6">
        <f t="shared" si="4"/>
        <v>-1.9436390481812791</v>
      </c>
      <c r="Q28" s="6">
        <f t="shared" si="5"/>
        <v>-1.2000919938527954</v>
      </c>
      <c r="R28" s="6">
        <f t="shared" si="6"/>
        <v>2.101570344528354</v>
      </c>
      <c r="S28">
        <f t="shared" si="7"/>
        <v>0</v>
      </c>
      <c r="T28">
        <f t="shared" si="8"/>
        <v>0</v>
      </c>
      <c r="U28">
        <f t="shared" si="9"/>
        <v>0</v>
      </c>
      <c r="V28">
        <f t="shared" si="10"/>
        <v>0</v>
      </c>
      <c r="W28">
        <f t="shared" si="11"/>
        <v>1</v>
      </c>
      <c r="X28">
        <f t="shared" si="12"/>
        <v>0</v>
      </c>
      <c r="Y28">
        <f t="shared" si="13"/>
        <v>0</v>
      </c>
      <c r="Z28">
        <f t="shared" si="14"/>
        <v>0</v>
      </c>
      <c r="AA28">
        <f t="shared" si="15"/>
        <v>0</v>
      </c>
    </row>
    <row r="29" spans="2:27" x14ac:dyDescent="0.3">
      <c r="B29">
        <v>22</v>
      </c>
      <c r="C29" s="1">
        <v>40565</v>
      </c>
      <c r="D29">
        <v>1</v>
      </c>
      <c r="E29">
        <v>0</v>
      </c>
      <c r="F29">
        <v>1</v>
      </c>
      <c r="G29">
        <v>6</v>
      </c>
      <c r="H29">
        <v>1</v>
      </c>
      <c r="I29">
        <v>93</v>
      </c>
      <c r="J29">
        <v>888</v>
      </c>
      <c r="K29" s="8">
        <v>981</v>
      </c>
      <c r="L29" s="12">
        <v>3.9534799999999999</v>
      </c>
      <c r="M29" s="12">
        <v>40</v>
      </c>
      <c r="N29" s="12">
        <v>11.521990000000001</v>
      </c>
      <c r="O29" s="13">
        <f t="shared" si="3"/>
        <v>-1.8200188012519452</v>
      </c>
      <c r="P29" s="6">
        <f t="shared" si="4"/>
        <v>-2.4272961366497019</v>
      </c>
      <c r="Q29" s="6">
        <f t="shared" si="5"/>
        <v>-1.6011482844174008</v>
      </c>
      <c r="R29" s="6">
        <f t="shared" si="6"/>
        <v>-0.23908901575443142</v>
      </c>
      <c r="S29">
        <f t="shared" si="7"/>
        <v>0</v>
      </c>
      <c r="T29">
        <f t="shared" si="8"/>
        <v>0</v>
      </c>
      <c r="U29">
        <f t="shared" si="9"/>
        <v>0</v>
      </c>
      <c r="V29">
        <f t="shared" si="10"/>
        <v>0</v>
      </c>
      <c r="W29">
        <f t="shared" si="11"/>
        <v>0</v>
      </c>
      <c r="X29">
        <f t="shared" si="12"/>
        <v>0</v>
      </c>
      <c r="Y29">
        <f t="shared" si="13"/>
        <v>0</v>
      </c>
      <c r="Z29">
        <f t="shared" si="14"/>
        <v>0</v>
      </c>
      <c r="AA29">
        <f t="shared" si="15"/>
        <v>0</v>
      </c>
    </row>
    <row r="30" spans="2:27" x14ac:dyDescent="0.3">
      <c r="B30">
        <v>23</v>
      </c>
      <c r="C30" s="1">
        <v>40566</v>
      </c>
      <c r="D30">
        <v>1</v>
      </c>
      <c r="E30">
        <v>0</v>
      </c>
      <c r="F30">
        <v>1</v>
      </c>
      <c r="G30">
        <v>0</v>
      </c>
      <c r="H30">
        <v>1</v>
      </c>
      <c r="I30">
        <v>150</v>
      </c>
      <c r="J30">
        <v>836</v>
      </c>
      <c r="K30" s="8">
        <v>986</v>
      </c>
      <c r="L30" s="12">
        <v>4.9419550000000001</v>
      </c>
      <c r="M30" s="12">
        <v>43.652200000000001</v>
      </c>
      <c r="N30" s="12">
        <v>16.522200000000002</v>
      </c>
      <c r="O30" s="13">
        <f t="shared" si="3"/>
        <v>-1.8174360044791262</v>
      </c>
      <c r="P30" s="6">
        <f t="shared" si="4"/>
        <v>-2.3058989037918454</v>
      </c>
      <c r="Q30" s="6">
        <f t="shared" si="5"/>
        <v>-1.3445503858486409</v>
      </c>
      <c r="R30" s="6">
        <f t="shared" si="6"/>
        <v>0.72456454385711533</v>
      </c>
      <c r="S30">
        <f t="shared" si="7"/>
        <v>0</v>
      </c>
      <c r="T30">
        <f t="shared" si="8"/>
        <v>0</v>
      </c>
      <c r="U30">
        <f t="shared" si="9"/>
        <v>0</v>
      </c>
      <c r="V30">
        <f t="shared" si="10"/>
        <v>0</v>
      </c>
      <c r="W30">
        <f t="shared" si="11"/>
        <v>0</v>
      </c>
      <c r="X30">
        <f t="shared" si="12"/>
        <v>0</v>
      </c>
      <c r="Y30">
        <f t="shared" si="13"/>
        <v>0</v>
      </c>
      <c r="Z30">
        <f t="shared" si="14"/>
        <v>0</v>
      </c>
      <c r="AA30">
        <f t="shared" si="15"/>
        <v>0</v>
      </c>
    </row>
    <row r="31" spans="2:27" x14ac:dyDescent="0.3">
      <c r="B31">
        <v>24</v>
      </c>
      <c r="C31" s="1">
        <v>40567</v>
      </c>
      <c r="D31">
        <v>1</v>
      </c>
      <c r="E31">
        <v>0</v>
      </c>
      <c r="F31">
        <v>1</v>
      </c>
      <c r="G31">
        <v>1</v>
      </c>
      <c r="H31">
        <v>1</v>
      </c>
      <c r="I31">
        <v>86</v>
      </c>
      <c r="J31">
        <v>1330</v>
      </c>
      <c r="K31" s="8">
        <v>1416</v>
      </c>
      <c r="L31" s="12">
        <v>5.8964999999999996</v>
      </c>
      <c r="M31" s="12">
        <v>49.173900000000003</v>
      </c>
      <c r="N31" s="12">
        <v>10.60811</v>
      </c>
      <c r="O31" s="13">
        <f t="shared" si="3"/>
        <v>-1.595315482016693</v>
      </c>
      <c r="P31" s="6">
        <f t="shared" si="4"/>
        <v>-2.1886687041021187</v>
      </c>
      <c r="Q31" s="6">
        <f t="shared" si="5"/>
        <v>-0.95660432141429408</v>
      </c>
      <c r="R31" s="6">
        <f t="shared" si="6"/>
        <v>-0.41521436150147023</v>
      </c>
      <c r="S31">
        <f t="shared" si="7"/>
        <v>1</v>
      </c>
      <c r="T31">
        <f t="shared" si="8"/>
        <v>0</v>
      </c>
      <c r="U31">
        <f t="shared" si="9"/>
        <v>0</v>
      </c>
      <c r="V31">
        <f t="shared" si="10"/>
        <v>0</v>
      </c>
      <c r="W31">
        <f t="shared" si="11"/>
        <v>0</v>
      </c>
      <c r="X31">
        <f t="shared" si="12"/>
        <v>0</v>
      </c>
      <c r="Y31">
        <f t="shared" si="13"/>
        <v>0</v>
      </c>
      <c r="Z31">
        <f t="shared" si="14"/>
        <v>0</v>
      </c>
      <c r="AA31">
        <f t="shared" si="15"/>
        <v>0</v>
      </c>
    </row>
    <row r="32" spans="2:27" x14ac:dyDescent="0.3">
      <c r="B32">
        <v>25</v>
      </c>
      <c r="C32" s="1">
        <v>40568</v>
      </c>
      <c r="D32">
        <v>1</v>
      </c>
      <c r="E32">
        <v>0</v>
      </c>
      <c r="F32">
        <v>1</v>
      </c>
      <c r="G32">
        <v>2</v>
      </c>
      <c r="H32">
        <v>2</v>
      </c>
      <c r="I32">
        <v>186</v>
      </c>
      <c r="J32">
        <v>1799</v>
      </c>
      <c r="K32" s="8">
        <v>1985</v>
      </c>
      <c r="L32" s="12">
        <v>11.7263</v>
      </c>
      <c r="M32" s="12">
        <v>61.695700000000002</v>
      </c>
      <c r="N32" s="12">
        <v>8.696332</v>
      </c>
      <c r="O32" s="13">
        <f t="shared" si="3"/>
        <v>-1.3013932092698921</v>
      </c>
      <c r="P32" s="6">
        <f t="shared" si="4"/>
        <v>-1.4726955250993816</v>
      </c>
      <c r="Q32" s="6">
        <f t="shared" si="5"/>
        <v>-7.6842105134162772E-2</v>
      </c>
      <c r="R32" s="6">
        <f t="shared" si="6"/>
        <v>-0.78365722187874309</v>
      </c>
      <c r="S32">
        <f t="shared" si="7"/>
        <v>0</v>
      </c>
      <c r="T32">
        <f t="shared" si="8"/>
        <v>1</v>
      </c>
      <c r="U32">
        <f t="shared" si="9"/>
        <v>0</v>
      </c>
      <c r="V32">
        <f t="shared" si="10"/>
        <v>0</v>
      </c>
      <c r="W32">
        <f t="shared" si="11"/>
        <v>0</v>
      </c>
      <c r="X32">
        <f t="shared" si="12"/>
        <v>0</v>
      </c>
      <c r="Y32">
        <f t="shared" si="13"/>
        <v>0</v>
      </c>
      <c r="Z32">
        <f t="shared" si="14"/>
        <v>0</v>
      </c>
      <c r="AA32">
        <f t="shared" si="15"/>
        <v>0</v>
      </c>
    </row>
    <row r="33" spans="2:27" x14ac:dyDescent="0.3">
      <c r="B33">
        <v>26</v>
      </c>
      <c r="C33" s="1">
        <v>40569</v>
      </c>
      <c r="D33">
        <v>1</v>
      </c>
      <c r="E33">
        <v>0</v>
      </c>
      <c r="F33">
        <v>1</v>
      </c>
      <c r="G33">
        <v>3</v>
      </c>
      <c r="H33">
        <v>3</v>
      </c>
      <c r="I33">
        <v>34</v>
      </c>
      <c r="J33">
        <v>472</v>
      </c>
      <c r="K33" s="8">
        <v>506</v>
      </c>
      <c r="L33" s="12">
        <v>10.18</v>
      </c>
      <c r="M33" s="12">
        <v>86.25</v>
      </c>
      <c r="N33" s="12">
        <v>19.687950000000001</v>
      </c>
      <c r="O33" s="13">
        <f t="shared" si="3"/>
        <v>-2.065384494669749</v>
      </c>
      <c r="P33" s="6">
        <f t="shared" si="4"/>
        <v>-1.6626007236811395</v>
      </c>
      <c r="Q33" s="6">
        <f t="shared" si="5"/>
        <v>1.6483048695186211</v>
      </c>
      <c r="R33" s="6">
        <f t="shared" si="6"/>
        <v>1.3346761704368495</v>
      </c>
      <c r="S33">
        <f t="shared" si="7"/>
        <v>0</v>
      </c>
      <c r="T33">
        <f t="shared" si="8"/>
        <v>0</v>
      </c>
      <c r="U33">
        <f t="shared" si="9"/>
        <v>1</v>
      </c>
      <c r="V33">
        <f t="shared" si="10"/>
        <v>0</v>
      </c>
      <c r="W33">
        <f t="shared" si="11"/>
        <v>0</v>
      </c>
      <c r="X33">
        <f t="shared" si="12"/>
        <v>1</v>
      </c>
      <c r="Y33">
        <f t="shared" si="13"/>
        <v>0</v>
      </c>
      <c r="Z33">
        <f t="shared" si="14"/>
        <v>0</v>
      </c>
      <c r="AA33">
        <f t="shared" si="15"/>
        <v>0</v>
      </c>
    </row>
    <row r="34" spans="2:27" x14ac:dyDescent="0.3">
      <c r="B34">
        <v>27</v>
      </c>
      <c r="C34" s="1">
        <v>40570</v>
      </c>
      <c r="D34">
        <v>1</v>
      </c>
      <c r="E34">
        <v>0</v>
      </c>
      <c r="F34">
        <v>1</v>
      </c>
      <c r="G34">
        <v>4</v>
      </c>
      <c r="H34">
        <v>1</v>
      </c>
      <c r="I34">
        <v>15</v>
      </c>
      <c r="J34">
        <v>416</v>
      </c>
      <c r="K34" s="8">
        <v>431</v>
      </c>
      <c r="L34" s="12">
        <v>10.984999999999999</v>
      </c>
      <c r="M34" s="12">
        <v>68.75</v>
      </c>
      <c r="N34" s="12">
        <v>7.6270790000000002</v>
      </c>
      <c r="O34" s="13">
        <f t="shared" si="3"/>
        <v>-2.1041264462620339</v>
      </c>
      <c r="P34" s="6">
        <f t="shared" si="4"/>
        <v>-1.5637365415312883</v>
      </c>
      <c r="Q34" s="6">
        <f t="shared" si="5"/>
        <v>0.41878205451580203</v>
      </c>
      <c r="R34" s="6">
        <f t="shared" si="6"/>
        <v>-0.98972645888585375</v>
      </c>
      <c r="S34">
        <f t="shared" si="7"/>
        <v>0</v>
      </c>
      <c r="T34">
        <f t="shared" si="8"/>
        <v>0</v>
      </c>
      <c r="U34">
        <f t="shared" si="9"/>
        <v>0</v>
      </c>
      <c r="V34">
        <f t="shared" si="10"/>
        <v>1</v>
      </c>
      <c r="W34">
        <f t="shared" si="11"/>
        <v>0</v>
      </c>
      <c r="X34">
        <f t="shared" si="12"/>
        <v>0</v>
      </c>
      <c r="Y34">
        <f t="shared" si="13"/>
        <v>0</v>
      </c>
      <c r="Z34">
        <f t="shared" si="14"/>
        <v>0</v>
      </c>
      <c r="AA34">
        <f t="shared" si="15"/>
        <v>0</v>
      </c>
    </row>
    <row r="35" spans="2:27" x14ac:dyDescent="0.3">
      <c r="B35">
        <v>28</v>
      </c>
      <c r="C35" s="1">
        <v>40571</v>
      </c>
      <c r="D35">
        <v>1</v>
      </c>
      <c r="E35">
        <v>0</v>
      </c>
      <c r="F35">
        <v>1</v>
      </c>
      <c r="G35">
        <v>5</v>
      </c>
      <c r="H35">
        <v>2</v>
      </c>
      <c r="I35">
        <v>38</v>
      </c>
      <c r="J35">
        <v>1129</v>
      </c>
      <c r="K35" s="8">
        <v>1167</v>
      </c>
      <c r="L35" s="12">
        <v>11.165850000000001</v>
      </c>
      <c r="M35" s="12">
        <v>79.304299999999998</v>
      </c>
      <c r="N35" s="12">
        <v>8.2611000000000008</v>
      </c>
      <c r="O35" s="13">
        <f t="shared" si="3"/>
        <v>-1.7239387613030788</v>
      </c>
      <c r="P35" s="6">
        <f t="shared" si="4"/>
        <v>-1.5415258740259457</v>
      </c>
      <c r="Q35" s="6">
        <f t="shared" si="5"/>
        <v>1.1603107771663306</v>
      </c>
      <c r="R35" s="6">
        <f t="shared" si="6"/>
        <v>-0.86753627217000118</v>
      </c>
      <c r="S35">
        <f t="shared" si="7"/>
        <v>0</v>
      </c>
      <c r="T35">
        <f t="shared" si="8"/>
        <v>0</v>
      </c>
      <c r="U35">
        <f t="shared" si="9"/>
        <v>0</v>
      </c>
      <c r="V35">
        <f t="shared" si="10"/>
        <v>0</v>
      </c>
      <c r="W35">
        <f t="shared" si="11"/>
        <v>1</v>
      </c>
      <c r="X35">
        <f t="shared" si="12"/>
        <v>0</v>
      </c>
      <c r="Y35">
        <f t="shared" si="13"/>
        <v>0</v>
      </c>
      <c r="Z35">
        <f t="shared" si="14"/>
        <v>0</v>
      </c>
      <c r="AA35">
        <f t="shared" si="15"/>
        <v>0</v>
      </c>
    </row>
    <row r="36" spans="2:27" x14ac:dyDescent="0.3">
      <c r="B36">
        <v>29</v>
      </c>
      <c r="C36" s="1">
        <v>40572</v>
      </c>
      <c r="D36">
        <v>1</v>
      </c>
      <c r="E36">
        <v>0</v>
      </c>
      <c r="F36">
        <v>1</v>
      </c>
      <c r="G36">
        <v>6</v>
      </c>
      <c r="H36">
        <v>1</v>
      </c>
      <c r="I36">
        <v>123</v>
      </c>
      <c r="J36">
        <v>975</v>
      </c>
      <c r="K36" s="8">
        <v>1098</v>
      </c>
      <c r="L36" s="12">
        <v>10.606299999999999</v>
      </c>
      <c r="M36" s="12">
        <v>65.173900000000003</v>
      </c>
      <c r="N36" s="12">
        <v>9.7394549999999995</v>
      </c>
      <c r="O36" s="13">
        <f t="shared" si="3"/>
        <v>-1.7595813567679808</v>
      </c>
      <c r="P36" s="6">
        <f t="shared" si="4"/>
        <v>-1.6102456915687402</v>
      </c>
      <c r="Q36" s="6">
        <f t="shared" si="5"/>
        <v>0.16753082373114045</v>
      </c>
      <c r="R36" s="6">
        <f t="shared" si="6"/>
        <v>-0.58262382686879843</v>
      </c>
      <c r="S36">
        <f t="shared" si="7"/>
        <v>0</v>
      </c>
      <c r="T36">
        <f t="shared" si="8"/>
        <v>0</v>
      </c>
      <c r="U36">
        <f t="shared" si="9"/>
        <v>0</v>
      </c>
      <c r="V36">
        <f t="shared" si="10"/>
        <v>0</v>
      </c>
      <c r="W36">
        <f t="shared" si="11"/>
        <v>0</v>
      </c>
      <c r="X36">
        <f t="shared" si="12"/>
        <v>0</v>
      </c>
      <c r="Y36">
        <f t="shared" si="13"/>
        <v>0</v>
      </c>
      <c r="Z36">
        <f t="shared" si="14"/>
        <v>0</v>
      </c>
      <c r="AA36">
        <f t="shared" si="15"/>
        <v>0</v>
      </c>
    </row>
    <row r="37" spans="2:27" x14ac:dyDescent="0.3">
      <c r="B37">
        <v>30</v>
      </c>
      <c r="C37" s="1">
        <v>40573</v>
      </c>
      <c r="D37">
        <v>1</v>
      </c>
      <c r="E37">
        <v>0</v>
      </c>
      <c r="F37">
        <v>1</v>
      </c>
      <c r="G37">
        <v>0</v>
      </c>
      <c r="H37">
        <v>1</v>
      </c>
      <c r="I37">
        <v>140</v>
      </c>
      <c r="J37">
        <v>956</v>
      </c>
      <c r="K37" s="8">
        <v>1096</v>
      </c>
      <c r="L37" s="12">
        <v>12.5161</v>
      </c>
      <c r="M37" s="12">
        <v>72.217399999999998</v>
      </c>
      <c r="N37" s="12">
        <v>4.9568342000000003</v>
      </c>
      <c r="O37" s="13">
        <f t="shared" si="3"/>
        <v>-1.7606144754771085</v>
      </c>
      <c r="P37" s="6">
        <f t="shared" si="4"/>
        <v>-1.3756980952087574</v>
      </c>
      <c r="Q37" s="6">
        <f t="shared" si="5"/>
        <v>0.66239619215813184</v>
      </c>
      <c r="R37" s="6">
        <f t="shared" si="6"/>
        <v>-1.5043430263008668</v>
      </c>
      <c r="S37">
        <f t="shared" si="7"/>
        <v>0</v>
      </c>
      <c r="T37">
        <f t="shared" si="8"/>
        <v>0</v>
      </c>
      <c r="U37">
        <f t="shared" si="9"/>
        <v>0</v>
      </c>
      <c r="V37">
        <f t="shared" si="10"/>
        <v>0</v>
      </c>
      <c r="W37">
        <f t="shared" si="11"/>
        <v>0</v>
      </c>
      <c r="X37">
        <f t="shared" si="12"/>
        <v>0</v>
      </c>
      <c r="Y37">
        <f t="shared" si="13"/>
        <v>0</v>
      </c>
      <c r="Z37">
        <f t="shared" si="14"/>
        <v>0</v>
      </c>
      <c r="AA37">
        <f t="shared" si="15"/>
        <v>0</v>
      </c>
    </row>
    <row r="38" spans="2:27" x14ac:dyDescent="0.3">
      <c r="B38">
        <v>31</v>
      </c>
      <c r="C38" s="1">
        <v>40574</v>
      </c>
      <c r="D38">
        <v>1</v>
      </c>
      <c r="E38">
        <v>0</v>
      </c>
      <c r="F38">
        <v>1</v>
      </c>
      <c r="G38">
        <v>1</v>
      </c>
      <c r="H38">
        <v>2</v>
      </c>
      <c r="I38">
        <v>42</v>
      </c>
      <c r="J38">
        <v>1459</v>
      </c>
      <c r="K38" s="8">
        <v>1501</v>
      </c>
      <c r="L38" s="12">
        <v>9.3125</v>
      </c>
      <c r="M38" s="12">
        <v>60.375</v>
      </c>
      <c r="N38" s="12">
        <v>12.541864</v>
      </c>
      <c r="O38" s="13">
        <f t="shared" si="3"/>
        <v>-1.5514079368787703</v>
      </c>
      <c r="P38" s="6">
        <f t="shared" si="4"/>
        <v>-1.7691406963705756</v>
      </c>
      <c r="Q38" s="6">
        <f t="shared" si="5"/>
        <v>-0.16963243552126139</v>
      </c>
      <c r="R38" s="6">
        <f t="shared" si="6"/>
        <v>-4.2536228880426886E-2</v>
      </c>
      <c r="S38">
        <f t="shared" si="7"/>
        <v>1</v>
      </c>
      <c r="T38">
        <f t="shared" si="8"/>
        <v>0</v>
      </c>
      <c r="U38">
        <f t="shared" si="9"/>
        <v>0</v>
      </c>
      <c r="V38">
        <f t="shared" si="10"/>
        <v>0</v>
      </c>
      <c r="W38">
        <f t="shared" si="11"/>
        <v>0</v>
      </c>
      <c r="X38">
        <f t="shared" si="12"/>
        <v>0</v>
      </c>
      <c r="Y38">
        <f t="shared" si="13"/>
        <v>0</v>
      </c>
      <c r="Z38">
        <f t="shared" si="14"/>
        <v>0</v>
      </c>
      <c r="AA38">
        <f t="shared" si="15"/>
        <v>0</v>
      </c>
    </row>
    <row r="39" spans="2:27" x14ac:dyDescent="0.3">
      <c r="B39">
        <v>32</v>
      </c>
      <c r="C39" s="1">
        <v>40575</v>
      </c>
      <c r="D39">
        <v>1</v>
      </c>
      <c r="E39">
        <v>0</v>
      </c>
      <c r="F39">
        <v>2</v>
      </c>
      <c r="G39">
        <v>2</v>
      </c>
      <c r="H39">
        <v>2</v>
      </c>
      <c r="I39">
        <v>47</v>
      </c>
      <c r="J39">
        <v>1313</v>
      </c>
      <c r="K39" s="8">
        <v>1360</v>
      </c>
      <c r="L39" s="12">
        <v>11.7265</v>
      </c>
      <c r="M39" s="12">
        <v>82.956500000000005</v>
      </c>
      <c r="N39" s="12">
        <v>3.5652710000000001</v>
      </c>
      <c r="O39" s="13">
        <f t="shared" si="3"/>
        <v>-1.6242428058722658</v>
      </c>
      <c r="P39" s="6">
        <f t="shared" si="4"/>
        <v>-1.472670962569655</v>
      </c>
      <c r="Q39" s="6">
        <f t="shared" si="5"/>
        <v>1.4169086757350908</v>
      </c>
      <c r="R39" s="6">
        <f t="shared" si="6"/>
        <v>-1.7725287287222522</v>
      </c>
      <c r="S39">
        <f t="shared" si="7"/>
        <v>0</v>
      </c>
      <c r="T39">
        <f t="shared" si="8"/>
        <v>1</v>
      </c>
      <c r="U39">
        <f t="shared" si="9"/>
        <v>0</v>
      </c>
      <c r="V39">
        <f t="shared" si="10"/>
        <v>0</v>
      </c>
      <c r="W39">
        <f t="shared" si="11"/>
        <v>0</v>
      </c>
      <c r="X39">
        <f t="shared" si="12"/>
        <v>0</v>
      </c>
      <c r="Y39">
        <f t="shared" si="13"/>
        <v>0</v>
      </c>
      <c r="Z39">
        <f t="shared" si="14"/>
        <v>0</v>
      </c>
      <c r="AA39">
        <f t="shared" si="15"/>
        <v>0</v>
      </c>
    </row>
    <row r="40" spans="2:27" x14ac:dyDescent="0.3">
      <c r="B40">
        <v>33</v>
      </c>
      <c r="C40" s="1">
        <v>40576</v>
      </c>
      <c r="D40">
        <v>1</v>
      </c>
      <c r="E40">
        <v>0</v>
      </c>
      <c r="F40">
        <v>2</v>
      </c>
      <c r="G40">
        <v>3</v>
      </c>
      <c r="H40">
        <v>2</v>
      </c>
      <c r="I40">
        <v>72</v>
      </c>
      <c r="J40">
        <v>1454</v>
      </c>
      <c r="K40" s="8">
        <v>1526</v>
      </c>
      <c r="L40" s="12">
        <v>12.72085</v>
      </c>
      <c r="M40" s="12">
        <v>77.541700000000006</v>
      </c>
      <c r="N40" s="12">
        <v>17.708635999999998</v>
      </c>
      <c r="O40" s="13">
        <f t="shared" si="3"/>
        <v>-1.5384939530146753</v>
      </c>
      <c r="P40" s="6">
        <f t="shared" si="4"/>
        <v>-1.3505522054010777</v>
      </c>
      <c r="Q40" s="6">
        <f t="shared" si="5"/>
        <v>1.0364732392392473</v>
      </c>
      <c r="R40" s="6">
        <f t="shared" si="6"/>
        <v>0.95321759535920869</v>
      </c>
      <c r="S40">
        <f t="shared" si="7"/>
        <v>0</v>
      </c>
      <c r="T40">
        <f t="shared" si="8"/>
        <v>0</v>
      </c>
      <c r="U40">
        <f t="shared" si="9"/>
        <v>1</v>
      </c>
      <c r="V40">
        <f t="shared" si="10"/>
        <v>0</v>
      </c>
      <c r="W40">
        <f t="shared" si="11"/>
        <v>0</v>
      </c>
      <c r="X40">
        <f t="shared" si="12"/>
        <v>0</v>
      </c>
      <c r="Y40">
        <f t="shared" si="13"/>
        <v>0</v>
      </c>
      <c r="Z40">
        <f t="shared" si="14"/>
        <v>0</v>
      </c>
      <c r="AA40">
        <f t="shared" si="15"/>
        <v>0</v>
      </c>
    </row>
    <row r="41" spans="2:27" x14ac:dyDescent="0.3">
      <c r="B41">
        <v>34</v>
      </c>
      <c r="C41" s="1">
        <v>40577</v>
      </c>
      <c r="D41">
        <v>1</v>
      </c>
      <c r="E41">
        <v>0</v>
      </c>
      <c r="F41">
        <v>2</v>
      </c>
      <c r="G41">
        <v>4</v>
      </c>
      <c r="H41">
        <v>1</v>
      </c>
      <c r="I41">
        <v>61</v>
      </c>
      <c r="J41">
        <v>1489</v>
      </c>
      <c r="K41" s="8">
        <v>1550</v>
      </c>
      <c r="L41" s="12">
        <v>8.8939000000000004</v>
      </c>
      <c r="M41" s="12">
        <v>43.782600000000002</v>
      </c>
      <c r="N41" s="12">
        <v>18.609383999999999</v>
      </c>
      <c r="O41" s="13">
        <f t="shared" si="3"/>
        <v>-1.5260965285051442</v>
      </c>
      <c r="P41" s="6">
        <f t="shared" si="4"/>
        <v>-1.8205500710884983</v>
      </c>
      <c r="Q41" s="6">
        <f t="shared" si="5"/>
        <v>-1.3353886844157055</v>
      </c>
      <c r="R41" s="6">
        <f t="shared" si="6"/>
        <v>1.126812107692287</v>
      </c>
      <c r="S41">
        <f t="shared" si="7"/>
        <v>0</v>
      </c>
      <c r="T41">
        <f t="shared" si="8"/>
        <v>0</v>
      </c>
      <c r="U41">
        <f t="shared" si="9"/>
        <v>0</v>
      </c>
      <c r="V41">
        <f t="shared" si="10"/>
        <v>1</v>
      </c>
      <c r="W41">
        <f t="shared" si="11"/>
        <v>0</v>
      </c>
      <c r="X41">
        <f t="shared" si="12"/>
        <v>0</v>
      </c>
      <c r="Y41">
        <f t="shared" si="13"/>
        <v>0</v>
      </c>
      <c r="Z41">
        <f t="shared" si="14"/>
        <v>0</v>
      </c>
      <c r="AA41">
        <f t="shared" si="15"/>
        <v>0</v>
      </c>
    </row>
    <row r="42" spans="2:27" x14ac:dyDescent="0.3">
      <c r="B42">
        <v>35</v>
      </c>
      <c r="C42" s="1">
        <v>40578</v>
      </c>
      <c r="D42">
        <v>1</v>
      </c>
      <c r="E42">
        <v>0</v>
      </c>
      <c r="F42">
        <v>2</v>
      </c>
      <c r="G42">
        <v>5</v>
      </c>
      <c r="H42">
        <v>2</v>
      </c>
      <c r="I42">
        <v>88</v>
      </c>
      <c r="J42">
        <v>1620</v>
      </c>
      <c r="K42" s="8">
        <v>1708</v>
      </c>
      <c r="L42" s="12">
        <v>11.429349999999999</v>
      </c>
      <c r="M42" s="12">
        <v>58.521700000000003</v>
      </c>
      <c r="N42" s="12">
        <v>8.565213</v>
      </c>
      <c r="O42" s="13">
        <f t="shared" si="3"/>
        <v>-1.4444801504840641</v>
      </c>
      <c r="P42" s="6">
        <f t="shared" si="4"/>
        <v>-1.5091647411110567</v>
      </c>
      <c r="Q42" s="6">
        <f t="shared" si="5"/>
        <v>-0.2998424145523883</v>
      </c>
      <c r="R42" s="6">
        <f t="shared" si="6"/>
        <v>-0.80892681877221484</v>
      </c>
      <c r="S42">
        <f t="shared" si="7"/>
        <v>0</v>
      </c>
      <c r="T42">
        <f t="shared" si="8"/>
        <v>0</v>
      </c>
      <c r="U42">
        <f t="shared" si="9"/>
        <v>0</v>
      </c>
      <c r="V42">
        <f t="shared" si="10"/>
        <v>0</v>
      </c>
      <c r="W42">
        <f t="shared" si="11"/>
        <v>1</v>
      </c>
      <c r="X42">
        <f t="shared" si="12"/>
        <v>0</v>
      </c>
      <c r="Y42">
        <f t="shared" si="13"/>
        <v>0</v>
      </c>
      <c r="Z42">
        <f t="shared" si="14"/>
        <v>0</v>
      </c>
      <c r="AA42">
        <f t="shared" si="15"/>
        <v>0</v>
      </c>
    </row>
    <row r="43" spans="2:27" x14ac:dyDescent="0.3">
      <c r="B43">
        <v>36</v>
      </c>
      <c r="C43" s="1">
        <v>40579</v>
      </c>
      <c r="D43">
        <v>1</v>
      </c>
      <c r="E43">
        <v>0</v>
      </c>
      <c r="F43">
        <v>2</v>
      </c>
      <c r="G43">
        <v>6</v>
      </c>
      <c r="H43">
        <v>2</v>
      </c>
      <c r="I43">
        <v>100</v>
      </c>
      <c r="J43">
        <v>905</v>
      </c>
      <c r="K43" s="8">
        <v>1005</v>
      </c>
      <c r="L43" s="12">
        <v>12.152900000000001</v>
      </c>
      <c r="M43" s="12">
        <v>92.916700000000006</v>
      </c>
      <c r="N43" s="12">
        <v>10.792293000000001</v>
      </c>
      <c r="O43" s="13">
        <f t="shared" si="3"/>
        <v>-1.8076213767424141</v>
      </c>
      <c r="P43" s="6">
        <f t="shared" si="4"/>
        <v>-1.4203036491923919</v>
      </c>
      <c r="Q43" s="6">
        <f t="shared" si="5"/>
        <v>2.1166968552774383</v>
      </c>
      <c r="R43" s="6">
        <f t="shared" si="6"/>
        <v>-0.37971813162913798</v>
      </c>
      <c r="S43">
        <f t="shared" si="7"/>
        <v>0</v>
      </c>
      <c r="T43">
        <f t="shared" si="8"/>
        <v>0</v>
      </c>
      <c r="U43">
        <f t="shared" si="9"/>
        <v>0</v>
      </c>
      <c r="V43">
        <f t="shared" si="10"/>
        <v>0</v>
      </c>
      <c r="W43">
        <f t="shared" si="11"/>
        <v>0</v>
      </c>
      <c r="X43">
        <f t="shared" si="12"/>
        <v>0</v>
      </c>
      <c r="Y43">
        <f t="shared" si="13"/>
        <v>0</v>
      </c>
      <c r="Z43">
        <f t="shared" si="14"/>
        <v>0</v>
      </c>
      <c r="AA43">
        <f t="shared" si="15"/>
        <v>0</v>
      </c>
    </row>
    <row r="44" spans="2:27" x14ac:dyDescent="0.3">
      <c r="B44">
        <v>37</v>
      </c>
      <c r="C44" s="1">
        <v>40580</v>
      </c>
      <c r="D44">
        <v>1</v>
      </c>
      <c r="E44">
        <v>0</v>
      </c>
      <c r="F44">
        <v>2</v>
      </c>
      <c r="G44">
        <v>0</v>
      </c>
      <c r="H44">
        <v>1</v>
      </c>
      <c r="I44">
        <v>354</v>
      </c>
      <c r="J44">
        <v>1269</v>
      </c>
      <c r="K44" s="8">
        <v>1623</v>
      </c>
      <c r="L44" s="12">
        <v>14.583550000000001</v>
      </c>
      <c r="M44" s="12">
        <v>56.833300000000001</v>
      </c>
      <c r="N44" s="12">
        <v>9.5006000000000004</v>
      </c>
      <c r="O44" s="13">
        <f t="shared" si="3"/>
        <v>-1.488387695621987</v>
      </c>
      <c r="P44" s="6">
        <f t="shared" si="4"/>
        <v>-1.121789084791726</v>
      </c>
      <c r="Q44" s="6">
        <f t="shared" si="5"/>
        <v>-0.41846677574386043</v>
      </c>
      <c r="R44" s="6">
        <f t="shared" si="6"/>
        <v>-0.62865658768904709</v>
      </c>
      <c r="S44">
        <f t="shared" si="7"/>
        <v>0</v>
      </c>
      <c r="T44">
        <f t="shared" si="8"/>
        <v>0</v>
      </c>
      <c r="U44">
        <f t="shared" si="9"/>
        <v>0</v>
      </c>
      <c r="V44">
        <f t="shared" si="10"/>
        <v>0</v>
      </c>
      <c r="W44">
        <f t="shared" si="11"/>
        <v>0</v>
      </c>
      <c r="X44">
        <f t="shared" si="12"/>
        <v>0</v>
      </c>
      <c r="Y44">
        <f t="shared" si="13"/>
        <v>0</v>
      </c>
      <c r="Z44">
        <f t="shared" si="14"/>
        <v>0</v>
      </c>
      <c r="AA44">
        <f t="shared" si="15"/>
        <v>0</v>
      </c>
    </row>
    <row r="45" spans="2:27" x14ac:dyDescent="0.3">
      <c r="B45">
        <v>38</v>
      </c>
      <c r="C45" s="1">
        <v>40581</v>
      </c>
      <c r="D45">
        <v>1</v>
      </c>
      <c r="E45">
        <v>0</v>
      </c>
      <c r="F45">
        <v>2</v>
      </c>
      <c r="G45">
        <v>1</v>
      </c>
      <c r="H45">
        <v>1</v>
      </c>
      <c r="I45">
        <v>120</v>
      </c>
      <c r="J45">
        <v>1592</v>
      </c>
      <c r="K45" s="8">
        <v>1712</v>
      </c>
      <c r="L45" s="12">
        <v>15.1829</v>
      </c>
      <c r="M45" s="12">
        <v>73.833299999999994</v>
      </c>
      <c r="N45" s="12">
        <v>3.0423561000000001</v>
      </c>
      <c r="O45" s="13">
        <f t="shared" si="3"/>
        <v>-1.4424139130658089</v>
      </c>
      <c r="P45" s="6">
        <f t="shared" si="4"/>
        <v>-1.0481813238333242</v>
      </c>
      <c r="Q45" s="6">
        <f t="shared" si="5"/>
        <v>0.77592681597316338</v>
      </c>
      <c r="R45" s="6">
        <f t="shared" si="6"/>
        <v>-1.8733062570178469</v>
      </c>
      <c r="S45">
        <f t="shared" si="7"/>
        <v>1</v>
      </c>
      <c r="T45">
        <f t="shared" si="8"/>
        <v>0</v>
      </c>
      <c r="U45">
        <f t="shared" si="9"/>
        <v>0</v>
      </c>
      <c r="V45">
        <f t="shared" si="10"/>
        <v>0</v>
      </c>
      <c r="W45">
        <f t="shared" si="11"/>
        <v>0</v>
      </c>
      <c r="X45">
        <f t="shared" si="12"/>
        <v>0</v>
      </c>
      <c r="Y45">
        <f t="shared" si="13"/>
        <v>0</v>
      </c>
      <c r="Z45">
        <f t="shared" si="14"/>
        <v>0</v>
      </c>
      <c r="AA45">
        <f t="shared" si="15"/>
        <v>0</v>
      </c>
    </row>
    <row r="46" spans="2:27" x14ac:dyDescent="0.3">
      <c r="B46">
        <v>39</v>
      </c>
      <c r="C46" s="1">
        <v>40582</v>
      </c>
      <c r="D46">
        <v>1</v>
      </c>
      <c r="E46">
        <v>0</v>
      </c>
      <c r="F46">
        <v>2</v>
      </c>
      <c r="G46">
        <v>2</v>
      </c>
      <c r="H46">
        <v>1</v>
      </c>
      <c r="I46">
        <v>64</v>
      </c>
      <c r="J46">
        <v>1466</v>
      </c>
      <c r="K46" s="8">
        <v>1530</v>
      </c>
      <c r="L46" s="12">
        <v>9.9123000000000001</v>
      </c>
      <c r="M46" s="12">
        <v>53.791699999999999</v>
      </c>
      <c r="N46" s="12">
        <v>24.25065</v>
      </c>
      <c r="O46" s="13">
        <f t="shared" si="3"/>
        <v>-1.5364277155964201</v>
      </c>
      <c r="P46" s="6">
        <f t="shared" si="4"/>
        <v>-1.6954776697202889</v>
      </c>
      <c r="Q46" s="6">
        <f t="shared" si="5"/>
        <v>-0.6321648668360077</v>
      </c>
      <c r="R46" s="6">
        <f t="shared" si="6"/>
        <v>2.2140116576343081</v>
      </c>
      <c r="S46">
        <f t="shared" si="7"/>
        <v>0</v>
      </c>
      <c r="T46">
        <f t="shared" si="8"/>
        <v>1</v>
      </c>
      <c r="U46">
        <f t="shared" si="9"/>
        <v>0</v>
      </c>
      <c r="V46">
        <f t="shared" si="10"/>
        <v>0</v>
      </c>
      <c r="W46">
        <f t="shared" si="11"/>
        <v>0</v>
      </c>
      <c r="X46">
        <f t="shared" si="12"/>
        <v>0</v>
      </c>
      <c r="Y46">
        <f t="shared" si="13"/>
        <v>0</v>
      </c>
      <c r="Z46">
        <f t="shared" si="14"/>
        <v>0</v>
      </c>
      <c r="AA46">
        <f t="shared" si="15"/>
        <v>0</v>
      </c>
    </row>
    <row r="47" spans="2:27" x14ac:dyDescent="0.3">
      <c r="B47">
        <v>40</v>
      </c>
      <c r="C47" s="1">
        <v>40583</v>
      </c>
      <c r="D47">
        <v>1</v>
      </c>
      <c r="E47">
        <v>0</v>
      </c>
      <c r="F47">
        <v>2</v>
      </c>
      <c r="G47">
        <v>3</v>
      </c>
      <c r="H47">
        <v>2</v>
      </c>
      <c r="I47">
        <v>53</v>
      </c>
      <c r="J47">
        <v>1552</v>
      </c>
      <c r="K47" s="8">
        <v>1605</v>
      </c>
      <c r="L47" s="12">
        <v>7.2141500000000001</v>
      </c>
      <c r="M47" s="12">
        <v>49.478299999999997</v>
      </c>
      <c r="N47" s="12">
        <v>12.652213</v>
      </c>
      <c r="O47" s="13">
        <f t="shared" si="3"/>
        <v>-1.4976857640041352</v>
      </c>
      <c r="P47" s="6">
        <f t="shared" si="4"/>
        <v>-2.0268446176303776</v>
      </c>
      <c r="Q47" s="6">
        <f t="shared" si="5"/>
        <v>-0.9352176502779026</v>
      </c>
      <c r="R47" s="6">
        <f t="shared" si="6"/>
        <v>-2.1269480753933409E-2</v>
      </c>
      <c r="S47">
        <f t="shared" si="7"/>
        <v>0</v>
      </c>
      <c r="T47">
        <f t="shared" si="8"/>
        <v>0</v>
      </c>
      <c r="U47">
        <f t="shared" si="9"/>
        <v>1</v>
      </c>
      <c r="V47">
        <f t="shared" si="10"/>
        <v>0</v>
      </c>
      <c r="W47">
        <f t="shared" si="11"/>
        <v>0</v>
      </c>
      <c r="X47">
        <f t="shared" si="12"/>
        <v>0</v>
      </c>
      <c r="Y47">
        <f t="shared" si="13"/>
        <v>0</v>
      </c>
      <c r="Z47">
        <f t="shared" si="14"/>
        <v>0</v>
      </c>
      <c r="AA47">
        <f t="shared" si="15"/>
        <v>0</v>
      </c>
    </row>
    <row r="48" spans="2:27" x14ac:dyDescent="0.3">
      <c r="B48">
        <v>41</v>
      </c>
      <c r="C48" s="1">
        <v>40584</v>
      </c>
      <c r="D48">
        <v>1</v>
      </c>
      <c r="E48">
        <v>0</v>
      </c>
      <c r="F48">
        <v>2</v>
      </c>
      <c r="G48">
        <v>4</v>
      </c>
      <c r="H48">
        <v>1</v>
      </c>
      <c r="I48">
        <v>47</v>
      </c>
      <c r="J48">
        <v>1491</v>
      </c>
      <c r="K48" s="8">
        <v>1538</v>
      </c>
      <c r="L48" s="12">
        <v>7.4774000000000003</v>
      </c>
      <c r="M48" s="12">
        <v>43.739100000000001</v>
      </c>
      <c r="N48" s="12">
        <v>14.869645</v>
      </c>
      <c r="O48" s="13">
        <f t="shared" si="3"/>
        <v>-1.5322952407599097</v>
      </c>
      <c r="P48" s="6">
        <f t="shared" si="4"/>
        <v>-1.9945141878776469</v>
      </c>
      <c r="Q48" s="6">
        <f t="shared" si="5"/>
        <v>-1.3384449268415697</v>
      </c>
      <c r="R48" s="6">
        <f t="shared" si="6"/>
        <v>0.40607981857480507</v>
      </c>
      <c r="S48">
        <f t="shared" si="7"/>
        <v>0</v>
      </c>
      <c r="T48">
        <f t="shared" si="8"/>
        <v>0</v>
      </c>
      <c r="U48">
        <f t="shared" si="9"/>
        <v>0</v>
      </c>
      <c r="V48">
        <f t="shared" si="10"/>
        <v>1</v>
      </c>
      <c r="W48">
        <f t="shared" si="11"/>
        <v>0</v>
      </c>
      <c r="X48">
        <f t="shared" si="12"/>
        <v>0</v>
      </c>
      <c r="Y48">
        <f t="shared" si="13"/>
        <v>0</v>
      </c>
      <c r="Z48">
        <f t="shared" si="14"/>
        <v>0</v>
      </c>
      <c r="AA48">
        <f t="shared" si="15"/>
        <v>0</v>
      </c>
    </row>
    <row r="49" spans="2:27" x14ac:dyDescent="0.3">
      <c r="B49">
        <v>42</v>
      </c>
      <c r="C49" s="1">
        <v>40585</v>
      </c>
      <c r="D49">
        <v>1</v>
      </c>
      <c r="E49">
        <v>0</v>
      </c>
      <c r="F49">
        <v>2</v>
      </c>
      <c r="G49">
        <v>5</v>
      </c>
      <c r="H49">
        <v>1</v>
      </c>
      <c r="I49">
        <v>149</v>
      </c>
      <c r="J49">
        <v>1597</v>
      </c>
      <c r="K49" s="8">
        <v>1746</v>
      </c>
      <c r="L49" s="12">
        <v>10.67545</v>
      </c>
      <c r="M49" s="12">
        <v>50.636400000000002</v>
      </c>
      <c r="N49" s="12">
        <v>7.27285</v>
      </c>
      <c r="O49" s="13">
        <f t="shared" si="3"/>
        <v>-1.4248508950106398</v>
      </c>
      <c r="P49" s="6">
        <f t="shared" si="4"/>
        <v>-1.6017531969157435</v>
      </c>
      <c r="Q49" s="6">
        <f t="shared" si="5"/>
        <v>-0.85385134330334433</v>
      </c>
      <c r="R49" s="6">
        <f t="shared" si="6"/>
        <v>-1.0579943989858973</v>
      </c>
      <c r="S49">
        <f t="shared" si="7"/>
        <v>0</v>
      </c>
      <c r="T49">
        <f t="shared" si="8"/>
        <v>0</v>
      </c>
      <c r="U49">
        <f t="shared" si="9"/>
        <v>0</v>
      </c>
      <c r="V49">
        <f t="shared" si="10"/>
        <v>0</v>
      </c>
      <c r="W49">
        <f t="shared" si="11"/>
        <v>1</v>
      </c>
      <c r="X49">
        <f t="shared" si="12"/>
        <v>0</v>
      </c>
      <c r="Y49">
        <f t="shared" si="13"/>
        <v>0</v>
      </c>
      <c r="Z49">
        <f t="shared" si="14"/>
        <v>0</v>
      </c>
      <c r="AA49">
        <f t="shared" si="15"/>
        <v>0</v>
      </c>
    </row>
    <row r="50" spans="2:27" x14ac:dyDescent="0.3">
      <c r="B50">
        <v>43</v>
      </c>
      <c r="C50" s="1">
        <v>40586</v>
      </c>
      <c r="D50">
        <v>1</v>
      </c>
      <c r="E50">
        <v>0</v>
      </c>
      <c r="F50">
        <v>2</v>
      </c>
      <c r="G50">
        <v>6</v>
      </c>
      <c r="H50">
        <v>1</v>
      </c>
      <c r="I50">
        <v>288</v>
      </c>
      <c r="J50">
        <v>1184</v>
      </c>
      <c r="K50" s="8">
        <v>1472</v>
      </c>
      <c r="L50" s="12">
        <v>11.6477</v>
      </c>
      <c r="M50" s="12">
        <v>54.416699999999999</v>
      </c>
      <c r="N50" s="12">
        <v>13.625589</v>
      </c>
      <c r="O50" s="13">
        <f t="shared" si="3"/>
        <v>-1.5663881581611205</v>
      </c>
      <c r="P50" s="6">
        <f t="shared" si="4"/>
        <v>-1.4823485992819634</v>
      </c>
      <c r="Q50" s="6">
        <f t="shared" si="5"/>
        <v>-0.5882533377287642</v>
      </c>
      <c r="R50" s="6">
        <f t="shared" si="6"/>
        <v>0.16632208984819105</v>
      </c>
      <c r="S50">
        <f t="shared" si="7"/>
        <v>0</v>
      </c>
      <c r="T50">
        <f t="shared" si="8"/>
        <v>0</v>
      </c>
      <c r="U50">
        <f t="shared" si="9"/>
        <v>0</v>
      </c>
      <c r="V50">
        <f t="shared" si="10"/>
        <v>0</v>
      </c>
      <c r="W50">
        <f t="shared" si="11"/>
        <v>0</v>
      </c>
      <c r="X50">
        <f t="shared" si="12"/>
        <v>0</v>
      </c>
      <c r="Y50">
        <f t="shared" si="13"/>
        <v>0</v>
      </c>
      <c r="Z50">
        <f t="shared" si="14"/>
        <v>0</v>
      </c>
      <c r="AA50">
        <f t="shared" si="15"/>
        <v>0</v>
      </c>
    </row>
    <row r="51" spans="2:27" x14ac:dyDescent="0.3">
      <c r="B51">
        <v>44</v>
      </c>
      <c r="C51" s="1">
        <v>40587</v>
      </c>
      <c r="D51">
        <v>1</v>
      </c>
      <c r="E51">
        <v>0</v>
      </c>
      <c r="F51">
        <v>2</v>
      </c>
      <c r="G51">
        <v>0</v>
      </c>
      <c r="H51">
        <v>1</v>
      </c>
      <c r="I51">
        <v>397</v>
      </c>
      <c r="J51">
        <v>1192</v>
      </c>
      <c r="K51" s="8">
        <v>1589</v>
      </c>
      <c r="L51" s="12">
        <v>16.205649999999999</v>
      </c>
      <c r="M51" s="12">
        <v>45.739100000000001</v>
      </c>
      <c r="N51" s="12">
        <v>17.479161000000001</v>
      </c>
      <c r="O51" s="13">
        <f t="shared" si="3"/>
        <v>-1.5059507136771562</v>
      </c>
      <c r="P51" s="6">
        <f t="shared" si="4"/>
        <v>-0.92257468744355986</v>
      </c>
      <c r="Q51" s="6">
        <f t="shared" si="5"/>
        <v>-1.1979280336983904</v>
      </c>
      <c r="R51" s="6">
        <f t="shared" si="6"/>
        <v>0.90899257269178935</v>
      </c>
      <c r="S51">
        <f t="shared" si="7"/>
        <v>0</v>
      </c>
      <c r="T51">
        <f t="shared" si="8"/>
        <v>0</v>
      </c>
      <c r="U51">
        <f t="shared" si="9"/>
        <v>0</v>
      </c>
      <c r="V51">
        <f t="shared" si="10"/>
        <v>0</v>
      </c>
      <c r="W51">
        <f t="shared" si="11"/>
        <v>0</v>
      </c>
      <c r="X51">
        <f t="shared" si="12"/>
        <v>0</v>
      </c>
      <c r="Y51">
        <f t="shared" si="13"/>
        <v>0</v>
      </c>
      <c r="Z51">
        <f t="shared" si="14"/>
        <v>0</v>
      </c>
      <c r="AA51">
        <f t="shared" si="15"/>
        <v>0</v>
      </c>
    </row>
    <row r="52" spans="2:27" x14ac:dyDescent="0.3">
      <c r="B52">
        <v>45</v>
      </c>
      <c r="C52" s="1">
        <v>40588</v>
      </c>
      <c r="D52">
        <v>1</v>
      </c>
      <c r="E52">
        <v>0</v>
      </c>
      <c r="F52">
        <v>2</v>
      </c>
      <c r="G52">
        <v>1</v>
      </c>
      <c r="H52">
        <v>1</v>
      </c>
      <c r="I52">
        <v>208</v>
      </c>
      <c r="J52">
        <v>1705</v>
      </c>
      <c r="K52" s="8">
        <v>1913</v>
      </c>
      <c r="L52" s="12">
        <v>19.9175</v>
      </c>
      <c r="M52" s="12">
        <v>37.583300000000001</v>
      </c>
      <c r="N52" s="12">
        <v>27.999835999999998</v>
      </c>
      <c r="O52" s="13">
        <f t="shared" si="3"/>
        <v>-1.3385854827984855</v>
      </c>
      <c r="P52" s="6">
        <f t="shared" si="4"/>
        <v>-0.46671255761383817</v>
      </c>
      <c r="Q52" s="6">
        <f t="shared" si="5"/>
        <v>-1.7709418722469614</v>
      </c>
      <c r="R52" s="6">
        <f t="shared" si="6"/>
        <v>2.9365645973199959</v>
      </c>
      <c r="S52">
        <f t="shared" si="7"/>
        <v>1</v>
      </c>
      <c r="T52">
        <f t="shared" si="8"/>
        <v>0</v>
      </c>
      <c r="U52">
        <f t="shared" si="9"/>
        <v>0</v>
      </c>
      <c r="V52">
        <f t="shared" si="10"/>
        <v>0</v>
      </c>
      <c r="W52">
        <f t="shared" si="11"/>
        <v>0</v>
      </c>
      <c r="X52">
        <f t="shared" si="12"/>
        <v>0</v>
      </c>
      <c r="Y52">
        <f t="shared" si="13"/>
        <v>0</v>
      </c>
      <c r="Z52">
        <f t="shared" si="14"/>
        <v>0</v>
      </c>
      <c r="AA52">
        <f t="shared" si="15"/>
        <v>0</v>
      </c>
    </row>
    <row r="53" spans="2:27" x14ac:dyDescent="0.3">
      <c r="B53">
        <v>46</v>
      </c>
      <c r="C53" s="1">
        <v>40589</v>
      </c>
      <c r="D53">
        <v>1</v>
      </c>
      <c r="E53">
        <v>0</v>
      </c>
      <c r="F53">
        <v>2</v>
      </c>
      <c r="G53">
        <v>2</v>
      </c>
      <c r="H53">
        <v>1</v>
      </c>
      <c r="I53">
        <v>140</v>
      </c>
      <c r="J53">
        <v>1675</v>
      </c>
      <c r="K53" s="8">
        <v>1815</v>
      </c>
      <c r="L53" s="12">
        <v>12.713699999999999</v>
      </c>
      <c r="M53" s="12">
        <v>31.434799999999999</v>
      </c>
      <c r="N53" s="12">
        <v>19.522058000000001</v>
      </c>
      <c r="O53" s="13">
        <f t="shared" si="3"/>
        <v>-1.3892082995457378</v>
      </c>
      <c r="P53" s="6">
        <f t="shared" si="4"/>
        <v>-1.3514303158388064</v>
      </c>
      <c r="Q53" s="6">
        <f t="shared" si="5"/>
        <v>-2.2029259309923805</v>
      </c>
      <c r="R53" s="6">
        <f t="shared" si="6"/>
        <v>1.3027050299625338</v>
      </c>
      <c r="S53">
        <f t="shared" si="7"/>
        <v>0</v>
      </c>
      <c r="T53">
        <f t="shared" si="8"/>
        <v>1</v>
      </c>
      <c r="U53">
        <f t="shared" si="9"/>
        <v>0</v>
      </c>
      <c r="V53">
        <f t="shared" si="10"/>
        <v>0</v>
      </c>
      <c r="W53">
        <f t="shared" si="11"/>
        <v>0</v>
      </c>
      <c r="X53">
        <f t="shared" si="12"/>
        <v>0</v>
      </c>
      <c r="Y53">
        <f t="shared" si="13"/>
        <v>0</v>
      </c>
      <c r="Z53">
        <f t="shared" si="14"/>
        <v>0</v>
      </c>
      <c r="AA53">
        <f t="shared" si="15"/>
        <v>0</v>
      </c>
    </row>
    <row r="54" spans="2:27" x14ac:dyDescent="0.3">
      <c r="B54">
        <v>47</v>
      </c>
      <c r="C54" s="1">
        <v>40590</v>
      </c>
      <c r="D54">
        <v>1</v>
      </c>
      <c r="E54">
        <v>0</v>
      </c>
      <c r="F54">
        <v>2</v>
      </c>
      <c r="G54">
        <v>3</v>
      </c>
      <c r="H54">
        <v>1</v>
      </c>
      <c r="I54">
        <v>218</v>
      </c>
      <c r="J54">
        <v>1897</v>
      </c>
      <c r="K54" s="8">
        <v>2115</v>
      </c>
      <c r="L54" s="12">
        <v>15.81</v>
      </c>
      <c r="M54" s="12">
        <v>42.347799999999999</v>
      </c>
      <c r="N54" s="12">
        <v>16.869997000000001</v>
      </c>
      <c r="O54" s="13">
        <f t="shared" si="3"/>
        <v>-1.2342404931765985</v>
      </c>
      <c r="P54" s="6">
        <f t="shared" si="4"/>
        <v>-0.97116551187534683</v>
      </c>
      <c r="Q54" s="6">
        <f t="shared" si="5"/>
        <v>-1.4361955035566225</v>
      </c>
      <c r="R54" s="6">
        <f t="shared" si="6"/>
        <v>0.79159289208093331</v>
      </c>
      <c r="S54">
        <f t="shared" si="7"/>
        <v>0</v>
      </c>
      <c r="T54">
        <f t="shared" si="8"/>
        <v>0</v>
      </c>
      <c r="U54">
        <f t="shared" si="9"/>
        <v>1</v>
      </c>
      <c r="V54">
        <f t="shared" si="10"/>
        <v>0</v>
      </c>
      <c r="W54">
        <f t="shared" si="11"/>
        <v>0</v>
      </c>
      <c r="X54">
        <f t="shared" si="12"/>
        <v>0</v>
      </c>
      <c r="Y54">
        <f t="shared" si="13"/>
        <v>0</v>
      </c>
      <c r="Z54">
        <f t="shared" si="14"/>
        <v>0</v>
      </c>
      <c r="AA54">
        <f t="shared" si="15"/>
        <v>0</v>
      </c>
    </row>
    <row r="55" spans="2:27" x14ac:dyDescent="0.3">
      <c r="B55">
        <v>48</v>
      </c>
      <c r="C55" s="1">
        <v>40591</v>
      </c>
      <c r="D55">
        <v>1</v>
      </c>
      <c r="E55">
        <v>0</v>
      </c>
      <c r="F55">
        <v>2</v>
      </c>
      <c r="G55">
        <v>4</v>
      </c>
      <c r="H55">
        <v>1</v>
      </c>
      <c r="I55">
        <v>259</v>
      </c>
      <c r="J55">
        <v>2216</v>
      </c>
      <c r="K55" s="8">
        <v>2475</v>
      </c>
      <c r="L55" s="12">
        <v>21.4329</v>
      </c>
      <c r="M55" s="12">
        <v>50.5</v>
      </c>
      <c r="N55" s="12">
        <v>15.416968000000001</v>
      </c>
      <c r="O55" s="13">
        <f t="shared" si="3"/>
        <v>-1.0482791255336312</v>
      </c>
      <c r="P55" s="6">
        <f t="shared" si="4"/>
        <v>-0.28060226987485098</v>
      </c>
      <c r="Q55" s="6">
        <f t="shared" si="5"/>
        <v>-0.86343459541570933</v>
      </c>
      <c r="R55" s="6">
        <f t="shared" si="6"/>
        <v>0.51156133979236817</v>
      </c>
      <c r="S55">
        <f t="shared" si="7"/>
        <v>0</v>
      </c>
      <c r="T55">
        <f t="shared" si="8"/>
        <v>0</v>
      </c>
      <c r="U55">
        <f t="shared" si="9"/>
        <v>0</v>
      </c>
      <c r="V55">
        <f t="shared" si="10"/>
        <v>1</v>
      </c>
      <c r="W55">
        <f t="shared" si="11"/>
        <v>0</v>
      </c>
      <c r="X55">
        <f t="shared" si="12"/>
        <v>0</v>
      </c>
      <c r="Y55">
        <f t="shared" si="13"/>
        <v>0</v>
      </c>
      <c r="Z55">
        <f t="shared" si="14"/>
        <v>0</v>
      </c>
      <c r="AA55">
        <f t="shared" si="15"/>
        <v>0</v>
      </c>
    </row>
    <row r="56" spans="2:27" x14ac:dyDescent="0.3">
      <c r="B56">
        <v>49</v>
      </c>
      <c r="C56" s="1">
        <v>40592</v>
      </c>
      <c r="D56">
        <v>1</v>
      </c>
      <c r="E56">
        <v>0</v>
      </c>
      <c r="F56">
        <v>2</v>
      </c>
      <c r="G56">
        <v>5</v>
      </c>
      <c r="H56">
        <v>1</v>
      </c>
      <c r="I56">
        <v>579</v>
      </c>
      <c r="J56">
        <v>2348</v>
      </c>
      <c r="K56" s="8">
        <v>2927</v>
      </c>
      <c r="L56" s="12">
        <v>25.599150000000002</v>
      </c>
      <c r="M56" s="12">
        <v>51.666699999999999</v>
      </c>
      <c r="N56" s="12">
        <v>17.749974999999999</v>
      </c>
      <c r="O56" s="13">
        <f t="shared" si="3"/>
        <v>-0.81479429727079444</v>
      </c>
      <c r="P56" s="6">
        <f t="shared" si="4"/>
        <v>0.23106592749386748</v>
      </c>
      <c r="Q56" s="6">
        <f t="shared" si="5"/>
        <v>-0.78146406580063577</v>
      </c>
      <c r="R56" s="6">
        <f t="shared" si="6"/>
        <v>0.96118455564703309</v>
      </c>
      <c r="S56">
        <f t="shared" si="7"/>
        <v>0</v>
      </c>
      <c r="T56">
        <f t="shared" si="8"/>
        <v>0</v>
      </c>
      <c r="U56">
        <f t="shared" si="9"/>
        <v>0</v>
      </c>
      <c r="V56">
        <f t="shared" si="10"/>
        <v>0</v>
      </c>
      <c r="W56">
        <f t="shared" si="11"/>
        <v>1</v>
      </c>
      <c r="X56">
        <f t="shared" si="12"/>
        <v>0</v>
      </c>
      <c r="Y56">
        <f t="shared" si="13"/>
        <v>0</v>
      </c>
      <c r="Z56">
        <f t="shared" si="14"/>
        <v>0</v>
      </c>
      <c r="AA56">
        <f t="shared" si="15"/>
        <v>0</v>
      </c>
    </row>
    <row r="57" spans="2:27" x14ac:dyDescent="0.3">
      <c r="B57">
        <v>50</v>
      </c>
      <c r="C57" s="1">
        <v>40593</v>
      </c>
      <c r="D57">
        <v>1</v>
      </c>
      <c r="E57">
        <v>0</v>
      </c>
      <c r="F57">
        <v>2</v>
      </c>
      <c r="G57">
        <v>6</v>
      </c>
      <c r="H57">
        <v>1</v>
      </c>
      <c r="I57">
        <v>532</v>
      </c>
      <c r="J57">
        <v>1103</v>
      </c>
      <c r="K57" s="8">
        <v>1635</v>
      </c>
      <c r="L57" s="12">
        <v>19.5702</v>
      </c>
      <c r="M57" s="12">
        <v>18.791699999999999</v>
      </c>
      <c r="N57" s="12">
        <v>34.000020999999997</v>
      </c>
      <c r="O57" s="13">
        <f t="shared" si="3"/>
        <v>-1.4821889833672215</v>
      </c>
      <c r="P57" s="6">
        <f t="shared" si="4"/>
        <v>-0.50936539048420271</v>
      </c>
      <c r="Q57" s="6">
        <f t="shared" si="5"/>
        <v>-3.0912104968416458</v>
      </c>
      <c r="R57" s="6">
        <f t="shared" si="6"/>
        <v>4.092935956438474</v>
      </c>
      <c r="S57">
        <f t="shared" si="7"/>
        <v>0</v>
      </c>
      <c r="T57">
        <f t="shared" si="8"/>
        <v>0</v>
      </c>
      <c r="U57">
        <f t="shared" si="9"/>
        <v>0</v>
      </c>
      <c r="V57">
        <f t="shared" si="10"/>
        <v>0</v>
      </c>
      <c r="W57">
        <f t="shared" si="11"/>
        <v>0</v>
      </c>
      <c r="X57">
        <f t="shared" si="12"/>
        <v>0</v>
      </c>
      <c r="Y57">
        <f t="shared" si="13"/>
        <v>0</v>
      </c>
      <c r="Z57">
        <f t="shared" si="14"/>
        <v>0</v>
      </c>
      <c r="AA57">
        <f t="shared" si="15"/>
        <v>0</v>
      </c>
    </row>
    <row r="58" spans="2:27" x14ac:dyDescent="0.3">
      <c r="B58">
        <v>51</v>
      </c>
      <c r="C58" s="1">
        <v>40594</v>
      </c>
      <c r="D58">
        <v>1</v>
      </c>
      <c r="E58">
        <v>0</v>
      </c>
      <c r="F58">
        <v>2</v>
      </c>
      <c r="G58">
        <v>0</v>
      </c>
      <c r="H58">
        <v>1</v>
      </c>
      <c r="I58">
        <v>639</v>
      </c>
      <c r="J58">
        <v>1173</v>
      </c>
      <c r="K58" s="8">
        <v>1812</v>
      </c>
      <c r="L58" s="12">
        <v>13.8665</v>
      </c>
      <c r="M58" s="12">
        <v>40.782600000000002</v>
      </c>
      <c r="N58" s="12">
        <v>14.956745</v>
      </c>
      <c r="O58" s="13">
        <f t="shared" si="3"/>
        <v>-1.3907579776094292</v>
      </c>
      <c r="P58" s="6">
        <f t="shared" si="4"/>
        <v>-1.2098518944942738</v>
      </c>
      <c r="Q58" s="6">
        <f t="shared" si="5"/>
        <v>-1.5461640241304746</v>
      </c>
      <c r="R58" s="6">
        <f t="shared" si="6"/>
        <v>0.42286595856535852</v>
      </c>
      <c r="S58">
        <f t="shared" si="7"/>
        <v>0</v>
      </c>
      <c r="T58">
        <f t="shared" si="8"/>
        <v>0</v>
      </c>
      <c r="U58">
        <f t="shared" si="9"/>
        <v>0</v>
      </c>
      <c r="V58">
        <f t="shared" si="10"/>
        <v>0</v>
      </c>
      <c r="W58">
        <f t="shared" si="11"/>
        <v>0</v>
      </c>
      <c r="X58">
        <f t="shared" si="12"/>
        <v>0</v>
      </c>
      <c r="Y58">
        <f t="shared" si="13"/>
        <v>0</v>
      </c>
      <c r="Z58">
        <f t="shared" si="14"/>
        <v>0</v>
      </c>
      <c r="AA58">
        <f t="shared" si="15"/>
        <v>0</v>
      </c>
    </row>
    <row r="59" spans="2:27" x14ac:dyDescent="0.3">
      <c r="B59">
        <v>52</v>
      </c>
      <c r="C59" s="1">
        <v>40595</v>
      </c>
      <c r="D59">
        <v>1</v>
      </c>
      <c r="E59">
        <v>0</v>
      </c>
      <c r="F59">
        <v>2</v>
      </c>
      <c r="G59">
        <v>1</v>
      </c>
      <c r="H59">
        <v>2</v>
      </c>
      <c r="I59">
        <v>195</v>
      </c>
      <c r="J59">
        <v>912</v>
      </c>
      <c r="K59" s="8">
        <v>1107</v>
      </c>
      <c r="L59" s="12">
        <v>14.203749999999999</v>
      </c>
      <c r="M59" s="12">
        <v>60.5</v>
      </c>
      <c r="N59" s="12">
        <v>20.625682000000001</v>
      </c>
      <c r="O59" s="13">
        <f t="shared" si="3"/>
        <v>-1.7549323225769067</v>
      </c>
      <c r="P59" s="6">
        <f t="shared" si="4"/>
        <v>-1.1684333287426745</v>
      </c>
      <c r="Q59" s="6">
        <f t="shared" si="5"/>
        <v>-0.16085012969981269</v>
      </c>
      <c r="R59" s="6">
        <f t="shared" si="6"/>
        <v>1.5153983360582246</v>
      </c>
      <c r="S59">
        <f t="shared" si="7"/>
        <v>1</v>
      </c>
      <c r="T59">
        <f t="shared" si="8"/>
        <v>0</v>
      </c>
      <c r="U59">
        <f t="shared" si="9"/>
        <v>0</v>
      </c>
      <c r="V59">
        <f t="shared" si="10"/>
        <v>0</v>
      </c>
      <c r="W59">
        <f t="shared" si="11"/>
        <v>0</v>
      </c>
      <c r="X59">
        <f t="shared" si="12"/>
        <v>0</v>
      </c>
      <c r="Y59">
        <f t="shared" si="13"/>
        <v>0</v>
      </c>
      <c r="Z59">
        <f t="shared" si="14"/>
        <v>0</v>
      </c>
      <c r="AA59">
        <f t="shared" si="15"/>
        <v>0</v>
      </c>
    </row>
    <row r="60" spans="2:27" x14ac:dyDescent="0.3">
      <c r="B60">
        <v>53</v>
      </c>
      <c r="C60" s="1">
        <v>40596</v>
      </c>
      <c r="D60">
        <v>1</v>
      </c>
      <c r="E60">
        <v>0</v>
      </c>
      <c r="F60">
        <v>2</v>
      </c>
      <c r="G60">
        <v>2</v>
      </c>
      <c r="H60">
        <v>1</v>
      </c>
      <c r="I60">
        <v>74</v>
      </c>
      <c r="J60">
        <v>1376</v>
      </c>
      <c r="K60" s="8">
        <v>1450</v>
      </c>
      <c r="L60" s="12">
        <v>9.3016500000000004</v>
      </c>
      <c r="M60" s="12">
        <v>57.777799999999999</v>
      </c>
      <c r="N60" s="12">
        <v>13.110761</v>
      </c>
      <c r="O60" s="13">
        <f t="shared" si="3"/>
        <v>-1.5777524639615239</v>
      </c>
      <c r="P60" s="6">
        <f t="shared" si="4"/>
        <v>-1.7704732136082475</v>
      </c>
      <c r="Q60" s="6">
        <f t="shared" si="5"/>
        <v>-0.35210767295699413</v>
      </c>
      <c r="R60" s="6">
        <f t="shared" si="6"/>
        <v>6.7103090088642375E-2</v>
      </c>
      <c r="S60">
        <f t="shared" si="7"/>
        <v>0</v>
      </c>
      <c r="T60">
        <f t="shared" si="8"/>
        <v>1</v>
      </c>
      <c r="U60">
        <f t="shared" si="9"/>
        <v>0</v>
      </c>
      <c r="V60">
        <f t="shared" si="10"/>
        <v>0</v>
      </c>
      <c r="W60">
        <f t="shared" si="11"/>
        <v>0</v>
      </c>
      <c r="X60">
        <f t="shared" si="12"/>
        <v>0</v>
      </c>
      <c r="Y60">
        <f t="shared" si="13"/>
        <v>0</v>
      </c>
      <c r="Z60">
        <f t="shared" si="14"/>
        <v>0</v>
      </c>
      <c r="AA60">
        <f t="shared" si="15"/>
        <v>0</v>
      </c>
    </row>
    <row r="61" spans="2:27" x14ac:dyDescent="0.3">
      <c r="B61">
        <v>54</v>
      </c>
      <c r="C61" s="1">
        <v>40597</v>
      </c>
      <c r="D61">
        <v>1</v>
      </c>
      <c r="E61">
        <v>0</v>
      </c>
      <c r="F61">
        <v>2</v>
      </c>
      <c r="G61">
        <v>3</v>
      </c>
      <c r="H61">
        <v>1</v>
      </c>
      <c r="I61">
        <v>139</v>
      </c>
      <c r="J61">
        <v>1778</v>
      </c>
      <c r="K61" s="8">
        <v>1917</v>
      </c>
      <c r="L61" s="12">
        <v>12.28585</v>
      </c>
      <c r="M61" s="12">
        <v>42.304299999999998</v>
      </c>
      <c r="N61" s="12">
        <v>6.3055709999999996</v>
      </c>
      <c r="O61" s="13">
        <f t="shared" si="3"/>
        <v>-1.3365192453802304</v>
      </c>
      <c r="P61" s="6">
        <f t="shared" si="4"/>
        <v>-1.4039757075565875</v>
      </c>
      <c r="Q61" s="6">
        <f t="shared" si="5"/>
        <v>-1.4392517459824867</v>
      </c>
      <c r="R61" s="6">
        <f t="shared" si="6"/>
        <v>-1.2444109397886831</v>
      </c>
      <c r="S61">
        <f t="shared" si="7"/>
        <v>0</v>
      </c>
      <c r="T61">
        <f t="shared" si="8"/>
        <v>0</v>
      </c>
      <c r="U61">
        <f t="shared" si="9"/>
        <v>1</v>
      </c>
      <c r="V61">
        <f t="shared" si="10"/>
        <v>0</v>
      </c>
      <c r="W61">
        <f t="shared" si="11"/>
        <v>0</v>
      </c>
      <c r="X61">
        <f t="shared" si="12"/>
        <v>0</v>
      </c>
      <c r="Y61">
        <f t="shared" si="13"/>
        <v>0</v>
      </c>
      <c r="Z61">
        <f t="shared" si="14"/>
        <v>0</v>
      </c>
      <c r="AA61">
        <f t="shared" si="15"/>
        <v>0</v>
      </c>
    </row>
    <row r="62" spans="2:27" x14ac:dyDescent="0.3">
      <c r="B62">
        <v>55</v>
      </c>
      <c r="C62" s="1">
        <v>40598</v>
      </c>
      <c r="D62">
        <v>1</v>
      </c>
      <c r="E62">
        <v>0</v>
      </c>
      <c r="F62">
        <v>2</v>
      </c>
      <c r="G62">
        <v>4</v>
      </c>
      <c r="H62">
        <v>2</v>
      </c>
      <c r="I62">
        <v>100</v>
      </c>
      <c r="J62">
        <v>1707</v>
      </c>
      <c r="K62" s="8">
        <v>1807</v>
      </c>
      <c r="L62" s="12">
        <v>14.45955</v>
      </c>
      <c r="M62" s="12">
        <v>69.739099999999993</v>
      </c>
      <c r="N62" s="12">
        <v>16.783232000000002</v>
      </c>
      <c r="O62" s="13">
        <f t="shared" si="3"/>
        <v>-1.3933407743822481</v>
      </c>
      <c r="P62" s="6">
        <f t="shared" si="4"/>
        <v>-1.1370178532222621</v>
      </c>
      <c r="Q62" s="6">
        <f t="shared" si="5"/>
        <v>0.48827468401976087</v>
      </c>
      <c r="R62" s="6">
        <f t="shared" si="6"/>
        <v>0.77487131416726662</v>
      </c>
      <c r="S62">
        <f t="shared" si="7"/>
        <v>0</v>
      </c>
      <c r="T62">
        <f t="shared" si="8"/>
        <v>0</v>
      </c>
      <c r="U62">
        <f t="shared" si="9"/>
        <v>0</v>
      </c>
      <c r="V62">
        <f t="shared" si="10"/>
        <v>1</v>
      </c>
      <c r="W62">
        <f t="shared" si="11"/>
        <v>0</v>
      </c>
      <c r="X62">
        <f t="shared" si="12"/>
        <v>0</v>
      </c>
      <c r="Y62">
        <f t="shared" si="13"/>
        <v>0</v>
      </c>
      <c r="Z62">
        <f t="shared" si="14"/>
        <v>0</v>
      </c>
      <c r="AA62">
        <f t="shared" si="15"/>
        <v>0</v>
      </c>
    </row>
    <row r="63" spans="2:27" x14ac:dyDescent="0.3">
      <c r="B63">
        <v>56</v>
      </c>
      <c r="C63" s="1">
        <v>40599</v>
      </c>
      <c r="D63">
        <v>1</v>
      </c>
      <c r="E63">
        <v>0</v>
      </c>
      <c r="F63">
        <v>2</v>
      </c>
      <c r="G63">
        <v>5</v>
      </c>
      <c r="H63">
        <v>2</v>
      </c>
      <c r="I63">
        <v>120</v>
      </c>
      <c r="J63">
        <v>1341</v>
      </c>
      <c r="K63" s="8">
        <v>1461</v>
      </c>
      <c r="L63" s="12">
        <v>17.523050000000001</v>
      </c>
      <c r="M63" s="12">
        <v>71.217399999999998</v>
      </c>
      <c r="N63" s="12">
        <v>23.218112999999999</v>
      </c>
      <c r="O63" s="13">
        <f t="shared" si="3"/>
        <v>-1.5720703110613223</v>
      </c>
      <c r="P63" s="6">
        <f t="shared" si="4"/>
        <v>-0.76078130413397671</v>
      </c>
      <c r="Q63" s="6">
        <f t="shared" si="5"/>
        <v>0.5921377455865422</v>
      </c>
      <c r="R63" s="6">
        <f t="shared" si="6"/>
        <v>2.0150184242539844</v>
      </c>
      <c r="S63">
        <f t="shared" si="7"/>
        <v>0</v>
      </c>
      <c r="T63">
        <f t="shared" si="8"/>
        <v>0</v>
      </c>
      <c r="U63">
        <f t="shared" si="9"/>
        <v>0</v>
      </c>
      <c r="V63">
        <f t="shared" si="10"/>
        <v>0</v>
      </c>
      <c r="W63">
        <f t="shared" si="11"/>
        <v>1</v>
      </c>
      <c r="X63">
        <f t="shared" si="12"/>
        <v>0</v>
      </c>
      <c r="Y63">
        <f t="shared" si="13"/>
        <v>0</v>
      </c>
      <c r="Z63">
        <f t="shared" si="14"/>
        <v>0</v>
      </c>
      <c r="AA63">
        <f t="shared" si="15"/>
        <v>0</v>
      </c>
    </row>
    <row r="64" spans="2:27" x14ac:dyDescent="0.3">
      <c r="B64">
        <v>57</v>
      </c>
      <c r="C64" s="1">
        <v>40600</v>
      </c>
      <c r="D64">
        <v>1</v>
      </c>
      <c r="E64">
        <v>0</v>
      </c>
      <c r="F64">
        <v>2</v>
      </c>
      <c r="G64">
        <v>6</v>
      </c>
      <c r="H64">
        <v>1</v>
      </c>
      <c r="I64">
        <v>424</v>
      </c>
      <c r="J64">
        <v>1545</v>
      </c>
      <c r="K64" s="8">
        <v>1969</v>
      </c>
      <c r="L64" s="12">
        <v>14.1096</v>
      </c>
      <c r="M64" s="12">
        <v>53.791699999999999</v>
      </c>
      <c r="N64" s="12">
        <v>12.500257</v>
      </c>
      <c r="O64" s="13">
        <f t="shared" si="3"/>
        <v>-1.3096581589429128</v>
      </c>
      <c r="P64" s="6">
        <f t="shared" si="4"/>
        <v>-1.1799961396115048</v>
      </c>
      <c r="Q64" s="6">
        <f t="shared" si="5"/>
        <v>-0.6321648668360077</v>
      </c>
      <c r="R64" s="6">
        <f t="shared" si="6"/>
        <v>-5.0554838829760695E-2</v>
      </c>
      <c r="S64">
        <f t="shared" si="7"/>
        <v>0</v>
      </c>
      <c r="T64">
        <f t="shared" si="8"/>
        <v>0</v>
      </c>
      <c r="U64">
        <f t="shared" si="9"/>
        <v>0</v>
      </c>
      <c r="V64">
        <f t="shared" si="10"/>
        <v>0</v>
      </c>
      <c r="W64">
        <f t="shared" si="11"/>
        <v>0</v>
      </c>
      <c r="X64">
        <f t="shared" si="12"/>
        <v>0</v>
      </c>
      <c r="Y64">
        <f t="shared" si="13"/>
        <v>0</v>
      </c>
      <c r="Z64">
        <f t="shared" si="14"/>
        <v>0</v>
      </c>
      <c r="AA64">
        <f t="shared" si="15"/>
        <v>0</v>
      </c>
    </row>
    <row r="65" spans="2:27" x14ac:dyDescent="0.3">
      <c r="B65">
        <v>58</v>
      </c>
      <c r="C65" s="1">
        <v>40601</v>
      </c>
      <c r="D65">
        <v>1</v>
      </c>
      <c r="E65">
        <v>0</v>
      </c>
      <c r="F65">
        <v>2</v>
      </c>
      <c r="G65">
        <v>0</v>
      </c>
      <c r="H65">
        <v>1</v>
      </c>
      <c r="I65">
        <v>694</v>
      </c>
      <c r="J65">
        <v>1708</v>
      </c>
      <c r="K65" s="8">
        <v>2402</v>
      </c>
      <c r="L65" s="12">
        <v>17.55545</v>
      </c>
      <c r="M65" s="12">
        <v>68</v>
      </c>
      <c r="N65" s="12">
        <v>8.3916160000000009</v>
      </c>
      <c r="O65" s="13">
        <f t="shared" si="3"/>
        <v>-1.0859879584167884</v>
      </c>
      <c r="P65" s="6">
        <f t="shared" si="4"/>
        <v>-0.75680217431825603</v>
      </c>
      <c r="Q65" s="6">
        <f t="shared" si="5"/>
        <v>0.36608821958710974</v>
      </c>
      <c r="R65" s="6">
        <f t="shared" si="6"/>
        <v>-0.84238288701492559</v>
      </c>
      <c r="S65">
        <f t="shared" si="7"/>
        <v>0</v>
      </c>
      <c r="T65">
        <f t="shared" si="8"/>
        <v>0</v>
      </c>
      <c r="U65">
        <f t="shared" si="9"/>
        <v>0</v>
      </c>
      <c r="V65">
        <f t="shared" si="10"/>
        <v>0</v>
      </c>
      <c r="W65">
        <f t="shared" si="11"/>
        <v>0</v>
      </c>
      <c r="X65">
        <f t="shared" si="12"/>
        <v>0</v>
      </c>
      <c r="Y65">
        <f t="shared" si="13"/>
        <v>0</v>
      </c>
      <c r="Z65">
        <f t="shared" si="14"/>
        <v>0</v>
      </c>
      <c r="AA65">
        <f t="shared" si="15"/>
        <v>0</v>
      </c>
    </row>
    <row r="66" spans="2:27" x14ac:dyDescent="0.3">
      <c r="B66">
        <v>59</v>
      </c>
      <c r="C66" s="1">
        <v>40602</v>
      </c>
      <c r="D66">
        <v>1</v>
      </c>
      <c r="E66">
        <v>0</v>
      </c>
      <c r="F66">
        <v>2</v>
      </c>
      <c r="G66">
        <v>1</v>
      </c>
      <c r="H66">
        <v>2</v>
      </c>
      <c r="I66">
        <v>81</v>
      </c>
      <c r="J66">
        <v>1365</v>
      </c>
      <c r="K66" s="8">
        <v>1446</v>
      </c>
      <c r="L66" s="12">
        <v>20.0059</v>
      </c>
      <c r="M66" s="12">
        <v>87.636399999999995</v>
      </c>
      <c r="N66" s="12">
        <v>19.408961999999999</v>
      </c>
      <c r="O66" s="13">
        <f t="shared" si="3"/>
        <v>-1.5798187013797793</v>
      </c>
      <c r="P66" s="6">
        <f t="shared" si="4"/>
        <v>-0.45585591947464954</v>
      </c>
      <c r="Q66" s="6">
        <f t="shared" si="5"/>
        <v>1.7457111798454725</v>
      </c>
      <c r="R66" s="6">
        <f t="shared" si="6"/>
        <v>1.2809088728055684</v>
      </c>
      <c r="S66">
        <f t="shared" si="7"/>
        <v>1</v>
      </c>
      <c r="T66">
        <f t="shared" si="8"/>
        <v>0</v>
      </c>
      <c r="U66">
        <f t="shared" si="9"/>
        <v>0</v>
      </c>
      <c r="V66">
        <f t="shared" si="10"/>
        <v>0</v>
      </c>
      <c r="W66">
        <f t="shared" si="11"/>
        <v>0</v>
      </c>
      <c r="X66">
        <f t="shared" si="12"/>
        <v>0</v>
      </c>
      <c r="Y66">
        <f t="shared" si="13"/>
        <v>0</v>
      </c>
      <c r="Z66">
        <f t="shared" si="14"/>
        <v>0</v>
      </c>
      <c r="AA66">
        <f t="shared" si="15"/>
        <v>0</v>
      </c>
    </row>
    <row r="67" spans="2:27" x14ac:dyDescent="0.3">
      <c r="B67">
        <v>60</v>
      </c>
      <c r="C67" s="1">
        <v>40603</v>
      </c>
      <c r="D67">
        <v>1</v>
      </c>
      <c r="E67">
        <v>0</v>
      </c>
      <c r="F67">
        <v>3</v>
      </c>
      <c r="G67">
        <v>2</v>
      </c>
      <c r="H67">
        <v>1</v>
      </c>
      <c r="I67">
        <v>137</v>
      </c>
      <c r="J67">
        <v>1714</v>
      </c>
      <c r="K67" s="8">
        <v>1851</v>
      </c>
      <c r="L67" s="12">
        <v>13.193949999999999</v>
      </c>
      <c r="M67" s="12">
        <v>53.5</v>
      </c>
      <c r="N67" s="12">
        <v>14.500475</v>
      </c>
      <c r="O67" s="13">
        <f t="shared" si="3"/>
        <v>-1.3706121627814409</v>
      </c>
      <c r="P67" s="6">
        <f t="shared" si="4"/>
        <v>-1.2924495413326371</v>
      </c>
      <c r="Q67" s="6">
        <f t="shared" si="5"/>
        <v>-0.6526592557009403</v>
      </c>
      <c r="R67" s="6">
        <f t="shared" si="6"/>
        <v>0.33493240984561268</v>
      </c>
      <c r="S67">
        <f t="shared" si="7"/>
        <v>0</v>
      </c>
      <c r="T67">
        <f t="shared" si="8"/>
        <v>1</v>
      </c>
      <c r="U67">
        <f t="shared" si="9"/>
        <v>0</v>
      </c>
      <c r="V67">
        <f t="shared" si="10"/>
        <v>0</v>
      </c>
      <c r="W67">
        <f t="shared" si="11"/>
        <v>0</v>
      </c>
      <c r="X67">
        <f t="shared" si="12"/>
        <v>0</v>
      </c>
      <c r="Y67">
        <f t="shared" si="13"/>
        <v>0</v>
      </c>
      <c r="Z67">
        <f t="shared" si="14"/>
        <v>0</v>
      </c>
      <c r="AA67">
        <f t="shared" si="15"/>
        <v>0</v>
      </c>
    </row>
    <row r="68" spans="2:27" x14ac:dyDescent="0.3">
      <c r="B68">
        <v>61</v>
      </c>
      <c r="C68" s="1">
        <v>40604</v>
      </c>
      <c r="D68">
        <v>1</v>
      </c>
      <c r="E68">
        <v>0</v>
      </c>
      <c r="F68">
        <v>3</v>
      </c>
      <c r="G68">
        <v>3</v>
      </c>
      <c r="H68">
        <v>1</v>
      </c>
      <c r="I68">
        <v>231</v>
      </c>
      <c r="J68">
        <v>1903</v>
      </c>
      <c r="K68" s="8">
        <v>2134</v>
      </c>
      <c r="L68" s="12">
        <v>16.003550000000001</v>
      </c>
      <c r="M68" s="12">
        <v>44.958300000000001</v>
      </c>
      <c r="N68" s="12">
        <v>20.624811000000001</v>
      </c>
      <c r="O68" s="13">
        <f t="shared" si="3"/>
        <v>-1.2244258654398863</v>
      </c>
      <c r="P68" s="6">
        <f t="shared" si="4"/>
        <v>-0.94739512373236079</v>
      </c>
      <c r="Q68" s="6">
        <f t="shared" si="5"/>
        <v>-1.2527858287814877</v>
      </c>
      <c r="R68" s="6">
        <f t="shared" si="6"/>
        <v>1.5152304746583189</v>
      </c>
      <c r="S68">
        <f t="shared" si="7"/>
        <v>0</v>
      </c>
      <c r="T68">
        <f t="shared" si="8"/>
        <v>0</v>
      </c>
      <c r="U68">
        <f t="shared" si="9"/>
        <v>1</v>
      </c>
      <c r="V68">
        <f t="shared" si="10"/>
        <v>0</v>
      </c>
      <c r="W68">
        <f t="shared" si="11"/>
        <v>0</v>
      </c>
      <c r="X68">
        <f t="shared" si="12"/>
        <v>0</v>
      </c>
      <c r="Y68">
        <f t="shared" si="13"/>
        <v>0</v>
      </c>
      <c r="Z68">
        <f t="shared" si="14"/>
        <v>0</v>
      </c>
      <c r="AA68">
        <f t="shared" si="15"/>
        <v>0</v>
      </c>
    </row>
    <row r="69" spans="2:27" x14ac:dyDescent="0.3">
      <c r="B69">
        <v>62</v>
      </c>
      <c r="C69" s="1">
        <v>40605</v>
      </c>
      <c r="D69">
        <v>1</v>
      </c>
      <c r="E69">
        <v>0</v>
      </c>
      <c r="F69">
        <v>3</v>
      </c>
      <c r="G69">
        <v>4</v>
      </c>
      <c r="H69">
        <v>1</v>
      </c>
      <c r="I69">
        <v>123</v>
      </c>
      <c r="J69">
        <v>1562</v>
      </c>
      <c r="K69" s="8">
        <v>1685</v>
      </c>
      <c r="L69" s="12">
        <v>10.00665</v>
      </c>
      <c r="M69" s="12">
        <v>31.833300000000001</v>
      </c>
      <c r="N69" s="12">
        <v>15.125518</v>
      </c>
      <c r="O69" s="13">
        <f t="shared" si="3"/>
        <v>-1.4563610156390314</v>
      </c>
      <c r="P69" s="6">
        <f t="shared" si="4"/>
        <v>-1.6838902963217317</v>
      </c>
      <c r="Q69" s="6">
        <f t="shared" si="5"/>
        <v>-2.1749279400336019</v>
      </c>
      <c r="R69" s="6">
        <f t="shared" si="6"/>
        <v>0.45539233290090031</v>
      </c>
      <c r="S69">
        <f t="shared" si="7"/>
        <v>0</v>
      </c>
      <c r="T69">
        <f t="shared" si="8"/>
        <v>0</v>
      </c>
      <c r="U69">
        <f t="shared" si="9"/>
        <v>0</v>
      </c>
      <c r="V69">
        <f t="shared" si="10"/>
        <v>1</v>
      </c>
      <c r="W69">
        <f t="shared" si="11"/>
        <v>0</v>
      </c>
      <c r="X69">
        <f t="shared" si="12"/>
        <v>0</v>
      </c>
      <c r="Y69">
        <f t="shared" si="13"/>
        <v>0</v>
      </c>
      <c r="Z69">
        <f t="shared" si="14"/>
        <v>0</v>
      </c>
      <c r="AA69">
        <f t="shared" si="15"/>
        <v>0</v>
      </c>
    </row>
    <row r="70" spans="2:27" x14ac:dyDescent="0.3">
      <c r="B70">
        <v>63</v>
      </c>
      <c r="C70" s="1">
        <v>40606</v>
      </c>
      <c r="D70">
        <v>1</v>
      </c>
      <c r="E70">
        <v>0</v>
      </c>
      <c r="F70">
        <v>3</v>
      </c>
      <c r="G70">
        <v>5</v>
      </c>
      <c r="H70">
        <v>2</v>
      </c>
      <c r="I70">
        <v>214</v>
      </c>
      <c r="J70">
        <v>1730</v>
      </c>
      <c r="K70" s="8">
        <v>1944</v>
      </c>
      <c r="L70" s="12">
        <v>12.783950000000001</v>
      </c>
      <c r="M70" s="12">
        <v>61.041699999999999</v>
      </c>
      <c r="N70" s="12">
        <v>13.624181999999999</v>
      </c>
      <c r="O70" s="13">
        <f t="shared" si="3"/>
        <v>-1.3225721428070079</v>
      </c>
      <c r="P70" s="6">
        <f t="shared" si="4"/>
        <v>-1.3428027272723129</v>
      </c>
      <c r="Q70" s="6">
        <f t="shared" si="5"/>
        <v>-0.12279112919198265</v>
      </c>
      <c r="R70" s="6">
        <f t="shared" si="6"/>
        <v>0.16605092912526667</v>
      </c>
      <c r="S70">
        <f t="shared" si="7"/>
        <v>0</v>
      </c>
      <c r="T70">
        <f t="shared" si="8"/>
        <v>0</v>
      </c>
      <c r="U70">
        <f t="shared" si="9"/>
        <v>0</v>
      </c>
      <c r="V70">
        <f t="shared" si="10"/>
        <v>0</v>
      </c>
      <c r="W70">
        <f t="shared" si="11"/>
        <v>1</v>
      </c>
      <c r="X70">
        <f t="shared" si="12"/>
        <v>0</v>
      </c>
      <c r="Y70">
        <f t="shared" si="13"/>
        <v>0</v>
      </c>
      <c r="Z70">
        <f t="shared" si="14"/>
        <v>0</v>
      </c>
      <c r="AA70">
        <f t="shared" si="15"/>
        <v>0</v>
      </c>
    </row>
    <row r="71" spans="2:27" x14ac:dyDescent="0.3">
      <c r="B71">
        <v>64</v>
      </c>
      <c r="C71" s="1">
        <v>40607</v>
      </c>
      <c r="D71">
        <v>1</v>
      </c>
      <c r="E71">
        <v>0</v>
      </c>
      <c r="F71">
        <v>3</v>
      </c>
      <c r="G71">
        <v>6</v>
      </c>
      <c r="H71">
        <v>2</v>
      </c>
      <c r="I71">
        <v>640</v>
      </c>
      <c r="J71">
        <v>1437</v>
      </c>
      <c r="K71" s="8">
        <v>2077</v>
      </c>
      <c r="L71" s="12">
        <v>18.938949999999998</v>
      </c>
      <c r="M71" s="12">
        <v>78.916700000000006</v>
      </c>
      <c r="N71" s="12">
        <v>16.875357000000001</v>
      </c>
      <c r="O71" s="13">
        <f t="shared" si="3"/>
        <v>-1.2538697486500228</v>
      </c>
      <c r="P71" s="6">
        <f t="shared" si="4"/>
        <v>-0.58689087493400871</v>
      </c>
      <c r="Q71" s="6">
        <f t="shared" si="5"/>
        <v>1.1330786032751829</v>
      </c>
      <c r="R71" s="6">
        <f t="shared" si="6"/>
        <v>0.79262588531112121</v>
      </c>
      <c r="S71">
        <f t="shared" si="7"/>
        <v>0</v>
      </c>
      <c r="T71">
        <f t="shared" si="8"/>
        <v>0</v>
      </c>
      <c r="U71">
        <f t="shared" si="9"/>
        <v>0</v>
      </c>
      <c r="V71">
        <f t="shared" si="10"/>
        <v>0</v>
      </c>
      <c r="W71">
        <f t="shared" si="11"/>
        <v>0</v>
      </c>
      <c r="X71">
        <f t="shared" si="12"/>
        <v>0</v>
      </c>
      <c r="Y71">
        <f t="shared" si="13"/>
        <v>0</v>
      </c>
      <c r="Z71">
        <f t="shared" si="14"/>
        <v>0</v>
      </c>
      <c r="AA71">
        <f t="shared" si="15"/>
        <v>0</v>
      </c>
    </row>
    <row r="72" spans="2:27" x14ac:dyDescent="0.3">
      <c r="B72">
        <v>65</v>
      </c>
      <c r="C72" s="1">
        <v>40608</v>
      </c>
      <c r="D72">
        <v>1</v>
      </c>
      <c r="E72">
        <v>0</v>
      </c>
      <c r="F72">
        <v>3</v>
      </c>
      <c r="G72">
        <v>0</v>
      </c>
      <c r="H72">
        <v>2</v>
      </c>
      <c r="I72">
        <v>114</v>
      </c>
      <c r="J72">
        <v>491</v>
      </c>
      <c r="K72" s="8">
        <v>605</v>
      </c>
      <c r="L72" s="12">
        <v>18.3126</v>
      </c>
      <c r="M72" s="12">
        <v>94.826099999999997</v>
      </c>
      <c r="N72" s="12">
        <v>23.000229000000001</v>
      </c>
      <c r="O72" s="13">
        <f t="shared" si="3"/>
        <v>-2.0142451185679331</v>
      </c>
      <c r="P72" s="6">
        <f t="shared" si="4"/>
        <v>-0.66381457740551086</v>
      </c>
      <c r="Q72" s="6">
        <f t="shared" si="5"/>
        <v>2.250848333161231</v>
      </c>
      <c r="R72" s="6">
        <f t="shared" si="6"/>
        <v>1.9730272494468459</v>
      </c>
      <c r="S72">
        <f t="shared" si="7"/>
        <v>0</v>
      </c>
      <c r="T72">
        <f t="shared" si="8"/>
        <v>0</v>
      </c>
      <c r="U72">
        <f t="shared" si="9"/>
        <v>0</v>
      </c>
      <c r="V72">
        <f t="shared" si="10"/>
        <v>0</v>
      </c>
      <c r="W72">
        <f t="shared" si="11"/>
        <v>0</v>
      </c>
      <c r="X72">
        <f t="shared" si="12"/>
        <v>0</v>
      </c>
      <c r="Y72">
        <f t="shared" si="13"/>
        <v>0</v>
      </c>
      <c r="Z72">
        <f t="shared" si="14"/>
        <v>0</v>
      </c>
      <c r="AA72">
        <f t="shared" si="15"/>
        <v>0</v>
      </c>
    </row>
    <row r="73" spans="2:27" x14ac:dyDescent="0.3">
      <c r="B73">
        <v>66</v>
      </c>
      <c r="C73" s="1">
        <v>40609</v>
      </c>
      <c r="D73">
        <v>1</v>
      </c>
      <c r="E73">
        <v>0</v>
      </c>
      <c r="F73">
        <v>3</v>
      </c>
      <c r="G73">
        <v>1</v>
      </c>
      <c r="H73">
        <v>1</v>
      </c>
      <c r="I73">
        <v>244</v>
      </c>
      <c r="J73">
        <v>1628</v>
      </c>
      <c r="K73" s="8">
        <v>1872</v>
      </c>
      <c r="L73" s="12">
        <v>11.92305</v>
      </c>
      <c r="M73" s="12">
        <v>55.130400000000002</v>
      </c>
      <c r="N73" s="12">
        <v>22.870584000000001</v>
      </c>
      <c r="O73" s="13">
        <f t="shared" ref="O73:O136" si="16">(K73-K$2)/K$3</f>
        <v>-1.3597644163356013</v>
      </c>
      <c r="P73" s="6">
        <f t="shared" ref="P73:P136" si="17">(L73-L$2)/L$3</f>
        <v>-1.4485321364807688</v>
      </c>
      <c r="Q73" s="6">
        <f t="shared" ref="Q73:Q136" si="18">(M73-M$2)/M$3</f>
        <v>-0.53810988441062046</v>
      </c>
      <c r="R73" s="6">
        <f t="shared" ref="R73:R136" si="19">(N73-N$2)/N$3</f>
        <v>1.948041725691676</v>
      </c>
      <c r="S73">
        <f t="shared" ref="S73:S136" si="20">IF($G73=1,1,0)</f>
        <v>1</v>
      </c>
      <c r="T73">
        <f t="shared" ref="T73:T136" si="21">IF($G73=2,1,0)</f>
        <v>0</v>
      </c>
      <c r="U73">
        <f t="shared" ref="U73:U136" si="22">IF($G73=3,1,0)</f>
        <v>0</v>
      </c>
      <c r="V73">
        <f t="shared" ref="V73:V136" si="23">IF($G73=4,1,0)</f>
        <v>0</v>
      </c>
      <c r="W73">
        <f t="shared" ref="W73:W136" si="24">IF($G73=5,1,0)</f>
        <v>0</v>
      </c>
      <c r="X73">
        <f t="shared" ref="X73:X136" si="25">IF($H73=3,1,0)</f>
        <v>0</v>
      </c>
      <c r="Y73">
        <f t="shared" ref="Y73:Y136" si="26">IF($D73=2,1,0)</f>
        <v>0</v>
      </c>
      <c r="Z73">
        <f t="shared" ref="Z73:Z136" si="27">IF($D73=3,1,0)</f>
        <v>0</v>
      </c>
      <c r="AA73">
        <f t="shared" ref="AA73:AA136" si="28">IF($D73=4,1,0)</f>
        <v>0</v>
      </c>
    </row>
    <row r="74" spans="2:27" x14ac:dyDescent="0.3">
      <c r="B74">
        <v>67</v>
      </c>
      <c r="C74" s="1">
        <v>40610</v>
      </c>
      <c r="D74">
        <v>1</v>
      </c>
      <c r="E74">
        <v>0</v>
      </c>
      <c r="F74">
        <v>3</v>
      </c>
      <c r="G74">
        <v>2</v>
      </c>
      <c r="H74">
        <v>1</v>
      </c>
      <c r="I74">
        <v>316</v>
      </c>
      <c r="J74">
        <v>1817</v>
      </c>
      <c r="K74" s="8">
        <v>2133</v>
      </c>
      <c r="L74" s="12">
        <v>15.12</v>
      </c>
      <c r="M74" s="12">
        <v>42.083300000000001</v>
      </c>
      <c r="N74" s="12">
        <v>8.0835500000000007</v>
      </c>
      <c r="O74" s="13">
        <f t="shared" si="16"/>
        <v>-1.22494242479445</v>
      </c>
      <c r="P74" s="6">
        <f t="shared" si="17"/>
        <v>-1.0559062394323624</v>
      </c>
      <c r="Q74" s="6">
        <f t="shared" si="18"/>
        <v>-1.4547788626748079</v>
      </c>
      <c r="R74" s="6">
        <f t="shared" si="19"/>
        <v>-0.90175417291997573</v>
      </c>
      <c r="S74">
        <f t="shared" si="20"/>
        <v>0</v>
      </c>
      <c r="T74">
        <f t="shared" si="21"/>
        <v>1</v>
      </c>
      <c r="U74">
        <f t="shared" si="22"/>
        <v>0</v>
      </c>
      <c r="V74">
        <f t="shared" si="23"/>
        <v>0</v>
      </c>
      <c r="W74">
        <f t="shared" si="24"/>
        <v>0</v>
      </c>
      <c r="X74">
        <f t="shared" si="25"/>
        <v>0</v>
      </c>
      <c r="Y74">
        <f t="shared" si="26"/>
        <v>0</v>
      </c>
      <c r="Z74">
        <f t="shared" si="27"/>
        <v>0</v>
      </c>
      <c r="AA74">
        <f t="shared" si="28"/>
        <v>0</v>
      </c>
    </row>
    <row r="75" spans="2:27" x14ac:dyDescent="0.3">
      <c r="B75">
        <v>68</v>
      </c>
      <c r="C75" s="1">
        <v>40611</v>
      </c>
      <c r="D75">
        <v>1</v>
      </c>
      <c r="E75">
        <v>0</v>
      </c>
      <c r="F75">
        <v>3</v>
      </c>
      <c r="G75">
        <v>3</v>
      </c>
      <c r="H75">
        <v>2</v>
      </c>
      <c r="I75">
        <v>191</v>
      </c>
      <c r="J75">
        <v>1700</v>
      </c>
      <c r="K75" s="8">
        <v>1891</v>
      </c>
      <c r="L75" s="12">
        <v>14.330399999999999</v>
      </c>
      <c r="M75" s="12">
        <v>77.541700000000006</v>
      </c>
      <c r="N75" s="12">
        <v>14.75005</v>
      </c>
      <c r="O75" s="13">
        <f t="shared" si="16"/>
        <v>-1.3499497885988891</v>
      </c>
      <c r="P75" s="6">
        <f t="shared" si="17"/>
        <v>-1.15287910679326</v>
      </c>
      <c r="Q75" s="6">
        <f t="shared" si="18"/>
        <v>1.0364732392392473</v>
      </c>
      <c r="R75" s="6">
        <f t="shared" si="19"/>
        <v>0.38303115712623725</v>
      </c>
      <c r="S75">
        <f t="shared" si="20"/>
        <v>0</v>
      </c>
      <c r="T75">
        <f t="shared" si="21"/>
        <v>0</v>
      </c>
      <c r="U75">
        <f t="shared" si="22"/>
        <v>1</v>
      </c>
      <c r="V75">
        <f t="shared" si="23"/>
        <v>0</v>
      </c>
      <c r="W75">
        <f t="shared" si="24"/>
        <v>0</v>
      </c>
      <c r="X75">
        <f t="shared" si="25"/>
        <v>0</v>
      </c>
      <c r="Y75">
        <f t="shared" si="26"/>
        <v>0</v>
      </c>
      <c r="Z75">
        <f t="shared" si="27"/>
        <v>0</v>
      </c>
      <c r="AA75">
        <f t="shared" si="28"/>
        <v>0</v>
      </c>
    </row>
    <row r="76" spans="2:27" x14ac:dyDescent="0.3">
      <c r="B76">
        <v>69</v>
      </c>
      <c r="C76" s="1">
        <v>40612</v>
      </c>
      <c r="D76">
        <v>1</v>
      </c>
      <c r="E76">
        <v>0</v>
      </c>
      <c r="F76">
        <v>3</v>
      </c>
      <c r="G76">
        <v>4</v>
      </c>
      <c r="H76">
        <v>3</v>
      </c>
      <c r="I76">
        <v>46</v>
      </c>
      <c r="J76">
        <v>577</v>
      </c>
      <c r="K76" s="8">
        <v>623</v>
      </c>
      <c r="L76" s="12">
        <v>19.2834</v>
      </c>
      <c r="M76" s="12">
        <v>0</v>
      </c>
      <c r="N76" s="12">
        <v>17.545759</v>
      </c>
      <c r="O76" s="13">
        <f t="shared" si="16"/>
        <v>-2.0049470501857849</v>
      </c>
      <c r="P76" s="6">
        <f t="shared" si="17"/>
        <v>-0.54458805811224908</v>
      </c>
      <c r="Q76" s="6">
        <f t="shared" si="18"/>
        <v>-4.4114861472809874</v>
      </c>
      <c r="R76" s="6">
        <f t="shared" si="19"/>
        <v>0.92182751357687387</v>
      </c>
      <c r="S76">
        <f t="shared" si="20"/>
        <v>0</v>
      </c>
      <c r="T76">
        <f t="shared" si="21"/>
        <v>0</v>
      </c>
      <c r="U76">
        <f t="shared" si="22"/>
        <v>0</v>
      </c>
      <c r="V76">
        <f t="shared" si="23"/>
        <v>1</v>
      </c>
      <c r="W76">
        <f t="shared" si="24"/>
        <v>0</v>
      </c>
      <c r="X76">
        <f t="shared" si="25"/>
        <v>1</v>
      </c>
      <c r="Y76">
        <f t="shared" si="26"/>
        <v>0</v>
      </c>
      <c r="Z76">
        <f t="shared" si="27"/>
        <v>0</v>
      </c>
      <c r="AA76">
        <f t="shared" si="28"/>
        <v>0</v>
      </c>
    </row>
    <row r="77" spans="2:27" x14ac:dyDescent="0.3">
      <c r="B77">
        <v>70</v>
      </c>
      <c r="C77" s="1">
        <v>40613</v>
      </c>
      <c r="D77">
        <v>1</v>
      </c>
      <c r="E77">
        <v>0</v>
      </c>
      <c r="F77">
        <v>3</v>
      </c>
      <c r="G77">
        <v>5</v>
      </c>
      <c r="H77">
        <v>2</v>
      </c>
      <c r="I77">
        <v>247</v>
      </c>
      <c r="J77">
        <v>1730</v>
      </c>
      <c r="K77" s="8">
        <v>1977</v>
      </c>
      <c r="L77" s="12">
        <v>15.25</v>
      </c>
      <c r="M77" s="12">
        <v>64.956500000000005</v>
      </c>
      <c r="N77" s="12">
        <v>15.60899</v>
      </c>
      <c r="O77" s="13">
        <f t="shared" si="16"/>
        <v>-1.3055256841064025</v>
      </c>
      <c r="P77" s="6">
        <f t="shared" si="17"/>
        <v>-1.039940595110026</v>
      </c>
      <c r="Q77" s="6">
        <f t="shared" si="18"/>
        <v>0.15225663744647702</v>
      </c>
      <c r="R77" s="6">
        <f t="shared" si="19"/>
        <v>0.54856832226384999</v>
      </c>
      <c r="S77">
        <f t="shared" si="20"/>
        <v>0</v>
      </c>
      <c r="T77">
        <f t="shared" si="21"/>
        <v>0</v>
      </c>
      <c r="U77">
        <f t="shared" si="22"/>
        <v>0</v>
      </c>
      <c r="V77">
        <f t="shared" si="23"/>
        <v>0</v>
      </c>
      <c r="W77">
        <f t="shared" si="24"/>
        <v>1</v>
      </c>
      <c r="X77">
        <f t="shared" si="25"/>
        <v>0</v>
      </c>
      <c r="Y77">
        <f t="shared" si="26"/>
        <v>0</v>
      </c>
      <c r="Z77">
        <f t="shared" si="27"/>
        <v>0</v>
      </c>
      <c r="AA77">
        <f t="shared" si="28"/>
        <v>0</v>
      </c>
    </row>
    <row r="78" spans="2:27" x14ac:dyDescent="0.3">
      <c r="B78">
        <v>71</v>
      </c>
      <c r="C78" s="1">
        <v>40614</v>
      </c>
      <c r="D78">
        <v>1</v>
      </c>
      <c r="E78">
        <v>0</v>
      </c>
      <c r="F78">
        <v>3</v>
      </c>
      <c r="G78">
        <v>6</v>
      </c>
      <c r="H78">
        <v>1</v>
      </c>
      <c r="I78">
        <v>724</v>
      </c>
      <c r="J78">
        <v>1408</v>
      </c>
      <c r="K78" s="8">
        <v>2132</v>
      </c>
      <c r="L78" s="12">
        <v>16.287500000000001</v>
      </c>
      <c r="M78" s="12">
        <v>59.458300000000001</v>
      </c>
      <c r="N78" s="12">
        <v>14.791925000000001</v>
      </c>
      <c r="O78" s="13">
        <f t="shared" si="16"/>
        <v>-1.2254589841490138</v>
      </c>
      <c r="P78" s="6">
        <f t="shared" si="17"/>
        <v>-0.91252247215291937</v>
      </c>
      <c r="Q78" s="6">
        <f t="shared" si="18"/>
        <v>-0.23403835349343755</v>
      </c>
      <c r="R78" s="6">
        <f t="shared" si="19"/>
        <v>0.39110141673708054</v>
      </c>
      <c r="S78">
        <f t="shared" si="20"/>
        <v>0</v>
      </c>
      <c r="T78">
        <f t="shared" si="21"/>
        <v>0</v>
      </c>
      <c r="U78">
        <f t="shared" si="22"/>
        <v>0</v>
      </c>
      <c r="V78">
        <f t="shared" si="23"/>
        <v>0</v>
      </c>
      <c r="W78">
        <f t="shared" si="24"/>
        <v>0</v>
      </c>
      <c r="X78">
        <f t="shared" si="25"/>
        <v>0</v>
      </c>
      <c r="Y78">
        <f t="shared" si="26"/>
        <v>0</v>
      </c>
      <c r="Z78">
        <f t="shared" si="27"/>
        <v>0</v>
      </c>
      <c r="AA78">
        <f t="shared" si="28"/>
        <v>0</v>
      </c>
    </row>
    <row r="79" spans="2:27" x14ac:dyDescent="0.3">
      <c r="B79">
        <v>72</v>
      </c>
      <c r="C79" s="1">
        <v>40615</v>
      </c>
      <c r="D79">
        <v>1</v>
      </c>
      <c r="E79">
        <v>0</v>
      </c>
      <c r="F79">
        <v>3</v>
      </c>
      <c r="G79">
        <v>0</v>
      </c>
      <c r="H79">
        <v>1</v>
      </c>
      <c r="I79">
        <v>982</v>
      </c>
      <c r="J79">
        <v>1435</v>
      </c>
      <c r="K79" s="8">
        <v>2417</v>
      </c>
      <c r="L79" s="12">
        <v>19.004549999999998</v>
      </c>
      <c r="M79" s="12">
        <v>52.739100000000001</v>
      </c>
      <c r="N79" s="12">
        <v>18.130468</v>
      </c>
      <c r="O79" s="13">
        <f t="shared" si="16"/>
        <v>-1.0782395680983314</v>
      </c>
      <c r="P79" s="6">
        <f t="shared" si="17"/>
        <v>-0.5788343651836606</v>
      </c>
      <c r="Q79" s="6">
        <f t="shared" si="18"/>
        <v>-0.70611890769726282</v>
      </c>
      <c r="R79" s="6">
        <f t="shared" si="19"/>
        <v>1.0345141625749976</v>
      </c>
      <c r="S79">
        <f t="shared" si="20"/>
        <v>0</v>
      </c>
      <c r="T79">
        <f t="shared" si="21"/>
        <v>0</v>
      </c>
      <c r="U79">
        <f t="shared" si="22"/>
        <v>0</v>
      </c>
      <c r="V79">
        <f t="shared" si="23"/>
        <v>0</v>
      </c>
      <c r="W79">
        <f t="shared" si="24"/>
        <v>0</v>
      </c>
      <c r="X79">
        <f t="shared" si="25"/>
        <v>0</v>
      </c>
      <c r="Y79">
        <f t="shared" si="26"/>
        <v>0</v>
      </c>
      <c r="Z79">
        <f t="shared" si="27"/>
        <v>0</v>
      </c>
      <c r="AA79">
        <f t="shared" si="28"/>
        <v>0</v>
      </c>
    </row>
    <row r="80" spans="2:27" x14ac:dyDescent="0.3">
      <c r="B80">
        <v>73</v>
      </c>
      <c r="C80" s="1">
        <v>40616</v>
      </c>
      <c r="D80">
        <v>1</v>
      </c>
      <c r="E80">
        <v>0</v>
      </c>
      <c r="F80">
        <v>3</v>
      </c>
      <c r="G80">
        <v>1</v>
      </c>
      <c r="H80">
        <v>1</v>
      </c>
      <c r="I80">
        <v>359</v>
      </c>
      <c r="J80">
        <v>1687</v>
      </c>
      <c r="K80" s="8">
        <v>2046</v>
      </c>
      <c r="L80" s="12">
        <v>16.600000000000001</v>
      </c>
      <c r="M80" s="12">
        <v>49.695700000000002</v>
      </c>
      <c r="N80" s="12">
        <v>9.174042</v>
      </c>
      <c r="O80" s="13">
        <f t="shared" si="16"/>
        <v>-1.2698830886415005</v>
      </c>
      <c r="P80" s="6">
        <f t="shared" si="17"/>
        <v>-0.87414351945499569</v>
      </c>
      <c r="Q80" s="6">
        <f t="shared" si="18"/>
        <v>-0.91994346399323867</v>
      </c>
      <c r="R80" s="6">
        <f t="shared" si="19"/>
        <v>-0.69159170023824557</v>
      </c>
      <c r="S80">
        <f t="shared" si="20"/>
        <v>1</v>
      </c>
      <c r="T80">
        <f t="shared" si="21"/>
        <v>0</v>
      </c>
      <c r="U80">
        <f t="shared" si="22"/>
        <v>0</v>
      </c>
      <c r="V80">
        <f t="shared" si="23"/>
        <v>0</v>
      </c>
      <c r="W80">
        <f t="shared" si="24"/>
        <v>0</v>
      </c>
      <c r="X80">
        <f t="shared" si="25"/>
        <v>0</v>
      </c>
      <c r="Y80">
        <f t="shared" si="26"/>
        <v>0</v>
      </c>
      <c r="Z80">
        <f t="shared" si="27"/>
        <v>0</v>
      </c>
      <c r="AA80">
        <f t="shared" si="28"/>
        <v>0</v>
      </c>
    </row>
    <row r="81" spans="2:27" x14ac:dyDescent="0.3">
      <c r="B81">
        <v>74</v>
      </c>
      <c r="C81" s="1">
        <v>40617</v>
      </c>
      <c r="D81">
        <v>1</v>
      </c>
      <c r="E81">
        <v>0</v>
      </c>
      <c r="F81">
        <v>3</v>
      </c>
      <c r="G81">
        <v>2</v>
      </c>
      <c r="H81">
        <v>2</v>
      </c>
      <c r="I81">
        <v>289</v>
      </c>
      <c r="J81">
        <v>1767</v>
      </c>
      <c r="K81" s="8">
        <v>2056</v>
      </c>
      <c r="L81" s="12">
        <v>15.908899999999999</v>
      </c>
      <c r="M81" s="12">
        <v>65.565200000000004</v>
      </c>
      <c r="N81" s="12">
        <v>12.348703</v>
      </c>
      <c r="O81" s="13">
        <f t="shared" si="16"/>
        <v>-1.2647174950958624</v>
      </c>
      <c r="P81" s="6">
        <f t="shared" si="17"/>
        <v>-0.95901934092550811</v>
      </c>
      <c r="Q81" s="6">
        <f t="shared" si="18"/>
        <v>0.19502295387460358</v>
      </c>
      <c r="R81" s="6">
        <f t="shared" si="19"/>
        <v>-7.9762722413323675E-2</v>
      </c>
      <c r="S81">
        <f t="shared" si="20"/>
        <v>0</v>
      </c>
      <c r="T81">
        <f t="shared" si="21"/>
        <v>1</v>
      </c>
      <c r="U81">
        <f t="shared" si="22"/>
        <v>0</v>
      </c>
      <c r="V81">
        <f t="shared" si="23"/>
        <v>0</v>
      </c>
      <c r="W81">
        <f t="shared" si="24"/>
        <v>0</v>
      </c>
      <c r="X81">
        <f t="shared" si="25"/>
        <v>0</v>
      </c>
      <c r="Y81">
        <f t="shared" si="26"/>
        <v>0</v>
      </c>
      <c r="Z81">
        <f t="shared" si="27"/>
        <v>0</v>
      </c>
      <c r="AA81">
        <f t="shared" si="28"/>
        <v>0</v>
      </c>
    </row>
    <row r="82" spans="2:27" x14ac:dyDescent="0.3">
      <c r="B82">
        <v>75</v>
      </c>
      <c r="C82" s="1">
        <v>40618</v>
      </c>
      <c r="D82">
        <v>1</v>
      </c>
      <c r="E82">
        <v>0</v>
      </c>
      <c r="F82">
        <v>3</v>
      </c>
      <c r="G82">
        <v>3</v>
      </c>
      <c r="H82">
        <v>2</v>
      </c>
      <c r="I82">
        <v>321</v>
      </c>
      <c r="J82">
        <v>1871</v>
      </c>
      <c r="K82" s="8">
        <v>2192</v>
      </c>
      <c r="L82" s="12">
        <v>18.346499999999999</v>
      </c>
      <c r="M82" s="12">
        <v>77.652199999999993</v>
      </c>
      <c r="N82" s="12">
        <v>13.608839</v>
      </c>
      <c r="O82" s="13">
        <f t="shared" si="16"/>
        <v>-1.1944654228751859</v>
      </c>
      <c r="P82" s="6">
        <f t="shared" si="17"/>
        <v>-0.65965122861684022</v>
      </c>
      <c r="Q82" s="6">
        <f t="shared" si="18"/>
        <v>1.044236797585407</v>
      </c>
      <c r="R82" s="6">
        <f t="shared" si="19"/>
        <v>0.16309398600385383</v>
      </c>
      <c r="S82">
        <f t="shared" si="20"/>
        <v>0</v>
      </c>
      <c r="T82">
        <f t="shared" si="21"/>
        <v>0</v>
      </c>
      <c r="U82">
        <f t="shared" si="22"/>
        <v>1</v>
      </c>
      <c r="V82">
        <f t="shared" si="23"/>
        <v>0</v>
      </c>
      <c r="W82">
        <f t="shared" si="24"/>
        <v>0</v>
      </c>
      <c r="X82">
        <f t="shared" si="25"/>
        <v>0</v>
      </c>
      <c r="Y82">
        <f t="shared" si="26"/>
        <v>0</v>
      </c>
      <c r="Z82">
        <f t="shared" si="27"/>
        <v>0</v>
      </c>
      <c r="AA82">
        <f t="shared" si="28"/>
        <v>0</v>
      </c>
    </row>
    <row r="83" spans="2:27" x14ac:dyDescent="0.3">
      <c r="B83">
        <v>76</v>
      </c>
      <c r="C83" s="1">
        <v>40619</v>
      </c>
      <c r="D83">
        <v>1</v>
      </c>
      <c r="E83">
        <v>0</v>
      </c>
      <c r="F83">
        <v>3</v>
      </c>
      <c r="G83">
        <v>4</v>
      </c>
      <c r="H83">
        <v>1</v>
      </c>
      <c r="I83">
        <v>424</v>
      </c>
      <c r="J83">
        <v>2320</v>
      </c>
      <c r="K83" s="8">
        <v>2744</v>
      </c>
      <c r="L83" s="12">
        <v>20.516649999999998</v>
      </c>
      <c r="M83" s="12">
        <v>60.291699999999999</v>
      </c>
      <c r="N83" s="12">
        <v>14.041793</v>
      </c>
      <c r="O83" s="13">
        <f t="shared" si="16"/>
        <v>-0.90932465915596949</v>
      </c>
      <c r="P83" s="6">
        <f t="shared" si="17"/>
        <v>-0.39312935918516334</v>
      </c>
      <c r="Q83" s="6">
        <f t="shared" si="18"/>
        <v>-0.17548496412067491</v>
      </c>
      <c r="R83" s="6">
        <f t="shared" si="19"/>
        <v>0.24653401417228238</v>
      </c>
      <c r="S83">
        <f t="shared" si="20"/>
        <v>0</v>
      </c>
      <c r="T83">
        <f t="shared" si="21"/>
        <v>0</v>
      </c>
      <c r="U83">
        <f t="shared" si="22"/>
        <v>0</v>
      </c>
      <c r="V83">
        <f t="shared" si="23"/>
        <v>1</v>
      </c>
      <c r="W83">
        <f t="shared" si="24"/>
        <v>0</v>
      </c>
      <c r="X83">
        <f t="shared" si="25"/>
        <v>0</v>
      </c>
      <c r="Y83">
        <f t="shared" si="26"/>
        <v>0</v>
      </c>
      <c r="Z83">
        <f t="shared" si="27"/>
        <v>0</v>
      </c>
      <c r="AA83">
        <f t="shared" si="28"/>
        <v>0</v>
      </c>
    </row>
    <row r="84" spans="2:27" x14ac:dyDescent="0.3">
      <c r="B84">
        <v>77</v>
      </c>
      <c r="C84" s="1">
        <v>40620</v>
      </c>
      <c r="D84">
        <v>1</v>
      </c>
      <c r="E84">
        <v>0</v>
      </c>
      <c r="F84">
        <v>3</v>
      </c>
      <c r="G84">
        <v>5</v>
      </c>
      <c r="H84">
        <v>1</v>
      </c>
      <c r="I84">
        <v>884</v>
      </c>
      <c r="J84">
        <v>2355</v>
      </c>
      <c r="K84" s="8">
        <v>3239</v>
      </c>
      <c r="L84" s="12">
        <v>26.350449999999999</v>
      </c>
      <c r="M84" s="12">
        <v>52.521700000000003</v>
      </c>
      <c r="N84" s="12">
        <v>15.478139000000001</v>
      </c>
      <c r="O84" s="13">
        <f t="shared" si="16"/>
        <v>-0.65362777864688948</v>
      </c>
      <c r="P84" s="6">
        <f t="shared" si="17"/>
        <v>0.32333507041210724</v>
      </c>
      <c r="Q84" s="6">
        <f t="shared" si="18"/>
        <v>-0.7213930939819263</v>
      </c>
      <c r="R84" s="6">
        <f t="shared" si="19"/>
        <v>0.52335037503188764</v>
      </c>
      <c r="S84">
        <f t="shared" si="20"/>
        <v>0</v>
      </c>
      <c r="T84">
        <f t="shared" si="21"/>
        <v>0</v>
      </c>
      <c r="U84">
        <f t="shared" si="22"/>
        <v>0</v>
      </c>
      <c r="V84">
        <f t="shared" si="23"/>
        <v>0</v>
      </c>
      <c r="W84">
        <f t="shared" si="24"/>
        <v>1</v>
      </c>
      <c r="X84">
        <f t="shared" si="25"/>
        <v>0</v>
      </c>
      <c r="Y84">
        <f t="shared" si="26"/>
        <v>0</v>
      </c>
      <c r="Z84">
        <f t="shared" si="27"/>
        <v>0</v>
      </c>
      <c r="AA84">
        <f t="shared" si="28"/>
        <v>0</v>
      </c>
    </row>
    <row r="85" spans="2:27" x14ac:dyDescent="0.3">
      <c r="B85">
        <v>78</v>
      </c>
      <c r="C85" s="1">
        <v>40621</v>
      </c>
      <c r="D85">
        <v>1</v>
      </c>
      <c r="E85">
        <v>0</v>
      </c>
      <c r="F85">
        <v>3</v>
      </c>
      <c r="G85">
        <v>6</v>
      </c>
      <c r="H85">
        <v>1</v>
      </c>
      <c r="I85">
        <v>1424</v>
      </c>
      <c r="J85">
        <v>1693</v>
      </c>
      <c r="K85" s="8">
        <v>3117</v>
      </c>
      <c r="L85" s="12">
        <v>23.326250000000002</v>
      </c>
      <c r="M85" s="12">
        <v>37.916699999999999</v>
      </c>
      <c r="N85" s="12">
        <v>24.667189</v>
      </c>
      <c r="O85" s="13">
        <f t="shared" si="16"/>
        <v>-0.71664801990367288</v>
      </c>
      <c r="P85" s="6">
        <f t="shared" si="17"/>
        <v>-4.8074941584886732E-2</v>
      </c>
      <c r="Q85" s="6">
        <f t="shared" si="18"/>
        <v>-1.7475177061599936</v>
      </c>
      <c r="R85" s="6">
        <f t="shared" si="19"/>
        <v>2.2942881440352858</v>
      </c>
      <c r="S85">
        <f t="shared" si="20"/>
        <v>0</v>
      </c>
      <c r="T85">
        <f t="shared" si="21"/>
        <v>0</v>
      </c>
      <c r="U85">
        <f t="shared" si="22"/>
        <v>0</v>
      </c>
      <c r="V85">
        <f t="shared" si="23"/>
        <v>0</v>
      </c>
      <c r="W85">
        <f t="shared" si="24"/>
        <v>0</v>
      </c>
      <c r="X85">
        <f t="shared" si="25"/>
        <v>0</v>
      </c>
      <c r="Y85">
        <f t="shared" si="26"/>
        <v>0</v>
      </c>
      <c r="Z85">
        <f t="shared" si="27"/>
        <v>0</v>
      </c>
      <c r="AA85">
        <f t="shared" si="28"/>
        <v>0</v>
      </c>
    </row>
    <row r="86" spans="2:27" x14ac:dyDescent="0.3">
      <c r="B86">
        <v>79</v>
      </c>
      <c r="C86" s="1">
        <v>40622</v>
      </c>
      <c r="D86">
        <v>1</v>
      </c>
      <c r="E86">
        <v>0</v>
      </c>
      <c r="F86">
        <v>3</v>
      </c>
      <c r="G86">
        <v>0</v>
      </c>
      <c r="H86">
        <v>1</v>
      </c>
      <c r="I86">
        <v>1047</v>
      </c>
      <c r="J86">
        <v>1424</v>
      </c>
      <c r="K86" s="8">
        <v>2471</v>
      </c>
      <c r="L86" s="12">
        <v>16.287500000000001</v>
      </c>
      <c r="M86" s="12">
        <v>47.375</v>
      </c>
      <c r="N86" s="12">
        <v>13.917306999999999</v>
      </c>
      <c r="O86" s="13">
        <f t="shared" si="16"/>
        <v>-1.0503453629518864</v>
      </c>
      <c r="P86" s="6">
        <f t="shared" si="17"/>
        <v>-0.91252247215291937</v>
      </c>
      <c r="Q86" s="6">
        <f t="shared" si="18"/>
        <v>-1.082992240951927</v>
      </c>
      <c r="R86" s="6">
        <f t="shared" si="19"/>
        <v>0.22254274640116797</v>
      </c>
      <c r="S86">
        <f t="shared" si="20"/>
        <v>0</v>
      </c>
      <c r="T86">
        <f t="shared" si="21"/>
        <v>0</v>
      </c>
      <c r="U86">
        <f t="shared" si="22"/>
        <v>0</v>
      </c>
      <c r="V86">
        <f t="shared" si="23"/>
        <v>0</v>
      </c>
      <c r="W86">
        <f t="shared" si="24"/>
        <v>0</v>
      </c>
      <c r="X86">
        <f t="shared" si="25"/>
        <v>0</v>
      </c>
      <c r="Y86">
        <f t="shared" si="26"/>
        <v>0</v>
      </c>
      <c r="Z86">
        <f t="shared" si="27"/>
        <v>0</v>
      </c>
      <c r="AA86">
        <f t="shared" si="28"/>
        <v>0</v>
      </c>
    </row>
    <row r="87" spans="2:27" x14ac:dyDescent="0.3">
      <c r="B87">
        <v>80</v>
      </c>
      <c r="C87" s="1">
        <v>40623</v>
      </c>
      <c r="D87">
        <v>2</v>
      </c>
      <c r="E87">
        <v>0</v>
      </c>
      <c r="F87">
        <v>3</v>
      </c>
      <c r="G87">
        <v>1</v>
      </c>
      <c r="H87">
        <v>2</v>
      </c>
      <c r="I87">
        <v>401</v>
      </c>
      <c r="J87">
        <v>1676</v>
      </c>
      <c r="K87" s="8">
        <v>2077</v>
      </c>
      <c r="L87" s="12">
        <v>20.486750000000001</v>
      </c>
      <c r="M87" s="12">
        <v>73.739099999999993</v>
      </c>
      <c r="N87" s="12">
        <v>19.348461</v>
      </c>
      <c r="O87" s="13">
        <f t="shared" si="16"/>
        <v>-1.2538697486500228</v>
      </c>
      <c r="P87" s="6">
        <f t="shared" si="17"/>
        <v>-0.39680145737930045</v>
      </c>
      <c r="Q87" s="6">
        <f t="shared" si="18"/>
        <v>0.76930847030611949</v>
      </c>
      <c r="R87" s="6">
        <f t="shared" si="19"/>
        <v>1.2692489617198228</v>
      </c>
      <c r="S87">
        <f t="shared" si="20"/>
        <v>1</v>
      </c>
      <c r="T87">
        <f t="shared" si="21"/>
        <v>0</v>
      </c>
      <c r="U87">
        <f t="shared" si="22"/>
        <v>0</v>
      </c>
      <c r="V87">
        <f t="shared" si="23"/>
        <v>0</v>
      </c>
      <c r="W87">
        <f t="shared" si="24"/>
        <v>0</v>
      </c>
      <c r="X87">
        <f t="shared" si="25"/>
        <v>0</v>
      </c>
      <c r="Y87">
        <f t="shared" si="26"/>
        <v>1</v>
      </c>
      <c r="Z87">
        <f t="shared" si="27"/>
        <v>0</v>
      </c>
      <c r="AA87">
        <f t="shared" si="28"/>
        <v>0</v>
      </c>
    </row>
    <row r="88" spans="2:27" x14ac:dyDescent="0.3">
      <c r="B88">
        <v>81</v>
      </c>
      <c r="C88" s="1">
        <v>40624</v>
      </c>
      <c r="D88">
        <v>2</v>
      </c>
      <c r="E88">
        <v>0</v>
      </c>
      <c r="F88">
        <v>3</v>
      </c>
      <c r="G88">
        <v>2</v>
      </c>
      <c r="H88">
        <v>1</v>
      </c>
      <c r="I88">
        <v>460</v>
      </c>
      <c r="J88">
        <v>2243</v>
      </c>
      <c r="K88" s="8">
        <v>2703</v>
      </c>
      <c r="L88" s="12">
        <v>22.0321</v>
      </c>
      <c r="M88" s="12">
        <v>62.458300000000001</v>
      </c>
      <c r="N88" s="12">
        <v>15.125249999999999</v>
      </c>
      <c r="O88" s="13">
        <f t="shared" si="16"/>
        <v>-0.93050359269308525</v>
      </c>
      <c r="P88" s="6">
        <f t="shared" si="17"/>
        <v>-0.20701293081374428</v>
      </c>
      <c r="Q88" s="6">
        <f t="shared" si="18"/>
        <v>-2.3263013778668563E-2</v>
      </c>
      <c r="R88" s="6">
        <f t="shared" si="19"/>
        <v>0.45534068323939086</v>
      </c>
      <c r="S88">
        <f t="shared" si="20"/>
        <v>0</v>
      </c>
      <c r="T88">
        <f t="shared" si="21"/>
        <v>1</v>
      </c>
      <c r="U88">
        <f t="shared" si="22"/>
        <v>0</v>
      </c>
      <c r="V88">
        <f t="shared" si="23"/>
        <v>0</v>
      </c>
      <c r="W88">
        <f t="shared" si="24"/>
        <v>0</v>
      </c>
      <c r="X88">
        <f t="shared" si="25"/>
        <v>0</v>
      </c>
      <c r="Y88">
        <f t="shared" si="26"/>
        <v>1</v>
      </c>
      <c r="Z88">
        <f t="shared" si="27"/>
        <v>0</v>
      </c>
      <c r="AA88">
        <f t="shared" si="28"/>
        <v>0</v>
      </c>
    </row>
    <row r="89" spans="2:27" x14ac:dyDescent="0.3">
      <c r="B89">
        <v>82</v>
      </c>
      <c r="C89" s="1">
        <v>40625</v>
      </c>
      <c r="D89">
        <v>2</v>
      </c>
      <c r="E89">
        <v>0</v>
      </c>
      <c r="F89">
        <v>3</v>
      </c>
      <c r="G89">
        <v>3</v>
      </c>
      <c r="H89">
        <v>2</v>
      </c>
      <c r="I89">
        <v>203</v>
      </c>
      <c r="J89">
        <v>1918</v>
      </c>
      <c r="K89" s="8">
        <v>2121</v>
      </c>
      <c r="L89" s="12">
        <v>16.89695</v>
      </c>
      <c r="M89" s="12">
        <v>83.956500000000005</v>
      </c>
      <c r="N89" s="12">
        <v>15.695487</v>
      </c>
      <c r="O89" s="13">
        <f t="shared" si="16"/>
        <v>-1.2311411370492156</v>
      </c>
      <c r="P89" s="6">
        <f t="shared" si="17"/>
        <v>-0.83767430344332083</v>
      </c>
      <c r="Q89" s="6">
        <f t="shared" si="18"/>
        <v>1.4871671223066805</v>
      </c>
      <c r="R89" s="6">
        <f t="shared" si="19"/>
        <v>0.56523825051600729</v>
      </c>
      <c r="S89">
        <f t="shared" si="20"/>
        <v>0</v>
      </c>
      <c r="T89">
        <f t="shared" si="21"/>
        <v>0</v>
      </c>
      <c r="U89">
        <f t="shared" si="22"/>
        <v>1</v>
      </c>
      <c r="V89">
        <f t="shared" si="23"/>
        <v>0</v>
      </c>
      <c r="W89">
        <f t="shared" si="24"/>
        <v>0</v>
      </c>
      <c r="X89">
        <f t="shared" si="25"/>
        <v>0</v>
      </c>
      <c r="Y89">
        <f t="shared" si="26"/>
        <v>1</v>
      </c>
      <c r="Z89">
        <f t="shared" si="27"/>
        <v>0</v>
      </c>
      <c r="AA89">
        <f t="shared" si="28"/>
        <v>0</v>
      </c>
    </row>
    <row r="90" spans="2:27" x14ac:dyDescent="0.3">
      <c r="B90">
        <v>83</v>
      </c>
      <c r="C90" s="1">
        <v>40626</v>
      </c>
      <c r="D90">
        <v>2</v>
      </c>
      <c r="E90">
        <v>0</v>
      </c>
      <c r="F90">
        <v>3</v>
      </c>
      <c r="G90">
        <v>4</v>
      </c>
      <c r="H90">
        <v>2</v>
      </c>
      <c r="I90">
        <v>166</v>
      </c>
      <c r="J90">
        <v>1699</v>
      </c>
      <c r="K90" s="8">
        <v>1865</v>
      </c>
      <c r="L90" s="12">
        <v>13.541650000000001</v>
      </c>
      <c r="M90" s="12">
        <v>80.583299999999994</v>
      </c>
      <c r="N90" s="12">
        <v>16.333729000000002</v>
      </c>
      <c r="O90" s="13">
        <f t="shared" si="16"/>
        <v>-1.3633803318175479</v>
      </c>
      <c r="P90" s="6">
        <f t="shared" si="17"/>
        <v>-1.2497475834028193</v>
      </c>
      <c r="Q90" s="6">
        <f t="shared" si="18"/>
        <v>1.2501713303313935</v>
      </c>
      <c r="R90" s="6">
        <f t="shared" si="19"/>
        <v>0.68824191940063306</v>
      </c>
      <c r="S90">
        <f t="shared" si="20"/>
        <v>0</v>
      </c>
      <c r="T90">
        <f t="shared" si="21"/>
        <v>0</v>
      </c>
      <c r="U90">
        <f t="shared" si="22"/>
        <v>0</v>
      </c>
      <c r="V90">
        <f t="shared" si="23"/>
        <v>1</v>
      </c>
      <c r="W90">
        <f t="shared" si="24"/>
        <v>0</v>
      </c>
      <c r="X90">
        <f t="shared" si="25"/>
        <v>0</v>
      </c>
      <c r="Y90">
        <f t="shared" si="26"/>
        <v>1</v>
      </c>
      <c r="Z90">
        <f t="shared" si="27"/>
        <v>0</v>
      </c>
      <c r="AA90">
        <f t="shared" si="28"/>
        <v>0</v>
      </c>
    </row>
    <row r="91" spans="2:27" x14ac:dyDescent="0.3">
      <c r="B91">
        <v>84</v>
      </c>
      <c r="C91" s="1">
        <v>40627</v>
      </c>
      <c r="D91">
        <v>2</v>
      </c>
      <c r="E91">
        <v>0</v>
      </c>
      <c r="F91">
        <v>3</v>
      </c>
      <c r="G91">
        <v>5</v>
      </c>
      <c r="H91">
        <v>1</v>
      </c>
      <c r="I91">
        <v>300</v>
      </c>
      <c r="J91">
        <v>1910</v>
      </c>
      <c r="K91" s="8">
        <v>2210</v>
      </c>
      <c r="L91" s="12">
        <v>12.8156</v>
      </c>
      <c r="M91" s="12">
        <v>49.5</v>
      </c>
      <c r="N91" s="12">
        <v>15.458575</v>
      </c>
      <c r="O91" s="13">
        <f t="shared" si="16"/>
        <v>-1.1851673544930377</v>
      </c>
      <c r="P91" s="6">
        <f t="shared" si="17"/>
        <v>-1.3389157069430673</v>
      </c>
      <c r="Q91" s="6">
        <f t="shared" si="18"/>
        <v>-0.93369304198729897</v>
      </c>
      <c r="R91" s="6">
        <f t="shared" si="19"/>
        <v>0.51957994974170163</v>
      </c>
      <c r="S91">
        <f t="shared" si="20"/>
        <v>0</v>
      </c>
      <c r="T91">
        <f t="shared" si="21"/>
        <v>0</v>
      </c>
      <c r="U91">
        <f t="shared" si="22"/>
        <v>0</v>
      </c>
      <c r="V91">
        <f t="shared" si="23"/>
        <v>0</v>
      </c>
      <c r="W91">
        <f t="shared" si="24"/>
        <v>1</v>
      </c>
      <c r="X91">
        <f t="shared" si="25"/>
        <v>0</v>
      </c>
      <c r="Y91">
        <f t="shared" si="26"/>
        <v>1</v>
      </c>
      <c r="Z91">
        <f t="shared" si="27"/>
        <v>0</v>
      </c>
      <c r="AA91">
        <f t="shared" si="28"/>
        <v>0</v>
      </c>
    </row>
    <row r="92" spans="2:27" x14ac:dyDescent="0.3">
      <c r="B92">
        <v>85</v>
      </c>
      <c r="C92" s="1">
        <v>40628</v>
      </c>
      <c r="D92">
        <v>2</v>
      </c>
      <c r="E92">
        <v>0</v>
      </c>
      <c r="F92">
        <v>3</v>
      </c>
      <c r="G92">
        <v>6</v>
      </c>
      <c r="H92">
        <v>1</v>
      </c>
      <c r="I92">
        <v>981</v>
      </c>
      <c r="J92">
        <v>1515</v>
      </c>
      <c r="K92" s="8">
        <v>2496</v>
      </c>
      <c r="L92" s="12">
        <v>12.878550000000001</v>
      </c>
      <c r="M92" s="12">
        <v>39.416699999999999</v>
      </c>
      <c r="N92" s="12">
        <v>14.041257</v>
      </c>
      <c r="O92" s="13">
        <f t="shared" si="16"/>
        <v>-1.0374313790877914</v>
      </c>
      <c r="P92" s="6">
        <f t="shared" si="17"/>
        <v>-1.3311846507115974</v>
      </c>
      <c r="Q92" s="6">
        <f t="shared" si="18"/>
        <v>-1.642130036302609</v>
      </c>
      <c r="R92" s="6">
        <f t="shared" si="19"/>
        <v>0.24643071484926352</v>
      </c>
      <c r="S92">
        <f t="shared" si="20"/>
        <v>0</v>
      </c>
      <c r="T92">
        <f t="shared" si="21"/>
        <v>0</v>
      </c>
      <c r="U92">
        <f t="shared" si="22"/>
        <v>0</v>
      </c>
      <c r="V92">
        <f t="shared" si="23"/>
        <v>0</v>
      </c>
      <c r="W92">
        <f t="shared" si="24"/>
        <v>0</v>
      </c>
      <c r="X92">
        <f t="shared" si="25"/>
        <v>0</v>
      </c>
      <c r="Y92">
        <f t="shared" si="26"/>
        <v>1</v>
      </c>
      <c r="Z92">
        <f t="shared" si="27"/>
        <v>0</v>
      </c>
      <c r="AA92">
        <f t="shared" si="28"/>
        <v>0</v>
      </c>
    </row>
    <row r="93" spans="2:27" x14ac:dyDescent="0.3">
      <c r="B93">
        <v>86</v>
      </c>
      <c r="C93" s="1">
        <v>40629</v>
      </c>
      <c r="D93">
        <v>2</v>
      </c>
      <c r="E93">
        <v>0</v>
      </c>
      <c r="F93">
        <v>3</v>
      </c>
      <c r="G93">
        <v>0</v>
      </c>
      <c r="H93">
        <v>2</v>
      </c>
      <c r="I93">
        <v>472</v>
      </c>
      <c r="J93">
        <v>1221</v>
      </c>
      <c r="K93" s="8">
        <v>1693</v>
      </c>
      <c r="L93" s="12">
        <v>12.51695</v>
      </c>
      <c r="M93" s="12">
        <v>49.391300000000001</v>
      </c>
      <c r="N93" s="12">
        <v>12.348100000000001</v>
      </c>
      <c r="O93" s="13">
        <f t="shared" si="16"/>
        <v>-1.4522285408025211</v>
      </c>
      <c r="P93" s="6">
        <f t="shared" si="17"/>
        <v>-1.3755937044574189</v>
      </c>
      <c r="Q93" s="6">
        <f t="shared" si="18"/>
        <v>-0.94133013512963071</v>
      </c>
      <c r="R93" s="6">
        <f t="shared" si="19"/>
        <v>-7.9878934151719802E-2</v>
      </c>
      <c r="S93">
        <f t="shared" si="20"/>
        <v>0</v>
      </c>
      <c r="T93">
        <f t="shared" si="21"/>
        <v>0</v>
      </c>
      <c r="U93">
        <f t="shared" si="22"/>
        <v>0</v>
      </c>
      <c r="V93">
        <f t="shared" si="23"/>
        <v>0</v>
      </c>
      <c r="W93">
        <f t="shared" si="24"/>
        <v>0</v>
      </c>
      <c r="X93">
        <f t="shared" si="25"/>
        <v>0</v>
      </c>
      <c r="Y93">
        <f t="shared" si="26"/>
        <v>1</v>
      </c>
      <c r="Z93">
        <f t="shared" si="27"/>
        <v>0</v>
      </c>
      <c r="AA93">
        <f t="shared" si="28"/>
        <v>0</v>
      </c>
    </row>
    <row r="94" spans="2:27" x14ac:dyDescent="0.3">
      <c r="B94">
        <v>87</v>
      </c>
      <c r="C94" s="1">
        <v>40630</v>
      </c>
      <c r="D94">
        <v>2</v>
      </c>
      <c r="E94">
        <v>0</v>
      </c>
      <c r="F94">
        <v>3</v>
      </c>
      <c r="G94">
        <v>1</v>
      </c>
      <c r="H94">
        <v>1</v>
      </c>
      <c r="I94">
        <v>222</v>
      </c>
      <c r="J94">
        <v>1806</v>
      </c>
      <c r="K94" s="8">
        <v>2028</v>
      </c>
      <c r="L94" s="12">
        <v>12.8787</v>
      </c>
      <c r="M94" s="12">
        <v>30.217400000000001</v>
      </c>
      <c r="N94" s="12">
        <v>14.217668</v>
      </c>
      <c r="O94" s="13">
        <f t="shared" si="16"/>
        <v>-1.2791811570236489</v>
      </c>
      <c r="P94" s="6">
        <f t="shared" si="17"/>
        <v>-1.3311662288143025</v>
      </c>
      <c r="Q94" s="6">
        <f t="shared" si="18"/>
        <v>-2.2884585638486334</v>
      </c>
      <c r="R94" s="6">
        <f t="shared" si="19"/>
        <v>0.2804291045378231</v>
      </c>
      <c r="S94">
        <f t="shared" si="20"/>
        <v>1</v>
      </c>
      <c r="T94">
        <f t="shared" si="21"/>
        <v>0</v>
      </c>
      <c r="U94">
        <f t="shared" si="22"/>
        <v>0</v>
      </c>
      <c r="V94">
        <f t="shared" si="23"/>
        <v>0</v>
      </c>
      <c r="W94">
        <f t="shared" si="24"/>
        <v>0</v>
      </c>
      <c r="X94">
        <f t="shared" si="25"/>
        <v>0</v>
      </c>
      <c r="Y94">
        <f t="shared" si="26"/>
        <v>1</v>
      </c>
      <c r="Z94">
        <f t="shared" si="27"/>
        <v>0</v>
      </c>
      <c r="AA94">
        <f t="shared" si="28"/>
        <v>0</v>
      </c>
    </row>
    <row r="95" spans="2:27" x14ac:dyDescent="0.3">
      <c r="B95">
        <v>88</v>
      </c>
      <c r="C95" s="1">
        <v>40631</v>
      </c>
      <c r="D95">
        <v>2</v>
      </c>
      <c r="E95">
        <v>0</v>
      </c>
      <c r="F95">
        <v>3</v>
      </c>
      <c r="G95">
        <v>2</v>
      </c>
      <c r="H95">
        <v>1</v>
      </c>
      <c r="I95">
        <v>317</v>
      </c>
      <c r="J95">
        <v>2108</v>
      </c>
      <c r="K95" s="8">
        <v>2425</v>
      </c>
      <c r="L95" s="12">
        <v>14.6454</v>
      </c>
      <c r="M95" s="12">
        <v>31.416699999999999</v>
      </c>
      <c r="N95" s="12">
        <v>15.208731999999999</v>
      </c>
      <c r="O95" s="13">
        <f t="shared" si="16"/>
        <v>-1.0741070932618211</v>
      </c>
      <c r="P95" s="6">
        <f t="shared" si="17"/>
        <v>-1.1141931224737529</v>
      </c>
      <c r="Q95" s="6">
        <f t="shared" si="18"/>
        <v>-2.2041976088753263</v>
      </c>
      <c r="R95" s="6">
        <f t="shared" si="19"/>
        <v>0.47142955279956761</v>
      </c>
      <c r="S95">
        <f t="shared" si="20"/>
        <v>0</v>
      </c>
      <c r="T95">
        <f t="shared" si="21"/>
        <v>1</v>
      </c>
      <c r="U95">
        <f t="shared" si="22"/>
        <v>0</v>
      </c>
      <c r="V95">
        <f t="shared" si="23"/>
        <v>0</v>
      </c>
      <c r="W95">
        <f t="shared" si="24"/>
        <v>0</v>
      </c>
      <c r="X95">
        <f t="shared" si="25"/>
        <v>0</v>
      </c>
      <c r="Y95">
        <f t="shared" si="26"/>
        <v>1</v>
      </c>
      <c r="Z95">
        <f t="shared" si="27"/>
        <v>0</v>
      </c>
      <c r="AA95">
        <f t="shared" si="28"/>
        <v>0</v>
      </c>
    </row>
    <row r="96" spans="2:27" x14ac:dyDescent="0.3">
      <c r="B96">
        <v>89</v>
      </c>
      <c r="C96" s="1">
        <v>40632</v>
      </c>
      <c r="D96">
        <v>2</v>
      </c>
      <c r="E96">
        <v>0</v>
      </c>
      <c r="F96">
        <v>3</v>
      </c>
      <c r="G96">
        <v>3</v>
      </c>
      <c r="H96">
        <v>2</v>
      </c>
      <c r="I96">
        <v>168</v>
      </c>
      <c r="J96">
        <v>1368</v>
      </c>
      <c r="K96" s="8">
        <v>1536</v>
      </c>
      <c r="L96" s="12">
        <v>14.8675</v>
      </c>
      <c r="M96" s="12">
        <v>64.666700000000006</v>
      </c>
      <c r="N96" s="12">
        <v>11.583496</v>
      </c>
      <c r="O96" s="13">
        <f t="shared" si="16"/>
        <v>-1.5333283594690374</v>
      </c>
      <c r="P96" s="6">
        <f t="shared" si="17"/>
        <v>-1.0869164332122847</v>
      </c>
      <c r="Q96" s="6">
        <f t="shared" si="18"/>
        <v>0.13189573963003037</v>
      </c>
      <c r="R96" s="6">
        <f t="shared" si="19"/>
        <v>-0.22723541843802522</v>
      </c>
      <c r="S96">
        <f t="shared" si="20"/>
        <v>0</v>
      </c>
      <c r="T96">
        <f t="shared" si="21"/>
        <v>0</v>
      </c>
      <c r="U96">
        <f t="shared" si="22"/>
        <v>1</v>
      </c>
      <c r="V96">
        <f t="shared" si="23"/>
        <v>0</v>
      </c>
      <c r="W96">
        <f t="shared" si="24"/>
        <v>0</v>
      </c>
      <c r="X96">
        <f t="shared" si="25"/>
        <v>0</v>
      </c>
      <c r="Y96">
        <f t="shared" si="26"/>
        <v>1</v>
      </c>
      <c r="Z96">
        <f t="shared" si="27"/>
        <v>0</v>
      </c>
      <c r="AA96">
        <f t="shared" si="28"/>
        <v>0</v>
      </c>
    </row>
    <row r="97" spans="2:27" x14ac:dyDescent="0.3">
      <c r="B97">
        <v>90</v>
      </c>
      <c r="C97" s="1">
        <v>40633</v>
      </c>
      <c r="D97">
        <v>2</v>
      </c>
      <c r="E97">
        <v>0</v>
      </c>
      <c r="F97">
        <v>3</v>
      </c>
      <c r="G97">
        <v>4</v>
      </c>
      <c r="H97">
        <v>3</v>
      </c>
      <c r="I97">
        <v>179</v>
      </c>
      <c r="J97">
        <v>1506</v>
      </c>
      <c r="K97" s="8">
        <v>1685</v>
      </c>
      <c r="L97" s="12">
        <v>12.87875</v>
      </c>
      <c r="M97" s="12">
        <v>91.833299999999994</v>
      </c>
      <c r="N97" s="12">
        <v>14.582281999999999</v>
      </c>
      <c r="O97" s="13">
        <f t="shared" si="16"/>
        <v>-1.4563610156390314</v>
      </c>
      <c r="P97" s="6">
        <f t="shared" si="17"/>
        <v>-1.3311600881818708</v>
      </c>
      <c r="Q97" s="6">
        <f t="shared" si="18"/>
        <v>2.0405788542617773</v>
      </c>
      <c r="R97" s="6">
        <f t="shared" si="19"/>
        <v>0.3506984690213556</v>
      </c>
      <c r="S97">
        <f t="shared" si="20"/>
        <v>0</v>
      </c>
      <c r="T97">
        <f t="shared" si="21"/>
        <v>0</v>
      </c>
      <c r="U97">
        <f t="shared" si="22"/>
        <v>0</v>
      </c>
      <c r="V97">
        <f t="shared" si="23"/>
        <v>1</v>
      </c>
      <c r="W97">
        <f t="shared" si="24"/>
        <v>0</v>
      </c>
      <c r="X97">
        <f t="shared" si="25"/>
        <v>1</v>
      </c>
      <c r="Y97">
        <f t="shared" si="26"/>
        <v>1</v>
      </c>
      <c r="Z97">
        <f t="shared" si="27"/>
        <v>0</v>
      </c>
      <c r="AA97">
        <f t="shared" si="28"/>
        <v>0</v>
      </c>
    </row>
    <row r="98" spans="2:27" x14ac:dyDescent="0.3">
      <c r="B98">
        <v>91</v>
      </c>
      <c r="C98" s="1">
        <v>40634</v>
      </c>
      <c r="D98">
        <v>2</v>
      </c>
      <c r="E98">
        <v>0</v>
      </c>
      <c r="F98">
        <v>4</v>
      </c>
      <c r="G98">
        <v>5</v>
      </c>
      <c r="H98">
        <v>2</v>
      </c>
      <c r="I98">
        <v>307</v>
      </c>
      <c r="J98">
        <v>1920</v>
      </c>
      <c r="K98" s="8">
        <v>2227</v>
      </c>
      <c r="L98" s="12">
        <v>14.172700000000001</v>
      </c>
      <c r="M98" s="12">
        <v>68.625</v>
      </c>
      <c r="N98" s="12">
        <v>17.333435999999999</v>
      </c>
      <c r="O98" s="13">
        <f t="shared" si="16"/>
        <v>-1.176385845465453</v>
      </c>
      <c r="P98" s="6">
        <f t="shared" si="17"/>
        <v>-1.17224666148274</v>
      </c>
      <c r="Q98" s="6">
        <f t="shared" si="18"/>
        <v>0.40999974869435329</v>
      </c>
      <c r="R98" s="6">
        <f t="shared" si="19"/>
        <v>0.88090806924605503</v>
      </c>
      <c r="S98">
        <f t="shared" si="20"/>
        <v>0</v>
      </c>
      <c r="T98">
        <f t="shared" si="21"/>
        <v>0</v>
      </c>
      <c r="U98">
        <f t="shared" si="22"/>
        <v>0</v>
      </c>
      <c r="V98">
        <f t="shared" si="23"/>
        <v>0</v>
      </c>
      <c r="W98">
        <f t="shared" si="24"/>
        <v>1</v>
      </c>
      <c r="X98">
        <f t="shared" si="25"/>
        <v>0</v>
      </c>
      <c r="Y98">
        <f t="shared" si="26"/>
        <v>1</v>
      </c>
      <c r="Z98">
        <f t="shared" si="27"/>
        <v>0</v>
      </c>
      <c r="AA98">
        <f t="shared" si="28"/>
        <v>0</v>
      </c>
    </row>
    <row r="99" spans="2:27" x14ac:dyDescent="0.3">
      <c r="B99">
        <v>92</v>
      </c>
      <c r="C99" s="1">
        <v>40635</v>
      </c>
      <c r="D99">
        <v>2</v>
      </c>
      <c r="E99">
        <v>0</v>
      </c>
      <c r="F99">
        <v>4</v>
      </c>
      <c r="G99">
        <v>6</v>
      </c>
      <c r="H99">
        <v>2</v>
      </c>
      <c r="I99">
        <v>898</v>
      </c>
      <c r="J99">
        <v>1354</v>
      </c>
      <c r="K99" s="8">
        <v>2252</v>
      </c>
      <c r="L99" s="12">
        <v>15.78185</v>
      </c>
      <c r="M99" s="12">
        <v>65.375</v>
      </c>
      <c r="N99" s="12">
        <v>13.208781999999999</v>
      </c>
      <c r="O99" s="13">
        <f t="shared" si="16"/>
        <v>-1.163471861601358</v>
      </c>
      <c r="P99" s="6">
        <f t="shared" si="17"/>
        <v>-0.97462268793437579</v>
      </c>
      <c r="Q99" s="6">
        <f t="shared" si="18"/>
        <v>0.18165979733668691</v>
      </c>
      <c r="R99" s="6">
        <f t="shared" si="19"/>
        <v>8.5993953785703639E-2</v>
      </c>
      <c r="S99">
        <f t="shared" si="20"/>
        <v>0</v>
      </c>
      <c r="T99">
        <f t="shared" si="21"/>
        <v>0</v>
      </c>
      <c r="U99">
        <f t="shared" si="22"/>
        <v>0</v>
      </c>
      <c r="V99">
        <f t="shared" si="23"/>
        <v>0</v>
      </c>
      <c r="W99">
        <f t="shared" si="24"/>
        <v>0</v>
      </c>
      <c r="X99">
        <f t="shared" si="25"/>
        <v>0</v>
      </c>
      <c r="Y99">
        <f t="shared" si="26"/>
        <v>1</v>
      </c>
      <c r="Z99">
        <f t="shared" si="27"/>
        <v>0</v>
      </c>
      <c r="AA99">
        <f t="shared" si="28"/>
        <v>0</v>
      </c>
    </row>
    <row r="100" spans="2:27" x14ac:dyDescent="0.3">
      <c r="B100">
        <v>93</v>
      </c>
      <c r="C100" s="1">
        <v>40636</v>
      </c>
      <c r="D100">
        <v>2</v>
      </c>
      <c r="E100">
        <v>0</v>
      </c>
      <c r="F100">
        <v>4</v>
      </c>
      <c r="G100">
        <v>0</v>
      </c>
      <c r="H100">
        <v>1</v>
      </c>
      <c r="I100">
        <v>1651</v>
      </c>
      <c r="J100">
        <v>1598</v>
      </c>
      <c r="K100" s="8">
        <v>3249</v>
      </c>
      <c r="L100" s="12">
        <v>18.93835</v>
      </c>
      <c r="M100" s="12">
        <v>48</v>
      </c>
      <c r="N100" s="12">
        <v>12.208271</v>
      </c>
      <c r="O100" s="13">
        <f t="shared" si="16"/>
        <v>-0.64846218510125153</v>
      </c>
      <c r="P100" s="6">
        <f t="shared" si="17"/>
        <v>-0.58696456252318852</v>
      </c>
      <c r="Q100" s="6">
        <f t="shared" si="18"/>
        <v>-1.0390807118446834</v>
      </c>
      <c r="R100" s="6">
        <f t="shared" si="19"/>
        <v>-0.10682714504424703</v>
      </c>
      <c r="S100">
        <f t="shared" si="20"/>
        <v>0</v>
      </c>
      <c r="T100">
        <f t="shared" si="21"/>
        <v>0</v>
      </c>
      <c r="U100">
        <f t="shared" si="22"/>
        <v>0</v>
      </c>
      <c r="V100">
        <f t="shared" si="23"/>
        <v>0</v>
      </c>
      <c r="W100">
        <f t="shared" si="24"/>
        <v>0</v>
      </c>
      <c r="X100">
        <f t="shared" si="25"/>
        <v>0</v>
      </c>
      <c r="Y100">
        <f t="shared" si="26"/>
        <v>1</v>
      </c>
      <c r="Z100">
        <f t="shared" si="27"/>
        <v>0</v>
      </c>
      <c r="AA100">
        <f t="shared" si="28"/>
        <v>0</v>
      </c>
    </row>
    <row r="101" spans="2:27" x14ac:dyDescent="0.3">
      <c r="B101">
        <v>94</v>
      </c>
      <c r="C101" s="1">
        <v>40637</v>
      </c>
      <c r="D101">
        <v>2</v>
      </c>
      <c r="E101">
        <v>0</v>
      </c>
      <c r="F101">
        <v>4</v>
      </c>
      <c r="G101">
        <v>1</v>
      </c>
      <c r="H101">
        <v>1</v>
      </c>
      <c r="I101">
        <v>734</v>
      </c>
      <c r="J101">
        <v>2381</v>
      </c>
      <c r="K101" s="8">
        <v>3115</v>
      </c>
      <c r="L101" s="12">
        <v>27.146450000000002</v>
      </c>
      <c r="M101" s="12">
        <v>42.625</v>
      </c>
      <c r="N101" s="12">
        <v>25.833257</v>
      </c>
      <c r="O101" s="13">
        <f t="shared" si="16"/>
        <v>-0.71768113861280047</v>
      </c>
      <c r="P101" s="6">
        <f t="shared" si="17"/>
        <v>0.42109393872425877</v>
      </c>
      <c r="Q101" s="6">
        <f t="shared" si="18"/>
        <v>-1.4167198621669779</v>
      </c>
      <c r="R101" s="6">
        <f t="shared" si="19"/>
        <v>2.5190158212626654</v>
      </c>
      <c r="S101">
        <f t="shared" si="20"/>
        <v>1</v>
      </c>
      <c r="T101">
        <f t="shared" si="21"/>
        <v>0</v>
      </c>
      <c r="U101">
        <f t="shared" si="22"/>
        <v>0</v>
      </c>
      <c r="V101">
        <f t="shared" si="23"/>
        <v>0</v>
      </c>
      <c r="W101">
        <f t="shared" si="24"/>
        <v>0</v>
      </c>
      <c r="X101">
        <f t="shared" si="25"/>
        <v>0</v>
      </c>
      <c r="Y101">
        <f t="shared" si="26"/>
        <v>1</v>
      </c>
      <c r="Z101">
        <f t="shared" si="27"/>
        <v>0</v>
      </c>
      <c r="AA101">
        <f t="shared" si="28"/>
        <v>0</v>
      </c>
    </row>
    <row r="102" spans="2:27" x14ac:dyDescent="0.3">
      <c r="B102">
        <v>95</v>
      </c>
      <c r="C102" s="1">
        <v>40638</v>
      </c>
      <c r="D102">
        <v>2</v>
      </c>
      <c r="E102">
        <v>0</v>
      </c>
      <c r="F102">
        <v>4</v>
      </c>
      <c r="G102">
        <v>2</v>
      </c>
      <c r="H102">
        <v>2</v>
      </c>
      <c r="I102">
        <v>167</v>
      </c>
      <c r="J102">
        <v>1628</v>
      </c>
      <c r="K102" s="8">
        <v>1795</v>
      </c>
      <c r="L102" s="12">
        <v>19.9175</v>
      </c>
      <c r="M102" s="12">
        <v>64.208299999999994</v>
      </c>
      <c r="N102" s="12">
        <v>26.000489000000002</v>
      </c>
      <c r="O102" s="13">
        <f t="shared" si="16"/>
        <v>-1.3995394866370137</v>
      </c>
      <c r="P102" s="6">
        <f t="shared" si="17"/>
        <v>-0.46671255761383817</v>
      </c>
      <c r="Q102" s="6">
        <f t="shared" si="18"/>
        <v>9.9689267721612837E-2</v>
      </c>
      <c r="R102" s="6">
        <f t="shared" si="19"/>
        <v>2.5512452100445286</v>
      </c>
      <c r="S102">
        <f t="shared" si="20"/>
        <v>0</v>
      </c>
      <c r="T102">
        <f t="shared" si="21"/>
        <v>1</v>
      </c>
      <c r="U102">
        <f t="shared" si="22"/>
        <v>0</v>
      </c>
      <c r="V102">
        <f t="shared" si="23"/>
        <v>0</v>
      </c>
      <c r="W102">
        <f t="shared" si="24"/>
        <v>0</v>
      </c>
      <c r="X102">
        <f t="shared" si="25"/>
        <v>0</v>
      </c>
      <c r="Y102">
        <f t="shared" si="26"/>
        <v>1</v>
      </c>
      <c r="Z102">
        <f t="shared" si="27"/>
        <v>0</v>
      </c>
      <c r="AA102">
        <f t="shared" si="28"/>
        <v>0</v>
      </c>
    </row>
    <row r="103" spans="2:27" x14ac:dyDescent="0.3">
      <c r="B103">
        <v>96</v>
      </c>
      <c r="C103" s="1">
        <v>40639</v>
      </c>
      <c r="D103">
        <v>2</v>
      </c>
      <c r="E103">
        <v>0</v>
      </c>
      <c r="F103">
        <v>4</v>
      </c>
      <c r="G103">
        <v>3</v>
      </c>
      <c r="H103">
        <v>1</v>
      </c>
      <c r="I103">
        <v>413</v>
      </c>
      <c r="J103">
        <v>2395</v>
      </c>
      <c r="K103" s="8">
        <v>2808</v>
      </c>
      <c r="L103" s="12">
        <v>19.380400000000002</v>
      </c>
      <c r="M103" s="12">
        <v>47.083300000000001</v>
      </c>
      <c r="N103" s="12">
        <v>17.625221</v>
      </c>
      <c r="O103" s="13">
        <f t="shared" si="16"/>
        <v>-0.87626486046388641</v>
      </c>
      <c r="P103" s="6">
        <f t="shared" si="17"/>
        <v>-0.53267523119481341</v>
      </c>
      <c r="Q103" s="6">
        <f t="shared" si="18"/>
        <v>-1.1034866298168595</v>
      </c>
      <c r="R103" s="6">
        <f t="shared" si="19"/>
        <v>0.93714163821440954</v>
      </c>
      <c r="S103">
        <f t="shared" si="20"/>
        <v>0</v>
      </c>
      <c r="T103">
        <f t="shared" si="21"/>
        <v>0</v>
      </c>
      <c r="U103">
        <f t="shared" si="22"/>
        <v>1</v>
      </c>
      <c r="V103">
        <f t="shared" si="23"/>
        <v>0</v>
      </c>
      <c r="W103">
        <f t="shared" si="24"/>
        <v>0</v>
      </c>
      <c r="X103">
        <f t="shared" si="25"/>
        <v>0</v>
      </c>
      <c r="Y103">
        <f t="shared" si="26"/>
        <v>1</v>
      </c>
      <c r="Z103">
        <f t="shared" si="27"/>
        <v>0</v>
      </c>
      <c r="AA103">
        <f t="shared" si="28"/>
        <v>0</v>
      </c>
    </row>
    <row r="104" spans="2:27" x14ac:dyDescent="0.3">
      <c r="B104">
        <v>97</v>
      </c>
      <c r="C104" s="1">
        <v>40640</v>
      </c>
      <c r="D104">
        <v>2</v>
      </c>
      <c r="E104">
        <v>0</v>
      </c>
      <c r="F104">
        <v>4</v>
      </c>
      <c r="G104">
        <v>4</v>
      </c>
      <c r="H104">
        <v>1</v>
      </c>
      <c r="I104">
        <v>571</v>
      </c>
      <c r="J104">
        <v>2570</v>
      </c>
      <c r="K104" s="8">
        <v>3141</v>
      </c>
      <c r="L104" s="12">
        <v>21.684799999999999</v>
      </c>
      <c r="M104" s="12">
        <v>60.291699999999999</v>
      </c>
      <c r="N104" s="12">
        <v>10.874904000000001</v>
      </c>
      <c r="O104" s="13">
        <f t="shared" si="16"/>
        <v>-0.7042505953941417</v>
      </c>
      <c r="P104" s="6">
        <f t="shared" si="17"/>
        <v>-0.24966576368410878</v>
      </c>
      <c r="Q104" s="6">
        <f t="shared" si="18"/>
        <v>-0.17548496412067491</v>
      </c>
      <c r="R104" s="6">
        <f t="shared" si="19"/>
        <v>-0.36379712346886683</v>
      </c>
      <c r="S104">
        <f t="shared" si="20"/>
        <v>0</v>
      </c>
      <c r="T104">
        <f t="shared" si="21"/>
        <v>0</v>
      </c>
      <c r="U104">
        <f t="shared" si="22"/>
        <v>0</v>
      </c>
      <c r="V104">
        <f t="shared" si="23"/>
        <v>1</v>
      </c>
      <c r="W104">
        <f t="shared" si="24"/>
        <v>0</v>
      </c>
      <c r="X104">
        <f t="shared" si="25"/>
        <v>0</v>
      </c>
      <c r="Y104">
        <f t="shared" si="26"/>
        <v>1</v>
      </c>
      <c r="Z104">
        <f t="shared" si="27"/>
        <v>0</v>
      </c>
      <c r="AA104">
        <f t="shared" si="28"/>
        <v>0</v>
      </c>
    </row>
    <row r="105" spans="2:27" x14ac:dyDescent="0.3">
      <c r="B105">
        <v>98</v>
      </c>
      <c r="C105" s="1">
        <v>40641</v>
      </c>
      <c r="D105">
        <v>2</v>
      </c>
      <c r="E105">
        <v>0</v>
      </c>
      <c r="F105">
        <v>4</v>
      </c>
      <c r="G105">
        <v>5</v>
      </c>
      <c r="H105">
        <v>2</v>
      </c>
      <c r="I105">
        <v>172</v>
      </c>
      <c r="J105">
        <v>1299</v>
      </c>
      <c r="K105" s="8">
        <v>1471</v>
      </c>
      <c r="L105" s="12">
        <v>16.223949999999999</v>
      </c>
      <c r="M105" s="12">
        <v>83.625</v>
      </c>
      <c r="N105" s="12">
        <v>15.208463999999999</v>
      </c>
      <c r="O105" s="13">
        <f t="shared" si="16"/>
        <v>-1.5669047175156843</v>
      </c>
      <c r="P105" s="6">
        <f t="shared" si="17"/>
        <v>-0.92032721597356948</v>
      </c>
      <c r="Q105" s="6">
        <f t="shared" si="18"/>
        <v>1.4638764472681982</v>
      </c>
      <c r="R105" s="6">
        <f t="shared" si="19"/>
        <v>0.47137790313805816</v>
      </c>
      <c r="S105">
        <f t="shared" si="20"/>
        <v>0</v>
      </c>
      <c r="T105">
        <f t="shared" si="21"/>
        <v>0</v>
      </c>
      <c r="U105">
        <f t="shared" si="22"/>
        <v>0</v>
      </c>
      <c r="V105">
        <f t="shared" si="23"/>
        <v>0</v>
      </c>
      <c r="W105">
        <f t="shared" si="24"/>
        <v>1</v>
      </c>
      <c r="X105">
        <f t="shared" si="25"/>
        <v>0</v>
      </c>
      <c r="Y105">
        <f t="shared" si="26"/>
        <v>1</v>
      </c>
      <c r="Z105">
        <f t="shared" si="27"/>
        <v>0</v>
      </c>
      <c r="AA105">
        <f t="shared" si="28"/>
        <v>0</v>
      </c>
    </row>
    <row r="106" spans="2:27" x14ac:dyDescent="0.3">
      <c r="B106">
        <v>99</v>
      </c>
      <c r="C106" s="1">
        <v>40642</v>
      </c>
      <c r="D106">
        <v>2</v>
      </c>
      <c r="E106">
        <v>0</v>
      </c>
      <c r="F106">
        <v>4</v>
      </c>
      <c r="G106">
        <v>6</v>
      </c>
      <c r="H106">
        <v>2</v>
      </c>
      <c r="I106">
        <v>879</v>
      </c>
      <c r="J106">
        <v>1576</v>
      </c>
      <c r="K106" s="8">
        <v>2455</v>
      </c>
      <c r="L106" s="12">
        <v>17.076450000000001</v>
      </c>
      <c r="M106" s="12">
        <v>87.75</v>
      </c>
      <c r="N106" s="12">
        <v>8.9165609999999997</v>
      </c>
      <c r="O106" s="13">
        <f t="shared" si="16"/>
        <v>-1.0586103126249071</v>
      </c>
      <c r="P106" s="6">
        <f t="shared" si="17"/>
        <v>-0.81562943301363333</v>
      </c>
      <c r="Q106" s="6">
        <f t="shared" si="18"/>
        <v>1.7536925393760057</v>
      </c>
      <c r="R106" s="6">
        <f t="shared" si="19"/>
        <v>-0.74121411253339731</v>
      </c>
      <c r="S106">
        <f t="shared" si="20"/>
        <v>0</v>
      </c>
      <c r="T106">
        <f t="shared" si="21"/>
        <v>0</v>
      </c>
      <c r="U106">
        <f t="shared" si="22"/>
        <v>0</v>
      </c>
      <c r="V106">
        <f t="shared" si="23"/>
        <v>0</v>
      </c>
      <c r="W106">
        <f t="shared" si="24"/>
        <v>0</v>
      </c>
      <c r="X106">
        <f t="shared" si="25"/>
        <v>0</v>
      </c>
      <c r="Y106">
        <f t="shared" si="26"/>
        <v>1</v>
      </c>
      <c r="Z106">
        <f t="shared" si="27"/>
        <v>0</v>
      </c>
      <c r="AA106">
        <f t="shared" si="28"/>
        <v>0</v>
      </c>
    </row>
    <row r="107" spans="2:27" x14ac:dyDescent="0.3">
      <c r="B107">
        <v>100</v>
      </c>
      <c r="C107" s="1">
        <v>40643</v>
      </c>
      <c r="D107">
        <v>2</v>
      </c>
      <c r="E107">
        <v>0</v>
      </c>
      <c r="F107">
        <v>4</v>
      </c>
      <c r="G107">
        <v>0</v>
      </c>
      <c r="H107">
        <v>2</v>
      </c>
      <c r="I107">
        <v>1188</v>
      </c>
      <c r="J107">
        <v>1707</v>
      </c>
      <c r="K107" s="8">
        <v>2895</v>
      </c>
      <c r="L107" s="12">
        <v>21.336849999999998</v>
      </c>
      <c r="M107" s="12">
        <v>85.75</v>
      </c>
      <c r="N107" s="12">
        <v>9.8333890000000004</v>
      </c>
      <c r="O107" s="13">
        <f t="shared" si="16"/>
        <v>-0.83132419661683599</v>
      </c>
      <c r="P107" s="6">
        <f t="shared" si="17"/>
        <v>-0.29239842477608502</v>
      </c>
      <c r="Q107" s="6">
        <f t="shared" si="18"/>
        <v>1.6131756462328262</v>
      </c>
      <c r="R107" s="6">
        <f t="shared" si="19"/>
        <v>-0.56452062050975516</v>
      </c>
      <c r="S107">
        <f t="shared" si="20"/>
        <v>0</v>
      </c>
      <c r="T107">
        <f t="shared" si="21"/>
        <v>0</v>
      </c>
      <c r="U107">
        <f t="shared" si="22"/>
        <v>0</v>
      </c>
      <c r="V107">
        <f t="shared" si="23"/>
        <v>0</v>
      </c>
      <c r="W107">
        <f t="shared" si="24"/>
        <v>0</v>
      </c>
      <c r="X107">
        <f t="shared" si="25"/>
        <v>0</v>
      </c>
      <c r="Y107">
        <f t="shared" si="26"/>
        <v>1</v>
      </c>
      <c r="Z107">
        <f t="shared" si="27"/>
        <v>0</v>
      </c>
      <c r="AA107">
        <f t="shared" si="28"/>
        <v>0</v>
      </c>
    </row>
    <row r="108" spans="2:27" x14ac:dyDescent="0.3">
      <c r="B108">
        <v>101</v>
      </c>
      <c r="C108" s="1">
        <v>40644</v>
      </c>
      <c r="D108">
        <v>2</v>
      </c>
      <c r="E108">
        <v>0</v>
      </c>
      <c r="F108">
        <v>4</v>
      </c>
      <c r="G108">
        <v>1</v>
      </c>
      <c r="H108">
        <v>2</v>
      </c>
      <c r="I108">
        <v>855</v>
      </c>
      <c r="J108">
        <v>2493</v>
      </c>
      <c r="K108" s="8">
        <v>3348</v>
      </c>
      <c r="L108" s="12">
        <v>28.260850000000001</v>
      </c>
      <c r="M108" s="12">
        <v>71.695599999999999</v>
      </c>
      <c r="N108" s="12">
        <v>21.739757999999998</v>
      </c>
      <c r="O108" s="13">
        <f t="shared" si="16"/>
        <v>-0.59732280899943557</v>
      </c>
      <c r="P108" s="6">
        <f t="shared" si="17"/>
        <v>0.55795635436127033</v>
      </c>
      <c r="Q108" s="6">
        <f t="shared" si="18"/>
        <v>0.62573533473707643</v>
      </c>
      <c r="R108" s="6">
        <f t="shared" si="19"/>
        <v>1.7301059789527811</v>
      </c>
      <c r="S108">
        <f t="shared" si="20"/>
        <v>1</v>
      </c>
      <c r="T108">
        <f t="shared" si="21"/>
        <v>0</v>
      </c>
      <c r="U108">
        <f t="shared" si="22"/>
        <v>0</v>
      </c>
      <c r="V108">
        <f t="shared" si="23"/>
        <v>0</v>
      </c>
      <c r="W108">
        <f t="shared" si="24"/>
        <v>0</v>
      </c>
      <c r="X108">
        <f t="shared" si="25"/>
        <v>0</v>
      </c>
      <c r="Y108">
        <f t="shared" si="26"/>
        <v>1</v>
      </c>
      <c r="Z108">
        <f t="shared" si="27"/>
        <v>0</v>
      </c>
      <c r="AA108">
        <f t="shared" si="28"/>
        <v>0</v>
      </c>
    </row>
    <row r="109" spans="2:27" x14ac:dyDescent="0.3">
      <c r="B109">
        <v>102</v>
      </c>
      <c r="C109" s="1">
        <v>40645</v>
      </c>
      <c r="D109">
        <v>2</v>
      </c>
      <c r="E109">
        <v>0</v>
      </c>
      <c r="F109">
        <v>4</v>
      </c>
      <c r="G109">
        <v>2</v>
      </c>
      <c r="H109">
        <v>2</v>
      </c>
      <c r="I109">
        <v>257</v>
      </c>
      <c r="J109">
        <v>1777</v>
      </c>
      <c r="K109" s="8">
        <v>2034</v>
      </c>
      <c r="L109" s="12">
        <v>24.652699999999999</v>
      </c>
      <c r="M109" s="12">
        <v>73.916700000000006</v>
      </c>
      <c r="N109" s="12">
        <v>18.416893000000002</v>
      </c>
      <c r="O109" s="13">
        <f t="shared" si="16"/>
        <v>-1.276081800896266</v>
      </c>
      <c r="P109" s="6">
        <f t="shared" si="17"/>
        <v>0.11482989619482768</v>
      </c>
      <c r="Q109" s="6">
        <f t="shared" si="18"/>
        <v>0.78178637041723475</v>
      </c>
      <c r="R109" s="6">
        <f t="shared" si="19"/>
        <v>1.0897147383131642</v>
      </c>
      <c r="S109">
        <f t="shared" si="20"/>
        <v>0</v>
      </c>
      <c r="T109">
        <f t="shared" si="21"/>
        <v>1</v>
      </c>
      <c r="U109">
        <f t="shared" si="22"/>
        <v>0</v>
      </c>
      <c r="V109">
        <f t="shared" si="23"/>
        <v>0</v>
      </c>
      <c r="W109">
        <f t="shared" si="24"/>
        <v>0</v>
      </c>
      <c r="X109">
        <f t="shared" si="25"/>
        <v>0</v>
      </c>
      <c r="Y109">
        <f t="shared" si="26"/>
        <v>1</v>
      </c>
      <c r="Z109">
        <f t="shared" si="27"/>
        <v>0</v>
      </c>
      <c r="AA109">
        <f t="shared" si="28"/>
        <v>0</v>
      </c>
    </row>
    <row r="110" spans="2:27" x14ac:dyDescent="0.3">
      <c r="B110">
        <v>103</v>
      </c>
      <c r="C110" s="1">
        <v>40646</v>
      </c>
      <c r="D110">
        <v>2</v>
      </c>
      <c r="E110">
        <v>0</v>
      </c>
      <c r="F110">
        <v>4</v>
      </c>
      <c r="G110">
        <v>3</v>
      </c>
      <c r="H110">
        <v>2</v>
      </c>
      <c r="I110">
        <v>209</v>
      </c>
      <c r="J110">
        <v>1953</v>
      </c>
      <c r="K110" s="8">
        <v>2162</v>
      </c>
      <c r="L110" s="12">
        <v>20.864149999999999</v>
      </c>
      <c r="M110" s="12">
        <v>81.916700000000006</v>
      </c>
      <c r="N110" s="12">
        <v>16.791339000000001</v>
      </c>
      <c r="O110" s="13">
        <f t="shared" si="16"/>
        <v>-1.2099622035120998</v>
      </c>
      <c r="P110" s="6">
        <f t="shared" si="17"/>
        <v>-0.35045196378507221</v>
      </c>
      <c r="Q110" s="6">
        <f t="shared" si="18"/>
        <v>1.3438539429899521</v>
      </c>
      <c r="R110" s="6">
        <f t="shared" si="19"/>
        <v>0.77643371642792558</v>
      </c>
      <c r="S110">
        <f t="shared" si="20"/>
        <v>0</v>
      </c>
      <c r="T110">
        <f t="shared" si="21"/>
        <v>0</v>
      </c>
      <c r="U110">
        <f t="shared" si="22"/>
        <v>1</v>
      </c>
      <c r="V110">
        <f t="shared" si="23"/>
        <v>0</v>
      </c>
      <c r="W110">
        <f t="shared" si="24"/>
        <v>0</v>
      </c>
      <c r="X110">
        <f t="shared" si="25"/>
        <v>0</v>
      </c>
      <c r="Y110">
        <f t="shared" si="26"/>
        <v>1</v>
      </c>
      <c r="Z110">
        <f t="shared" si="27"/>
        <v>0</v>
      </c>
      <c r="AA110">
        <f t="shared" si="28"/>
        <v>0</v>
      </c>
    </row>
    <row r="111" spans="2:27" x14ac:dyDescent="0.3">
      <c r="B111">
        <v>104</v>
      </c>
      <c r="C111" s="1">
        <v>40647</v>
      </c>
      <c r="D111">
        <v>2</v>
      </c>
      <c r="E111">
        <v>0</v>
      </c>
      <c r="F111">
        <v>4</v>
      </c>
      <c r="G111">
        <v>4</v>
      </c>
      <c r="H111">
        <v>1</v>
      </c>
      <c r="I111">
        <v>529</v>
      </c>
      <c r="J111">
        <v>2738</v>
      </c>
      <c r="K111" s="8">
        <v>3267</v>
      </c>
      <c r="L111" s="12">
        <v>23.1371</v>
      </c>
      <c r="M111" s="12">
        <v>54.041699999999999</v>
      </c>
      <c r="N111" s="12">
        <v>7.4169</v>
      </c>
      <c r="O111" s="13">
        <f t="shared" si="16"/>
        <v>-0.63916411671910311</v>
      </c>
      <c r="P111" s="6">
        <f t="shared" si="17"/>
        <v>-7.1304954073886151E-2</v>
      </c>
      <c r="Q111" s="6">
        <f t="shared" si="18"/>
        <v>-0.61460025519311023</v>
      </c>
      <c r="R111" s="6">
        <f t="shared" si="19"/>
        <v>-1.0302327059245973</v>
      </c>
      <c r="S111">
        <f t="shared" si="20"/>
        <v>0</v>
      </c>
      <c r="T111">
        <f t="shared" si="21"/>
        <v>0</v>
      </c>
      <c r="U111">
        <f t="shared" si="22"/>
        <v>0</v>
      </c>
      <c r="V111">
        <f t="shared" si="23"/>
        <v>1</v>
      </c>
      <c r="W111">
        <f t="shared" si="24"/>
        <v>0</v>
      </c>
      <c r="X111">
        <f t="shared" si="25"/>
        <v>0</v>
      </c>
      <c r="Y111">
        <f t="shared" si="26"/>
        <v>1</v>
      </c>
      <c r="Z111">
        <f t="shared" si="27"/>
        <v>0</v>
      </c>
      <c r="AA111">
        <f t="shared" si="28"/>
        <v>0</v>
      </c>
    </row>
    <row r="112" spans="2:27" x14ac:dyDescent="0.3">
      <c r="B112">
        <v>105</v>
      </c>
      <c r="C112" s="1">
        <v>40648</v>
      </c>
      <c r="D112">
        <v>2</v>
      </c>
      <c r="E112">
        <v>0</v>
      </c>
      <c r="F112">
        <v>4</v>
      </c>
      <c r="G112">
        <v>5</v>
      </c>
      <c r="H112">
        <v>1</v>
      </c>
      <c r="I112">
        <v>642</v>
      </c>
      <c r="J112">
        <v>2484</v>
      </c>
      <c r="K112" s="8">
        <v>3126</v>
      </c>
      <c r="L112" s="12">
        <v>22.095649999999999</v>
      </c>
      <c r="M112" s="12">
        <v>67.125</v>
      </c>
      <c r="N112" s="12">
        <v>15.167125</v>
      </c>
      <c r="O112" s="13">
        <f t="shared" si="16"/>
        <v>-0.71199898571259868</v>
      </c>
      <c r="P112" s="6">
        <f t="shared" si="17"/>
        <v>-0.19920818699309459</v>
      </c>
      <c r="Q112" s="6">
        <f t="shared" si="18"/>
        <v>0.30461207883696884</v>
      </c>
      <c r="R112" s="6">
        <f t="shared" si="19"/>
        <v>0.46341094285023415</v>
      </c>
      <c r="S112">
        <f t="shared" si="20"/>
        <v>0</v>
      </c>
      <c r="T112">
        <f t="shared" si="21"/>
        <v>0</v>
      </c>
      <c r="U112">
        <f t="shared" si="22"/>
        <v>0</v>
      </c>
      <c r="V112">
        <f t="shared" si="23"/>
        <v>0</v>
      </c>
      <c r="W112">
        <f t="shared" si="24"/>
        <v>1</v>
      </c>
      <c r="X112">
        <f t="shared" si="25"/>
        <v>0</v>
      </c>
      <c r="Y112">
        <f t="shared" si="26"/>
        <v>1</v>
      </c>
      <c r="Z112">
        <f t="shared" si="27"/>
        <v>0</v>
      </c>
      <c r="AA112">
        <f t="shared" si="28"/>
        <v>0</v>
      </c>
    </row>
    <row r="113" spans="2:27" x14ac:dyDescent="0.3">
      <c r="B113">
        <v>106</v>
      </c>
      <c r="C113" s="1">
        <v>40649</v>
      </c>
      <c r="D113">
        <v>2</v>
      </c>
      <c r="E113">
        <v>0</v>
      </c>
      <c r="F113">
        <v>4</v>
      </c>
      <c r="G113">
        <v>6</v>
      </c>
      <c r="H113">
        <v>3</v>
      </c>
      <c r="I113">
        <v>121</v>
      </c>
      <c r="J113">
        <v>674</v>
      </c>
      <c r="K113" s="8">
        <v>795</v>
      </c>
      <c r="L113" s="12">
        <v>21.2746</v>
      </c>
      <c r="M113" s="12">
        <v>88.833299999999994</v>
      </c>
      <c r="N113" s="12">
        <v>22.834136000000001</v>
      </c>
      <c r="O113" s="13">
        <f t="shared" si="16"/>
        <v>-1.9160988412008118</v>
      </c>
      <c r="P113" s="6">
        <f t="shared" si="17"/>
        <v>-0.30004351215351127</v>
      </c>
      <c r="Q113" s="6">
        <f t="shared" si="18"/>
        <v>1.8298035145470082</v>
      </c>
      <c r="R113" s="6">
        <f t="shared" si="19"/>
        <v>1.9410173717263981</v>
      </c>
      <c r="S113">
        <f t="shared" si="20"/>
        <v>0</v>
      </c>
      <c r="T113">
        <f t="shared" si="21"/>
        <v>0</v>
      </c>
      <c r="U113">
        <f t="shared" si="22"/>
        <v>0</v>
      </c>
      <c r="V113">
        <f t="shared" si="23"/>
        <v>0</v>
      </c>
      <c r="W113">
        <f t="shared" si="24"/>
        <v>0</v>
      </c>
      <c r="X113">
        <f t="shared" si="25"/>
        <v>1</v>
      </c>
      <c r="Y113">
        <f t="shared" si="26"/>
        <v>1</v>
      </c>
      <c r="Z113">
        <f t="shared" si="27"/>
        <v>0</v>
      </c>
      <c r="AA113">
        <f t="shared" si="28"/>
        <v>0</v>
      </c>
    </row>
    <row r="114" spans="2:27" x14ac:dyDescent="0.3">
      <c r="B114">
        <v>107</v>
      </c>
      <c r="C114" s="1">
        <v>40650</v>
      </c>
      <c r="D114">
        <v>2</v>
      </c>
      <c r="E114">
        <v>0</v>
      </c>
      <c r="F114">
        <v>4</v>
      </c>
      <c r="G114">
        <v>0</v>
      </c>
      <c r="H114">
        <v>1</v>
      </c>
      <c r="I114">
        <v>1558</v>
      </c>
      <c r="J114">
        <v>2186</v>
      </c>
      <c r="K114" s="8">
        <v>3744</v>
      </c>
      <c r="L114" s="12">
        <v>22.284800000000001</v>
      </c>
      <c r="M114" s="12">
        <v>47.958300000000001</v>
      </c>
      <c r="N114" s="12">
        <v>20.334232</v>
      </c>
      <c r="O114" s="13">
        <f t="shared" si="16"/>
        <v>-0.39276530459217157</v>
      </c>
      <c r="P114" s="6">
        <f t="shared" si="17"/>
        <v>-0.17597817450409517</v>
      </c>
      <c r="Q114" s="6">
        <f t="shared" si="18"/>
        <v>-1.0420104890667186</v>
      </c>
      <c r="R114" s="6">
        <f t="shared" si="19"/>
        <v>1.4592293291667566</v>
      </c>
      <c r="S114">
        <f t="shared" si="20"/>
        <v>0</v>
      </c>
      <c r="T114">
        <f t="shared" si="21"/>
        <v>0</v>
      </c>
      <c r="U114">
        <f t="shared" si="22"/>
        <v>0</v>
      </c>
      <c r="V114">
        <f t="shared" si="23"/>
        <v>0</v>
      </c>
      <c r="W114">
        <f t="shared" si="24"/>
        <v>0</v>
      </c>
      <c r="X114">
        <f t="shared" si="25"/>
        <v>0</v>
      </c>
      <c r="Y114">
        <f t="shared" si="26"/>
        <v>1</v>
      </c>
      <c r="Z114">
        <f t="shared" si="27"/>
        <v>0</v>
      </c>
      <c r="AA114">
        <f t="shared" si="28"/>
        <v>0</v>
      </c>
    </row>
    <row r="115" spans="2:27" x14ac:dyDescent="0.3">
      <c r="B115">
        <v>108</v>
      </c>
      <c r="C115" s="1">
        <v>40651</v>
      </c>
      <c r="D115">
        <v>2</v>
      </c>
      <c r="E115">
        <v>0</v>
      </c>
      <c r="F115">
        <v>4</v>
      </c>
      <c r="G115">
        <v>1</v>
      </c>
      <c r="H115">
        <v>1</v>
      </c>
      <c r="I115">
        <v>669</v>
      </c>
      <c r="J115">
        <v>2760</v>
      </c>
      <c r="K115" s="8">
        <v>3429</v>
      </c>
      <c r="L115" s="12">
        <v>25.157299999999999</v>
      </c>
      <c r="M115" s="12">
        <v>54.25</v>
      </c>
      <c r="N115" s="12">
        <v>10.958989000000001</v>
      </c>
      <c r="O115" s="13">
        <f t="shared" si="16"/>
        <v>-0.55548150127976792</v>
      </c>
      <c r="P115" s="6">
        <f t="shared" si="17"/>
        <v>0.17680115869521898</v>
      </c>
      <c r="Q115" s="6">
        <f t="shared" si="18"/>
        <v>-0.59996542077224801</v>
      </c>
      <c r="R115" s="6">
        <f t="shared" si="19"/>
        <v>-0.34759204217029399</v>
      </c>
      <c r="S115">
        <f t="shared" si="20"/>
        <v>1</v>
      </c>
      <c r="T115">
        <f t="shared" si="21"/>
        <v>0</v>
      </c>
      <c r="U115">
        <f t="shared" si="22"/>
        <v>0</v>
      </c>
      <c r="V115">
        <f t="shared" si="23"/>
        <v>0</v>
      </c>
      <c r="W115">
        <f t="shared" si="24"/>
        <v>0</v>
      </c>
      <c r="X115">
        <f t="shared" si="25"/>
        <v>0</v>
      </c>
      <c r="Y115">
        <f t="shared" si="26"/>
        <v>1</v>
      </c>
      <c r="Z115">
        <f t="shared" si="27"/>
        <v>0</v>
      </c>
      <c r="AA115">
        <f t="shared" si="28"/>
        <v>0</v>
      </c>
    </row>
    <row r="116" spans="2:27" x14ac:dyDescent="0.3">
      <c r="B116">
        <v>109</v>
      </c>
      <c r="C116" s="1">
        <v>40652</v>
      </c>
      <c r="D116">
        <v>2</v>
      </c>
      <c r="E116">
        <v>0</v>
      </c>
      <c r="F116">
        <v>4</v>
      </c>
      <c r="G116">
        <v>2</v>
      </c>
      <c r="H116">
        <v>2</v>
      </c>
      <c r="I116">
        <v>409</v>
      </c>
      <c r="J116">
        <v>2795</v>
      </c>
      <c r="K116" s="8">
        <v>3204</v>
      </c>
      <c r="L116" s="12">
        <v>24.462900000000001</v>
      </c>
      <c r="M116" s="12">
        <v>66.583299999999994</v>
      </c>
      <c r="N116" s="12">
        <v>10.584057</v>
      </c>
      <c r="O116" s="13">
        <f t="shared" si="16"/>
        <v>-0.67170735605662246</v>
      </c>
      <c r="P116" s="6">
        <f t="shared" si="17"/>
        <v>9.1520055484216989E-2</v>
      </c>
      <c r="Q116" s="6">
        <f t="shared" si="18"/>
        <v>0.26655307832913827</v>
      </c>
      <c r="R116" s="6">
        <f t="shared" si="19"/>
        <v>-0.41984991862193854</v>
      </c>
      <c r="S116">
        <f t="shared" si="20"/>
        <v>0</v>
      </c>
      <c r="T116">
        <f t="shared" si="21"/>
        <v>1</v>
      </c>
      <c r="U116">
        <f t="shared" si="22"/>
        <v>0</v>
      </c>
      <c r="V116">
        <f t="shared" si="23"/>
        <v>0</v>
      </c>
      <c r="W116">
        <f t="shared" si="24"/>
        <v>0</v>
      </c>
      <c r="X116">
        <f t="shared" si="25"/>
        <v>0</v>
      </c>
      <c r="Y116">
        <f t="shared" si="26"/>
        <v>1</v>
      </c>
      <c r="Z116">
        <f t="shared" si="27"/>
        <v>0</v>
      </c>
      <c r="AA116">
        <f t="shared" si="28"/>
        <v>0</v>
      </c>
    </row>
    <row r="117" spans="2:27" x14ac:dyDescent="0.3">
      <c r="B117">
        <v>110</v>
      </c>
      <c r="C117" s="1">
        <v>40653</v>
      </c>
      <c r="D117">
        <v>2</v>
      </c>
      <c r="E117">
        <v>0</v>
      </c>
      <c r="F117">
        <v>4</v>
      </c>
      <c r="G117">
        <v>3</v>
      </c>
      <c r="H117">
        <v>1</v>
      </c>
      <c r="I117">
        <v>613</v>
      </c>
      <c r="J117">
        <v>3331</v>
      </c>
      <c r="K117" s="8">
        <v>3944</v>
      </c>
      <c r="L117" s="12">
        <v>28.2196</v>
      </c>
      <c r="M117" s="12">
        <v>61.416699999999999</v>
      </c>
      <c r="N117" s="12">
        <v>16.208974999999999</v>
      </c>
      <c r="O117" s="13">
        <f t="shared" si="16"/>
        <v>-0.28945343367941195</v>
      </c>
      <c r="P117" s="6">
        <f t="shared" si="17"/>
        <v>0.5528903326051442</v>
      </c>
      <c r="Q117" s="6">
        <f t="shared" si="18"/>
        <v>-9.6444211727636536E-2</v>
      </c>
      <c r="R117" s="6">
        <f t="shared" si="19"/>
        <v>0.66419900196800885</v>
      </c>
      <c r="S117">
        <f t="shared" si="20"/>
        <v>0</v>
      </c>
      <c r="T117">
        <f t="shared" si="21"/>
        <v>0</v>
      </c>
      <c r="U117">
        <f t="shared" si="22"/>
        <v>1</v>
      </c>
      <c r="V117">
        <f t="shared" si="23"/>
        <v>0</v>
      </c>
      <c r="W117">
        <f t="shared" si="24"/>
        <v>0</v>
      </c>
      <c r="X117">
        <f t="shared" si="25"/>
        <v>0</v>
      </c>
      <c r="Y117">
        <f t="shared" si="26"/>
        <v>1</v>
      </c>
      <c r="Z117">
        <f t="shared" si="27"/>
        <v>0</v>
      </c>
      <c r="AA117">
        <f t="shared" si="28"/>
        <v>0</v>
      </c>
    </row>
    <row r="118" spans="2:27" x14ac:dyDescent="0.3">
      <c r="B118">
        <v>111</v>
      </c>
      <c r="C118" s="1">
        <v>40654</v>
      </c>
      <c r="D118">
        <v>2</v>
      </c>
      <c r="E118">
        <v>0</v>
      </c>
      <c r="F118">
        <v>4</v>
      </c>
      <c r="G118">
        <v>4</v>
      </c>
      <c r="H118">
        <v>1</v>
      </c>
      <c r="I118">
        <v>745</v>
      </c>
      <c r="J118">
        <v>3444</v>
      </c>
      <c r="K118" s="8">
        <v>4189</v>
      </c>
      <c r="L118" s="12">
        <v>22.694600000000001</v>
      </c>
      <c r="M118" s="12">
        <v>40.708300000000001</v>
      </c>
      <c r="N118" s="12">
        <v>21.792286000000001</v>
      </c>
      <c r="O118" s="13">
        <f t="shared" si="16"/>
        <v>-0.16289639181128146</v>
      </c>
      <c r="P118" s="6">
        <f t="shared" si="17"/>
        <v>-0.12564955109414594</v>
      </c>
      <c r="Q118" s="6">
        <f t="shared" si="18"/>
        <v>-1.5513842267107436</v>
      </c>
      <c r="R118" s="6">
        <f t="shared" si="19"/>
        <v>1.740229312608623</v>
      </c>
      <c r="S118">
        <f t="shared" si="20"/>
        <v>0</v>
      </c>
      <c r="T118">
        <f t="shared" si="21"/>
        <v>0</v>
      </c>
      <c r="U118">
        <f t="shared" si="22"/>
        <v>0</v>
      </c>
      <c r="V118">
        <f t="shared" si="23"/>
        <v>1</v>
      </c>
      <c r="W118">
        <f t="shared" si="24"/>
        <v>0</v>
      </c>
      <c r="X118">
        <f t="shared" si="25"/>
        <v>0</v>
      </c>
      <c r="Y118">
        <f t="shared" si="26"/>
        <v>1</v>
      </c>
      <c r="Z118">
        <f t="shared" si="27"/>
        <v>0</v>
      </c>
      <c r="AA118">
        <f t="shared" si="28"/>
        <v>0</v>
      </c>
    </row>
    <row r="119" spans="2:27" x14ac:dyDescent="0.3">
      <c r="B119">
        <v>112</v>
      </c>
      <c r="C119" s="1">
        <v>40655</v>
      </c>
      <c r="D119">
        <v>2</v>
      </c>
      <c r="E119">
        <v>0</v>
      </c>
      <c r="F119">
        <v>4</v>
      </c>
      <c r="G119">
        <v>5</v>
      </c>
      <c r="H119">
        <v>2</v>
      </c>
      <c r="I119">
        <v>177</v>
      </c>
      <c r="J119">
        <v>1506</v>
      </c>
      <c r="K119" s="8">
        <v>1683</v>
      </c>
      <c r="L119" s="12">
        <v>16.0977</v>
      </c>
      <c r="M119" s="12">
        <v>72.958299999999994</v>
      </c>
      <c r="N119" s="12">
        <v>14.707907000000001</v>
      </c>
      <c r="O119" s="13">
        <f t="shared" si="16"/>
        <v>-1.4573941343481591</v>
      </c>
      <c r="P119" s="6">
        <f t="shared" si="17"/>
        <v>-0.93583231286353052</v>
      </c>
      <c r="Q119" s="6">
        <f t="shared" si="18"/>
        <v>0.71445067522302241</v>
      </c>
      <c r="R119" s="6">
        <f t="shared" si="19"/>
        <v>0.37490924785388496</v>
      </c>
      <c r="S119">
        <f t="shared" si="20"/>
        <v>0</v>
      </c>
      <c r="T119">
        <f t="shared" si="21"/>
        <v>0</v>
      </c>
      <c r="U119">
        <f t="shared" si="22"/>
        <v>0</v>
      </c>
      <c r="V119">
        <f t="shared" si="23"/>
        <v>0</v>
      </c>
      <c r="W119">
        <f t="shared" si="24"/>
        <v>1</v>
      </c>
      <c r="X119">
        <f t="shared" si="25"/>
        <v>0</v>
      </c>
      <c r="Y119">
        <f t="shared" si="26"/>
        <v>1</v>
      </c>
      <c r="Z119">
        <f t="shared" si="27"/>
        <v>0</v>
      </c>
      <c r="AA119">
        <f t="shared" si="28"/>
        <v>0</v>
      </c>
    </row>
    <row r="120" spans="2:27" x14ac:dyDescent="0.3">
      <c r="B120">
        <v>113</v>
      </c>
      <c r="C120" s="1">
        <v>40656</v>
      </c>
      <c r="D120">
        <v>2</v>
      </c>
      <c r="E120">
        <v>0</v>
      </c>
      <c r="F120">
        <v>4</v>
      </c>
      <c r="G120">
        <v>6</v>
      </c>
      <c r="H120">
        <v>2</v>
      </c>
      <c r="I120">
        <v>1462</v>
      </c>
      <c r="J120">
        <v>2574</v>
      </c>
      <c r="K120" s="8">
        <v>4036</v>
      </c>
      <c r="L120" s="12">
        <v>22.506049999999998</v>
      </c>
      <c r="M120" s="12">
        <v>88.791700000000006</v>
      </c>
      <c r="N120" s="12">
        <v>15.458575</v>
      </c>
      <c r="O120" s="13">
        <f t="shared" si="16"/>
        <v>-0.24192997305954256</v>
      </c>
      <c r="P120" s="6">
        <f t="shared" si="17"/>
        <v>-0.1488058759939655</v>
      </c>
      <c r="Q120" s="6">
        <f t="shared" si="18"/>
        <v>1.8268807631696309</v>
      </c>
      <c r="R120" s="6">
        <f t="shared" si="19"/>
        <v>0.51957994974170163</v>
      </c>
      <c r="S120">
        <f t="shared" si="20"/>
        <v>0</v>
      </c>
      <c r="T120">
        <f t="shared" si="21"/>
        <v>0</v>
      </c>
      <c r="U120">
        <f t="shared" si="22"/>
        <v>0</v>
      </c>
      <c r="V120">
        <f t="shared" si="23"/>
        <v>0</v>
      </c>
      <c r="W120">
        <f t="shared" si="24"/>
        <v>0</v>
      </c>
      <c r="X120">
        <f t="shared" si="25"/>
        <v>0</v>
      </c>
      <c r="Y120">
        <f t="shared" si="26"/>
        <v>1</v>
      </c>
      <c r="Z120">
        <f t="shared" si="27"/>
        <v>0</v>
      </c>
      <c r="AA120">
        <f t="shared" si="28"/>
        <v>0</v>
      </c>
    </row>
    <row r="121" spans="2:27" x14ac:dyDescent="0.3">
      <c r="B121">
        <v>114</v>
      </c>
      <c r="C121" s="1">
        <v>40657</v>
      </c>
      <c r="D121">
        <v>2</v>
      </c>
      <c r="E121">
        <v>0</v>
      </c>
      <c r="F121">
        <v>4</v>
      </c>
      <c r="G121">
        <v>0</v>
      </c>
      <c r="H121">
        <v>2</v>
      </c>
      <c r="I121">
        <v>1710</v>
      </c>
      <c r="J121">
        <v>2481</v>
      </c>
      <c r="K121" s="8">
        <v>4191</v>
      </c>
      <c r="L121" s="12">
        <v>27.588149999999999</v>
      </c>
      <c r="M121" s="12">
        <v>81.083299999999994</v>
      </c>
      <c r="N121" s="12">
        <v>12.875724999999999</v>
      </c>
      <c r="O121" s="13">
        <f t="shared" si="16"/>
        <v>-0.16186327310215387</v>
      </c>
      <c r="P121" s="6">
        <f t="shared" si="17"/>
        <v>0.47534028562561165</v>
      </c>
      <c r="Q121" s="6">
        <f t="shared" si="18"/>
        <v>1.2853005536171884</v>
      </c>
      <c r="R121" s="6">
        <f t="shared" si="19"/>
        <v>2.1806336944902343E-2</v>
      </c>
      <c r="S121">
        <f t="shared" si="20"/>
        <v>0</v>
      </c>
      <c r="T121">
        <f t="shared" si="21"/>
        <v>0</v>
      </c>
      <c r="U121">
        <f t="shared" si="22"/>
        <v>0</v>
      </c>
      <c r="V121">
        <f t="shared" si="23"/>
        <v>0</v>
      </c>
      <c r="W121">
        <f t="shared" si="24"/>
        <v>0</v>
      </c>
      <c r="X121">
        <f t="shared" si="25"/>
        <v>0</v>
      </c>
      <c r="Y121">
        <f t="shared" si="26"/>
        <v>1</v>
      </c>
      <c r="Z121">
        <f t="shared" si="27"/>
        <v>0</v>
      </c>
      <c r="AA121">
        <f t="shared" si="28"/>
        <v>0</v>
      </c>
    </row>
    <row r="122" spans="2:27" x14ac:dyDescent="0.3">
      <c r="B122">
        <v>115</v>
      </c>
      <c r="C122" s="1">
        <v>40658</v>
      </c>
      <c r="D122">
        <v>2</v>
      </c>
      <c r="E122">
        <v>0</v>
      </c>
      <c r="F122">
        <v>4</v>
      </c>
      <c r="G122">
        <v>1</v>
      </c>
      <c r="H122">
        <v>1</v>
      </c>
      <c r="I122">
        <v>773</v>
      </c>
      <c r="J122">
        <v>3300</v>
      </c>
      <c r="K122" s="8">
        <v>4073</v>
      </c>
      <c r="L122" s="12">
        <v>28.725000000000001</v>
      </c>
      <c r="M122" s="12">
        <v>77.666700000000006</v>
      </c>
      <c r="N122" s="12">
        <v>12.417311</v>
      </c>
      <c r="O122" s="13">
        <f t="shared" si="16"/>
        <v>-0.22281727694068204</v>
      </c>
      <c r="P122" s="6">
        <f t="shared" si="17"/>
        <v>0.61495984522444247</v>
      </c>
      <c r="Q122" s="6">
        <f t="shared" si="18"/>
        <v>1.045255545060696</v>
      </c>
      <c r="R122" s="6">
        <f t="shared" si="19"/>
        <v>-6.6540409066918563E-2</v>
      </c>
      <c r="S122">
        <f t="shared" si="20"/>
        <v>1</v>
      </c>
      <c r="T122">
        <f t="shared" si="21"/>
        <v>0</v>
      </c>
      <c r="U122">
        <f t="shared" si="22"/>
        <v>0</v>
      </c>
      <c r="V122">
        <f t="shared" si="23"/>
        <v>0</v>
      </c>
      <c r="W122">
        <f t="shared" si="24"/>
        <v>0</v>
      </c>
      <c r="X122">
        <f t="shared" si="25"/>
        <v>0</v>
      </c>
      <c r="Y122">
        <f t="shared" si="26"/>
        <v>1</v>
      </c>
      <c r="Z122">
        <f t="shared" si="27"/>
        <v>0</v>
      </c>
      <c r="AA122">
        <f t="shared" si="28"/>
        <v>0</v>
      </c>
    </row>
    <row r="123" spans="2:27" x14ac:dyDescent="0.3">
      <c r="B123">
        <v>116</v>
      </c>
      <c r="C123" s="1">
        <v>40659</v>
      </c>
      <c r="D123">
        <v>2</v>
      </c>
      <c r="E123">
        <v>0</v>
      </c>
      <c r="F123">
        <v>4</v>
      </c>
      <c r="G123">
        <v>2</v>
      </c>
      <c r="H123">
        <v>1</v>
      </c>
      <c r="I123">
        <v>678</v>
      </c>
      <c r="J123">
        <v>3722</v>
      </c>
      <c r="K123" s="8">
        <v>4400</v>
      </c>
      <c r="L123" s="12">
        <v>29.704149999999998</v>
      </c>
      <c r="M123" s="12">
        <v>72.916700000000006</v>
      </c>
      <c r="N123" s="12">
        <v>21.875499999999999</v>
      </c>
      <c r="O123" s="13">
        <f t="shared" si="16"/>
        <v>-5.3902367998320107E-2</v>
      </c>
      <c r="P123" s="6">
        <f t="shared" si="17"/>
        <v>0.73521185013379231</v>
      </c>
      <c r="Q123" s="6">
        <f t="shared" si="18"/>
        <v>0.71152792384564512</v>
      </c>
      <c r="R123" s="6">
        <f t="shared" si="19"/>
        <v>1.7562665325072899</v>
      </c>
      <c r="S123">
        <f t="shared" si="20"/>
        <v>0</v>
      </c>
      <c r="T123">
        <f t="shared" si="21"/>
        <v>1</v>
      </c>
      <c r="U123">
        <f t="shared" si="22"/>
        <v>0</v>
      </c>
      <c r="V123">
        <f t="shared" si="23"/>
        <v>0</v>
      </c>
      <c r="W123">
        <f t="shared" si="24"/>
        <v>0</v>
      </c>
      <c r="X123">
        <f t="shared" si="25"/>
        <v>0</v>
      </c>
      <c r="Y123">
        <f t="shared" si="26"/>
        <v>1</v>
      </c>
      <c r="Z123">
        <f t="shared" si="27"/>
        <v>0</v>
      </c>
      <c r="AA123">
        <f t="shared" si="28"/>
        <v>0</v>
      </c>
    </row>
    <row r="124" spans="2:27" x14ac:dyDescent="0.3">
      <c r="B124">
        <v>117</v>
      </c>
      <c r="C124" s="1">
        <v>40660</v>
      </c>
      <c r="D124">
        <v>2</v>
      </c>
      <c r="E124">
        <v>0</v>
      </c>
      <c r="F124">
        <v>4</v>
      </c>
      <c r="G124">
        <v>3</v>
      </c>
      <c r="H124">
        <v>2</v>
      </c>
      <c r="I124">
        <v>547</v>
      </c>
      <c r="J124">
        <v>3325</v>
      </c>
      <c r="K124" s="8">
        <v>3872</v>
      </c>
      <c r="L124" s="12">
        <v>28.757100000000001</v>
      </c>
      <c r="M124" s="12">
        <v>83.541700000000006</v>
      </c>
      <c r="N124" s="12">
        <v>20.917400000000001</v>
      </c>
      <c r="O124" s="13">
        <f t="shared" si="16"/>
        <v>-0.3266457072080054</v>
      </c>
      <c r="P124" s="6">
        <f t="shared" si="17"/>
        <v>0.61890213124557314</v>
      </c>
      <c r="Q124" s="6">
        <f t="shared" si="18"/>
        <v>1.4580239186687851</v>
      </c>
      <c r="R124" s="6">
        <f t="shared" si="19"/>
        <v>1.5716189926112014</v>
      </c>
      <c r="S124">
        <f t="shared" si="20"/>
        <v>0</v>
      </c>
      <c r="T124">
        <f t="shared" si="21"/>
        <v>0</v>
      </c>
      <c r="U124">
        <f t="shared" si="22"/>
        <v>1</v>
      </c>
      <c r="V124">
        <f t="shared" si="23"/>
        <v>0</v>
      </c>
      <c r="W124">
        <f t="shared" si="24"/>
        <v>0</v>
      </c>
      <c r="X124">
        <f t="shared" si="25"/>
        <v>0</v>
      </c>
      <c r="Y124">
        <f t="shared" si="26"/>
        <v>1</v>
      </c>
      <c r="Z124">
        <f t="shared" si="27"/>
        <v>0</v>
      </c>
      <c r="AA124">
        <f t="shared" si="28"/>
        <v>0</v>
      </c>
    </row>
    <row r="125" spans="2:27" x14ac:dyDescent="0.3">
      <c r="B125">
        <v>118</v>
      </c>
      <c r="C125" s="1">
        <v>40661</v>
      </c>
      <c r="D125">
        <v>2</v>
      </c>
      <c r="E125">
        <v>0</v>
      </c>
      <c r="F125">
        <v>4</v>
      </c>
      <c r="G125">
        <v>4</v>
      </c>
      <c r="H125">
        <v>2</v>
      </c>
      <c r="I125">
        <v>569</v>
      </c>
      <c r="J125">
        <v>3489</v>
      </c>
      <c r="K125" s="8">
        <v>4058</v>
      </c>
      <c r="L125" s="12">
        <v>28.946449999999999</v>
      </c>
      <c r="M125" s="12">
        <v>70.083299999999994</v>
      </c>
      <c r="N125" s="12">
        <v>21.500836</v>
      </c>
      <c r="O125" s="13">
        <f t="shared" si="16"/>
        <v>-0.23056566725913899</v>
      </c>
      <c r="P125" s="6">
        <f t="shared" si="17"/>
        <v>0.64215670626429877</v>
      </c>
      <c r="Q125" s="6">
        <f t="shared" si="18"/>
        <v>0.51245764132970206</v>
      </c>
      <c r="R125" s="6">
        <f t="shared" si="19"/>
        <v>1.6840603057171553</v>
      </c>
      <c r="S125">
        <f t="shared" si="20"/>
        <v>0</v>
      </c>
      <c r="T125">
        <f t="shared" si="21"/>
        <v>0</v>
      </c>
      <c r="U125">
        <f t="shared" si="22"/>
        <v>0</v>
      </c>
      <c r="V125">
        <f t="shared" si="23"/>
        <v>1</v>
      </c>
      <c r="W125">
        <f t="shared" si="24"/>
        <v>0</v>
      </c>
      <c r="X125">
        <f t="shared" si="25"/>
        <v>0</v>
      </c>
      <c r="Y125">
        <f t="shared" si="26"/>
        <v>1</v>
      </c>
      <c r="Z125">
        <f t="shared" si="27"/>
        <v>0</v>
      </c>
      <c r="AA125">
        <f t="shared" si="28"/>
        <v>0</v>
      </c>
    </row>
    <row r="126" spans="2:27" x14ac:dyDescent="0.3">
      <c r="B126">
        <v>119</v>
      </c>
      <c r="C126" s="1">
        <v>40662</v>
      </c>
      <c r="D126">
        <v>2</v>
      </c>
      <c r="E126">
        <v>0</v>
      </c>
      <c r="F126">
        <v>4</v>
      </c>
      <c r="G126">
        <v>5</v>
      </c>
      <c r="H126">
        <v>1</v>
      </c>
      <c r="I126">
        <v>878</v>
      </c>
      <c r="J126">
        <v>3717</v>
      </c>
      <c r="K126" s="8">
        <v>4595</v>
      </c>
      <c r="L126" s="12">
        <v>24.873149999999999</v>
      </c>
      <c r="M126" s="12">
        <v>45.708300000000001</v>
      </c>
      <c r="N126" s="12">
        <v>16.084220999999999</v>
      </c>
      <c r="O126" s="13">
        <f t="shared" si="16"/>
        <v>4.6826706141620489E-2</v>
      </c>
      <c r="P126" s="6">
        <f t="shared" si="17"/>
        <v>0.14190394458605091</v>
      </c>
      <c r="Q126" s="6">
        <f t="shared" si="18"/>
        <v>-1.2000919938527954</v>
      </c>
      <c r="R126" s="6">
        <f t="shared" si="19"/>
        <v>0.64015608453538531</v>
      </c>
      <c r="S126">
        <f t="shared" si="20"/>
        <v>0</v>
      </c>
      <c r="T126">
        <f t="shared" si="21"/>
        <v>0</v>
      </c>
      <c r="U126">
        <f t="shared" si="22"/>
        <v>0</v>
      </c>
      <c r="V126">
        <f t="shared" si="23"/>
        <v>0</v>
      </c>
      <c r="W126">
        <f t="shared" si="24"/>
        <v>1</v>
      </c>
      <c r="X126">
        <f t="shared" si="25"/>
        <v>0</v>
      </c>
      <c r="Y126">
        <f t="shared" si="26"/>
        <v>1</v>
      </c>
      <c r="Z126">
        <f t="shared" si="27"/>
        <v>0</v>
      </c>
      <c r="AA126">
        <f t="shared" si="28"/>
        <v>0</v>
      </c>
    </row>
    <row r="127" spans="2:27" x14ac:dyDescent="0.3">
      <c r="B127">
        <v>120</v>
      </c>
      <c r="C127" s="1">
        <v>40663</v>
      </c>
      <c r="D127">
        <v>2</v>
      </c>
      <c r="E127">
        <v>0</v>
      </c>
      <c r="F127">
        <v>4</v>
      </c>
      <c r="G127">
        <v>6</v>
      </c>
      <c r="H127">
        <v>1</v>
      </c>
      <c r="I127">
        <v>1965</v>
      </c>
      <c r="J127">
        <v>3347</v>
      </c>
      <c r="K127" s="8">
        <v>5312</v>
      </c>
      <c r="L127" s="12">
        <v>23.201049999999999</v>
      </c>
      <c r="M127" s="12">
        <v>50.333300000000001</v>
      </c>
      <c r="N127" s="12">
        <v>15.750025000000001</v>
      </c>
      <c r="O127" s="13">
        <f t="shared" si="16"/>
        <v>0.41719976336386361</v>
      </c>
      <c r="P127" s="6">
        <f t="shared" si="17"/>
        <v>-6.3451085193783244E-2</v>
      </c>
      <c r="Q127" s="6">
        <f t="shared" si="18"/>
        <v>-0.87514667845919325</v>
      </c>
      <c r="R127" s="6">
        <f t="shared" si="19"/>
        <v>0.57574895663316938</v>
      </c>
      <c r="S127">
        <f t="shared" si="20"/>
        <v>0</v>
      </c>
      <c r="T127">
        <f t="shared" si="21"/>
        <v>0</v>
      </c>
      <c r="U127">
        <f t="shared" si="22"/>
        <v>0</v>
      </c>
      <c r="V127">
        <f t="shared" si="23"/>
        <v>0</v>
      </c>
      <c r="W127">
        <f t="shared" si="24"/>
        <v>0</v>
      </c>
      <c r="X127">
        <f t="shared" si="25"/>
        <v>0</v>
      </c>
      <c r="Y127">
        <f t="shared" si="26"/>
        <v>1</v>
      </c>
      <c r="Z127">
        <f t="shared" si="27"/>
        <v>0</v>
      </c>
      <c r="AA127">
        <f t="shared" si="28"/>
        <v>0</v>
      </c>
    </row>
    <row r="128" spans="2:27" x14ac:dyDescent="0.3">
      <c r="B128">
        <v>121</v>
      </c>
      <c r="C128" s="1">
        <v>40664</v>
      </c>
      <c r="D128">
        <v>2</v>
      </c>
      <c r="E128">
        <v>0</v>
      </c>
      <c r="F128">
        <v>5</v>
      </c>
      <c r="G128">
        <v>0</v>
      </c>
      <c r="H128">
        <v>2</v>
      </c>
      <c r="I128">
        <v>1138</v>
      </c>
      <c r="J128">
        <v>2213</v>
      </c>
      <c r="K128" s="8">
        <v>3351</v>
      </c>
      <c r="L128" s="12">
        <v>22.4102</v>
      </c>
      <c r="M128" s="12">
        <v>76.208299999999994</v>
      </c>
      <c r="N128" s="12">
        <v>7.125718</v>
      </c>
      <c r="O128" s="13">
        <f t="shared" si="16"/>
        <v>-0.59577313093574413</v>
      </c>
      <c r="P128" s="6">
        <f t="shared" si="17"/>
        <v>-0.16057746836547249</v>
      </c>
      <c r="Q128" s="6">
        <f t="shared" si="18"/>
        <v>0.9427906265806888</v>
      </c>
      <c r="R128" s="6">
        <f t="shared" si="19"/>
        <v>-1.0863500631545553</v>
      </c>
      <c r="S128">
        <f t="shared" si="20"/>
        <v>0</v>
      </c>
      <c r="T128">
        <f t="shared" si="21"/>
        <v>0</v>
      </c>
      <c r="U128">
        <f t="shared" si="22"/>
        <v>0</v>
      </c>
      <c r="V128">
        <f t="shared" si="23"/>
        <v>0</v>
      </c>
      <c r="W128">
        <f t="shared" si="24"/>
        <v>0</v>
      </c>
      <c r="X128">
        <f t="shared" si="25"/>
        <v>0</v>
      </c>
      <c r="Y128">
        <f t="shared" si="26"/>
        <v>1</v>
      </c>
      <c r="Z128">
        <f t="shared" si="27"/>
        <v>0</v>
      </c>
      <c r="AA128">
        <f t="shared" si="28"/>
        <v>0</v>
      </c>
    </row>
    <row r="129" spans="2:27" x14ac:dyDescent="0.3">
      <c r="B129">
        <v>122</v>
      </c>
      <c r="C129" s="1">
        <v>40665</v>
      </c>
      <c r="D129">
        <v>2</v>
      </c>
      <c r="E129">
        <v>0</v>
      </c>
      <c r="F129">
        <v>5</v>
      </c>
      <c r="G129">
        <v>1</v>
      </c>
      <c r="H129">
        <v>2</v>
      </c>
      <c r="I129">
        <v>847</v>
      </c>
      <c r="J129">
        <v>3554</v>
      </c>
      <c r="K129" s="8">
        <v>4401</v>
      </c>
      <c r="L129" s="12">
        <v>26.641649999999998</v>
      </c>
      <c r="M129" s="12">
        <v>73</v>
      </c>
      <c r="N129" s="12">
        <v>12.291418</v>
      </c>
      <c r="O129" s="13">
        <f t="shared" si="16"/>
        <v>-5.3385808643756312E-2</v>
      </c>
      <c r="P129" s="6">
        <f t="shared" si="17"/>
        <v>0.35909811369414041</v>
      </c>
      <c r="Q129" s="6">
        <f t="shared" si="18"/>
        <v>0.7173804524450581</v>
      </c>
      <c r="R129" s="6">
        <f t="shared" si="19"/>
        <v>-9.0802837560957014E-2</v>
      </c>
      <c r="S129">
        <f t="shared" si="20"/>
        <v>1</v>
      </c>
      <c r="T129">
        <f t="shared" si="21"/>
        <v>0</v>
      </c>
      <c r="U129">
        <f t="shared" si="22"/>
        <v>0</v>
      </c>
      <c r="V129">
        <f t="shared" si="23"/>
        <v>0</v>
      </c>
      <c r="W129">
        <f t="shared" si="24"/>
        <v>0</v>
      </c>
      <c r="X129">
        <f t="shared" si="25"/>
        <v>0</v>
      </c>
      <c r="Y129">
        <f t="shared" si="26"/>
        <v>1</v>
      </c>
      <c r="Z129">
        <f t="shared" si="27"/>
        <v>0</v>
      </c>
      <c r="AA129">
        <f t="shared" si="28"/>
        <v>0</v>
      </c>
    </row>
    <row r="130" spans="2:27" x14ac:dyDescent="0.3">
      <c r="B130">
        <v>123</v>
      </c>
      <c r="C130" s="1">
        <v>40666</v>
      </c>
      <c r="D130">
        <v>2</v>
      </c>
      <c r="E130">
        <v>0</v>
      </c>
      <c r="F130">
        <v>5</v>
      </c>
      <c r="G130">
        <v>2</v>
      </c>
      <c r="H130">
        <v>2</v>
      </c>
      <c r="I130">
        <v>603</v>
      </c>
      <c r="J130">
        <v>3848</v>
      </c>
      <c r="K130" s="8">
        <v>4451</v>
      </c>
      <c r="L130" s="12">
        <v>29.103950000000001</v>
      </c>
      <c r="M130" s="12">
        <v>69.708299999999994</v>
      </c>
      <c r="N130" s="12">
        <v>22.958689</v>
      </c>
      <c r="O130" s="13">
        <f t="shared" si="16"/>
        <v>-2.7557840915566411E-2</v>
      </c>
      <c r="P130" s="6">
        <f t="shared" si="17"/>
        <v>0.66149969842405254</v>
      </c>
      <c r="Q130" s="6">
        <f t="shared" si="18"/>
        <v>0.48611072386535598</v>
      </c>
      <c r="R130" s="6">
        <f t="shared" si="19"/>
        <v>1.9650215519128895</v>
      </c>
      <c r="S130">
        <f t="shared" si="20"/>
        <v>0</v>
      </c>
      <c r="T130">
        <f t="shared" si="21"/>
        <v>1</v>
      </c>
      <c r="U130">
        <f t="shared" si="22"/>
        <v>0</v>
      </c>
      <c r="V130">
        <f t="shared" si="23"/>
        <v>0</v>
      </c>
      <c r="W130">
        <f t="shared" si="24"/>
        <v>0</v>
      </c>
      <c r="X130">
        <f t="shared" si="25"/>
        <v>0</v>
      </c>
      <c r="Y130">
        <f t="shared" si="26"/>
        <v>1</v>
      </c>
      <c r="Z130">
        <f t="shared" si="27"/>
        <v>0</v>
      </c>
      <c r="AA130">
        <f t="shared" si="28"/>
        <v>0</v>
      </c>
    </row>
    <row r="131" spans="2:27" x14ac:dyDescent="0.3">
      <c r="B131">
        <v>124</v>
      </c>
      <c r="C131" s="1">
        <v>40667</v>
      </c>
      <c r="D131">
        <v>2</v>
      </c>
      <c r="E131">
        <v>0</v>
      </c>
      <c r="F131">
        <v>5</v>
      </c>
      <c r="G131">
        <v>3</v>
      </c>
      <c r="H131">
        <v>2</v>
      </c>
      <c r="I131">
        <v>255</v>
      </c>
      <c r="J131">
        <v>2378</v>
      </c>
      <c r="K131" s="8">
        <v>2633</v>
      </c>
      <c r="L131" s="12">
        <v>20.232500000000002</v>
      </c>
      <c r="M131" s="12">
        <v>73.708299999999994</v>
      </c>
      <c r="N131" s="12">
        <v>22.042732000000001</v>
      </c>
      <c r="O131" s="13">
        <f t="shared" si="16"/>
        <v>-0.9666627475125511</v>
      </c>
      <c r="P131" s="6">
        <f t="shared" si="17"/>
        <v>-0.42802657329433097</v>
      </c>
      <c r="Q131" s="6">
        <f t="shared" si="18"/>
        <v>0.76714451015171459</v>
      </c>
      <c r="R131" s="6">
        <f t="shared" si="19"/>
        <v>1.7884959212891531</v>
      </c>
      <c r="S131">
        <f t="shared" si="20"/>
        <v>0</v>
      </c>
      <c r="T131">
        <f t="shared" si="21"/>
        <v>0</v>
      </c>
      <c r="U131">
        <f t="shared" si="22"/>
        <v>1</v>
      </c>
      <c r="V131">
        <f t="shared" si="23"/>
        <v>0</v>
      </c>
      <c r="W131">
        <f t="shared" si="24"/>
        <v>0</v>
      </c>
      <c r="X131">
        <f t="shared" si="25"/>
        <v>0</v>
      </c>
      <c r="Y131">
        <f t="shared" si="26"/>
        <v>1</v>
      </c>
      <c r="Z131">
        <f t="shared" si="27"/>
        <v>0</v>
      </c>
      <c r="AA131">
        <f t="shared" si="28"/>
        <v>0</v>
      </c>
    </row>
    <row r="132" spans="2:27" x14ac:dyDescent="0.3">
      <c r="B132">
        <v>125</v>
      </c>
      <c r="C132" s="1">
        <v>40668</v>
      </c>
      <c r="D132">
        <v>2</v>
      </c>
      <c r="E132">
        <v>0</v>
      </c>
      <c r="F132">
        <v>5</v>
      </c>
      <c r="G132">
        <v>4</v>
      </c>
      <c r="H132">
        <v>1</v>
      </c>
      <c r="I132">
        <v>614</v>
      </c>
      <c r="J132">
        <v>3819</v>
      </c>
      <c r="K132" s="8">
        <v>4433</v>
      </c>
      <c r="L132" s="12">
        <v>22.095849999999999</v>
      </c>
      <c r="M132" s="12">
        <v>44.416699999999999</v>
      </c>
      <c r="N132" s="12">
        <v>19.791264000000002</v>
      </c>
      <c r="O132" s="13">
        <f t="shared" si="16"/>
        <v>-3.6855909297714776E-2</v>
      </c>
      <c r="P132" s="6">
        <f t="shared" si="17"/>
        <v>-0.19918362446336799</v>
      </c>
      <c r="Q132" s="6">
        <f t="shared" si="18"/>
        <v>-1.2908378034446608</v>
      </c>
      <c r="R132" s="6">
        <f t="shared" si="19"/>
        <v>1.3545871149487219</v>
      </c>
      <c r="S132">
        <f t="shared" si="20"/>
        <v>0</v>
      </c>
      <c r="T132">
        <f t="shared" si="21"/>
        <v>0</v>
      </c>
      <c r="U132">
        <f t="shared" si="22"/>
        <v>0</v>
      </c>
      <c r="V132">
        <f t="shared" si="23"/>
        <v>1</v>
      </c>
      <c r="W132">
        <f t="shared" si="24"/>
        <v>0</v>
      </c>
      <c r="X132">
        <f t="shared" si="25"/>
        <v>0</v>
      </c>
      <c r="Y132">
        <f t="shared" si="26"/>
        <v>1</v>
      </c>
      <c r="Z132">
        <f t="shared" si="27"/>
        <v>0</v>
      </c>
      <c r="AA132">
        <f t="shared" si="28"/>
        <v>0</v>
      </c>
    </row>
    <row r="133" spans="2:27" x14ac:dyDescent="0.3">
      <c r="B133">
        <v>126</v>
      </c>
      <c r="C133" s="1">
        <v>40669</v>
      </c>
      <c r="D133">
        <v>2</v>
      </c>
      <c r="E133">
        <v>0</v>
      </c>
      <c r="F133">
        <v>5</v>
      </c>
      <c r="G133">
        <v>5</v>
      </c>
      <c r="H133">
        <v>1</v>
      </c>
      <c r="I133">
        <v>894</v>
      </c>
      <c r="J133">
        <v>3714</v>
      </c>
      <c r="K133" s="8">
        <v>4608</v>
      </c>
      <c r="L133" s="12">
        <v>23.705850000000002</v>
      </c>
      <c r="M133" s="12">
        <v>59</v>
      </c>
      <c r="N133" s="12">
        <v>15.292482</v>
      </c>
      <c r="O133" s="13">
        <f t="shared" si="16"/>
        <v>5.3541977750949862E-2</v>
      </c>
      <c r="P133" s="6">
        <f t="shared" si="17"/>
        <v>-1.455260163664909E-3</v>
      </c>
      <c r="Q133" s="6">
        <f t="shared" si="18"/>
        <v>-0.26623779955719717</v>
      </c>
      <c r="R133" s="6">
        <f t="shared" si="19"/>
        <v>0.48757007202125374</v>
      </c>
      <c r="S133">
        <f t="shared" si="20"/>
        <v>0</v>
      </c>
      <c r="T133">
        <f t="shared" si="21"/>
        <v>0</v>
      </c>
      <c r="U133">
        <f t="shared" si="22"/>
        <v>0</v>
      </c>
      <c r="V133">
        <f t="shared" si="23"/>
        <v>0</v>
      </c>
      <c r="W133">
        <f t="shared" si="24"/>
        <v>1</v>
      </c>
      <c r="X133">
        <f t="shared" si="25"/>
        <v>0</v>
      </c>
      <c r="Y133">
        <f t="shared" si="26"/>
        <v>1</v>
      </c>
      <c r="Z133">
        <f t="shared" si="27"/>
        <v>0</v>
      </c>
      <c r="AA133">
        <f t="shared" si="28"/>
        <v>0</v>
      </c>
    </row>
    <row r="134" spans="2:27" x14ac:dyDescent="0.3">
      <c r="B134">
        <v>127</v>
      </c>
      <c r="C134" s="1">
        <v>40670</v>
      </c>
      <c r="D134">
        <v>2</v>
      </c>
      <c r="E134">
        <v>0</v>
      </c>
      <c r="F134">
        <v>5</v>
      </c>
      <c r="G134">
        <v>6</v>
      </c>
      <c r="H134">
        <v>1</v>
      </c>
      <c r="I134">
        <v>1612</v>
      </c>
      <c r="J134">
        <v>3102</v>
      </c>
      <c r="K134" s="8">
        <v>4714</v>
      </c>
      <c r="L134" s="12">
        <v>25.631049999999998</v>
      </c>
      <c r="M134" s="12">
        <v>54.125</v>
      </c>
      <c r="N134" s="12">
        <v>10.75015</v>
      </c>
      <c r="O134" s="13">
        <f t="shared" si="16"/>
        <v>0.10829726933471244</v>
      </c>
      <c r="P134" s="6">
        <f t="shared" si="17"/>
        <v>0.23498365098527113</v>
      </c>
      <c r="Q134" s="6">
        <f t="shared" si="18"/>
        <v>-0.6087477265936968</v>
      </c>
      <c r="R134" s="6">
        <f t="shared" si="19"/>
        <v>-0.38784004090149066</v>
      </c>
      <c r="S134">
        <f t="shared" si="20"/>
        <v>0</v>
      </c>
      <c r="T134">
        <f t="shared" si="21"/>
        <v>0</v>
      </c>
      <c r="U134">
        <f t="shared" si="22"/>
        <v>0</v>
      </c>
      <c r="V134">
        <f t="shared" si="23"/>
        <v>0</v>
      </c>
      <c r="W134">
        <f t="shared" si="24"/>
        <v>0</v>
      </c>
      <c r="X134">
        <f t="shared" si="25"/>
        <v>0</v>
      </c>
      <c r="Y134">
        <f t="shared" si="26"/>
        <v>1</v>
      </c>
      <c r="Z134">
        <f t="shared" si="27"/>
        <v>0</v>
      </c>
      <c r="AA134">
        <f t="shared" si="28"/>
        <v>0</v>
      </c>
    </row>
    <row r="135" spans="2:27" x14ac:dyDescent="0.3">
      <c r="B135">
        <v>128</v>
      </c>
      <c r="C135" s="1">
        <v>40671</v>
      </c>
      <c r="D135">
        <v>2</v>
      </c>
      <c r="E135">
        <v>0</v>
      </c>
      <c r="F135">
        <v>5</v>
      </c>
      <c r="G135">
        <v>0</v>
      </c>
      <c r="H135">
        <v>1</v>
      </c>
      <c r="I135">
        <v>1401</v>
      </c>
      <c r="J135">
        <v>2932</v>
      </c>
      <c r="K135" s="8">
        <v>4333</v>
      </c>
      <c r="L135" s="12">
        <v>25.946650000000002</v>
      </c>
      <c r="M135" s="12">
        <v>63.166699999999999</v>
      </c>
      <c r="N135" s="12">
        <v>5.0007124999999997</v>
      </c>
      <c r="O135" s="13">
        <f t="shared" si="16"/>
        <v>-8.8511844754094571E-2</v>
      </c>
      <c r="P135" s="6">
        <f t="shared" si="17"/>
        <v>0.27374332289395858</v>
      </c>
      <c r="Q135" s="6">
        <f t="shared" si="18"/>
        <v>2.6508069772645373E-2</v>
      </c>
      <c r="R135" s="6">
        <f t="shared" si="19"/>
        <v>-1.4958866854702411</v>
      </c>
      <c r="S135">
        <f t="shared" si="20"/>
        <v>0</v>
      </c>
      <c r="T135">
        <f t="shared" si="21"/>
        <v>0</v>
      </c>
      <c r="U135">
        <f t="shared" si="22"/>
        <v>0</v>
      </c>
      <c r="V135">
        <f t="shared" si="23"/>
        <v>0</v>
      </c>
      <c r="W135">
        <f t="shared" si="24"/>
        <v>0</v>
      </c>
      <c r="X135">
        <f t="shared" si="25"/>
        <v>0</v>
      </c>
      <c r="Y135">
        <f t="shared" si="26"/>
        <v>1</v>
      </c>
      <c r="Z135">
        <f t="shared" si="27"/>
        <v>0</v>
      </c>
      <c r="AA135">
        <f t="shared" si="28"/>
        <v>0</v>
      </c>
    </row>
    <row r="136" spans="2:27" x14ac:dyDescent="0.3">
      <c r="B136">
        <v>129</v>
      </c>
      <c r="C136" s="1">
        <v>40672</v>
      </c>
      <c r="D136">
        <v>2</v>
      </c>
      <c r="E136">
        <v>0</v>
      </c>
      <c r="F136">
        <v>5</v>
      </c>
      <c r="G136">
        <v>1</v>
      </c>
      <c r="H136">
        <v>1</v>
      </c>
      <c r="I136">
        <v>664</v>
      </c>
      <c r="J136">
        <v>3698</v>
      </c>
      <c r="K136" s="8">
        <v>4362</v>
      </c>
      <c r="L136" s="12">
        <v>26.2623</v>
      </c>
      <c r="M136" s="12">
        <v>58.875</v>
      </c>
      <c r="N136" s="12">
        <v>11.792</v>
      </c>
      <c r="O136" s="13">
        <f t="shared" si="16"/>
        <v>-7.3531623471744426E-2</v>
      </c>
      <c r="P136" s="6">
        <f t="shared" si="17"/>
        <v>0.31250913543507708</v>
      </c>
      <c r="Q136" s="6">
        <f t="shared" si="18"/>
        <v>-0.27502010537864591</v>
      </c>
      <c r="R136" s="6">
        <f t="shared" si="19"/>
        <v>-0.1870519817837156</v>
      </c>
      <c r="S136">
        <f t="shared" si="20"/>
        <v>1</v>
      </c>
      <c r="T136">
        <f t="shared" si="21"/>
        <v>0</v>
      </c>
      <c r="U136">
        <f t="shared" si="22"/>
        <v>0</v>
      </c>
      <c r="V136">
        <f t="shared" si="23"/>
        <v>0</v>
      </c>
      <c r="W136">
        <f t="shared" si="24"/>
        <v>0</v>
      </c>
      <c r="X136">
        <f t="shared" si="25"/>
        <v>0</v>
      </c>
      <c r="Y136">
        <f t="shared" si="26"/>
        <v>1</v>
      </c>
      <c r="Z136">
        <f t="shared" si="27"/>
        <v>0</v>
      </c>
      <c r="AA136">
        <f t="shared" si="28"/>
        <v>0</v>
      </c>
    </row>
    <row r="137" spans="2:27" x14ac:dyDescent="0.3">
      <c r="B137">
        <v>130</v>
      </c>
      <c r="C137" s="1">
        <v>40673</v>
      </c>
      <c r="D137">
        <v>2</v>
      </c>
      <c r="E137">
        <v>0</v>
      </c>
      <c r="F137">
        <v>5</v>
      </c>
      <c r="G137">
        <v>2</v>
      </c>
      <c r="H137">
        <v>1</v>
      </c>
      <c r="I137">
        <v>694</v>
      </c>
      <c r="J137">
        <v>4109</v>
      </c>
      <c r="K137" s="8">
        <v>4803</v>
      </c>
      <c r="L137" s="12">
        <v>26.136050000000001</v>
      </c>
      <c r="M137" s="12">
        <v>48.916699999999999</v>
      </c>
      <c r="N137" s="12">
        <v>7.7499570000000002</v>
      </c>
      <c r="O137" s="13">
        <f t="shared" ref="O137:O200" si="29">(K137-K$2)/K$3</f>
        <v>0.15427105189089046</v>
      </c>
      <c r="P137" s="6">
        <f t="shared" ref="P137:P200" si="30">(L137-L$2)/L$3</f>
        <v>0.29700403854511609</v>
      </c>
      <c r="Q137" s="6">
        <f t="shared" ref="Q137:Q200" si="31">(M137-M$2)/M$3</f>
        <v>-0.97467479387250733</v>
      </c>
      <c r="R137" s="6">
        <f t="shared" ref="R137:R200" si="32">(N137-N$2)/N$3</f>
        <v>-0.96604508908379583</v>
      </c>
      <c r="S137">
        <f t="shared" ref="S137:S200" si="33">IF($G137=1,1,0)</f>
        <v>0</v>
      </c>
      <c r="T137">
        <f t="shared" ref="T137:T200" si="34">IF($G137=2,1,0)</f>
        <v>1</v>
      </c>
      <c r="U137">
        <f t="shared" ref="U137:U200" si="35">IF($G137=3,1,0)</f>
        <v>0</v>
      </c>
      <c r="V137">
        <f t="shared" ref="V137:V200" si="36">IF($G137=4,1,0)</f>
        <v>0</v>
      </c>
      <c r="W137">
        <f t="shared" ref="W137:W200" si="37">IF($G137=5,1,0)</f>
        <v>0</v>
      </c>
      <c r="X137">
        <f t="shared" ref="X137:X200" si="38">IF($H137=3,1,0)</f>
        <v>0</v>
      </c>
      <c r="Y137">
        <f t="shared" ref="Y137:Y200" si="39">IF($D137=2,1,0)</f>
        <v>1</v>
      </c>
      <c r="Z137">
        <f t="shared" ref="Z137:Z200" si="40">IF($D137=3,1,0)</f>
        <v>0</v>
      </c>
      <c r="AA137">
        <f t="shared" ref="AA137:AA200" si="41">IF($D137=4,1,0)</f>
        <v>0</v>
      </c>
    </row>
    <row r="138" spans="2:27" x14ac:dyDescent="0.3">
      <c r="B138">
        <v>131</v>
      </c>
      <c r="C138" s="1">
        <v>40674</v>
      </c>
      <c r="D138">
        <v>2</v>
      </c>
      <c r="E138">
        <v>0</v>
      </c>
      <c r="F138">
        <v>5</v>
      </c>
      <c r="G138">
        <v>3</v>
      </c>
      <c r="H138">
        <v>1</v>
      </c>
      <c r="I138">
        <v>550</v>
      </c>
      <c r="J138">
        <v>3632</v>
      </c>
      <c r="K138" s="8">
        <v>4182</v>
      </c>
      <c r="L138" s="12">
        <v>26.42</v>
      </c>
      <c r="M138" s="12">
        <v>63.291699999999999</v>
      </c>
      <c r="N138" s="12">
        <v>8.0830140000000004</v>
      </c>
      <c r="O138" s="13">
        <f t="shared" si="29"/>
        <v>-0.16651230729322805</v>
      </c>
      <c r="P138" s="6">
        <f t="shared" si="30"/>
        <v>0.33187669012455751</v>
      </c>
      <c r="Q138" s="6">
        <f t="shared" si="31"/>
        <v>3.5290375594094085E-2</v>
      </c>
      <c r="R138" s="6">
        <f t="shared" si="32"/>
        <v>-0.90185747224299462</v>
      </c>
      <c r="S138">
        <f t="shared" si="33"/>
        <v>0</v>
      </c>
      <c r="T138">
        <f t="shared" si="34"/>
        <v>0</v>
      </c>
      <c r="U138">
        <f t="shared" si="35"/>
        <v>1</v>
      </c>
      <c r="V138">
        <f t="shared" si="36"/>
        <v>0</v>
      </c>
      <c r="W138">
        <f t="shared" si="37"/>
        <v>0</v>
      </c>
      <c r="X138">
        <f t="shared" si="38"/>
        <v>0</v>
      </c>
      <c r="Y138">
        <f t="shared" si="39"/>
        <v>1</v>
      </c>
      <c r="Z138">
        <f t="shared" si="40"/>
        <v>0</v>
      </c>
      <c r="AA138">
        <f t="shared" si="41"/>
        <v>0</v>
      </c>
    </row>
    <row r="139" spans="2:27" x14ac:dyDescent="0.3">
      <c r="B139">
        <v>132</v>
      </c>
      <c r="C139" s="1">
        <v>40675</v>
      </c>
      <c r="D139">
        <v>2</v>
      </c>
      <c r="E139">
        <v>0</v>
      </c>
      <c r="F139">
        <v>5</v>
      </c>
      <c r="G139">
        <v>4</v>
      </c>
      <c r="H139">
        <v>1</v>
      </c>
      <c r="I139">
        <v>695</v>
      </c>
      <c r="J139">
        <v>4169</v>
      </c>
      <c r="K139" s="8">
        <v>4864</v>
      </c>
      <c r="L139" s="12">
        <v>26.168150000000001</v>
      </c>
      <c r="M139" s="12">
        <v>74.75</v>
      </c>
      <c r="N139" s="12">
        <v>12.707689</v>
      </c>
      <c r="O139" s="13">
        <f t="shared" si="29"/>
        <v>0.18578117251928214</v>
      </c>
      <c r="P139" s="6">
        <f t="shared" si="30"/>
        <v>0.30094632456624676</v>
      </c>
      <c r="Q139" s="6">
        <f t="shared" si="31"/>
        <v>0.84033273394534003</v>
      </c>
      <c r="R139" s="6">
        <f t="shared" si="32"/>
        <v>-1.0578000821488439E-2</v>
      </c>
      <c r="S139">
        <f t="shared" si="33"/>
        <v>0</v>
      </c>
      <c r="T139">
        <f t="shared" si="34"/>
        <v>0</v>
      </c>
      <c r="U139">
        <f t="shared" si="35"/>
        <v>0</v>
      </c>
      <c r="V139">
        <f t="shared" si="36"/>
        <v>1</v>
      </c>
      <c r="W139">
        <f t="shared" si="37"/>
        <v>0</v>
      </c>
      <c r="X139">
        <f t="shared" si="38"/>
        <v>0</v>
      </c>
      <c r="Y139">
        <f t="shared" si="39"/>
        <v>1</v>
      </c>
      <c r="Z139">
        <f t="shared" si="40"/>
        <v>0</v>
      </c>
      <c r="AA139">
        <f t="shared" si="41"/>
        <v>0</v>
      </c>
    </row>
    <row r="140" spans="2:27" x14ac:dyDescent="0.3">
      <c r="B140">
        <v>133</v>
      </c>
      <c r="C140" s="1">
        <v>40676</v>
      </c>
      <c r="D140">
        <v>2</v>
      </c>
      <c r="E140">
        <v>0</v>
      </c>
      <c r="F140">
        <v>5</v>
      </c>
      <c r="G140">
        <v>5</v>
      </c>
      <c r="H140">
        <v>2</v>
      </c>
      <c r="I140">
        <v>692</v>
      </c>
      <c r="J140">
        <v>3413</v>
      </c>
      <c r="K140" s="8">
        <v>4105</v>
      </c>
      <c r="L140" s="12">
        <v>24.715</v>
      </c>
      <c r="M140" s="12">
        <v>86.333299999999994</v>
      </c>
      <c r="N140" s="12">
        <v>12.041575</v>
      </c>
      <c r="O140" s="13">
        <f t="shared" si="29"/>
        <v>-0.2062873775946405</v>
      </c>
      <c r="P140" s="6">
        <f t="shared" si="30"/>
        <v>0.12248112420468579</v>
      </c>
      <c r="Q140" s="6">
        <f t="shared" si="31"/>
        <v>1.654157398118034</v>
      </c>
      <c r="R140" s="6">
        <f t="shared" si="32"/>
        <v>-0.13895323450309102</v>
      </c>
      <c r="S140">
        <f t="shared" si="33"/>
        <v>0</v>
      </c>
      <c r="T140">
        <f t="shared" si="34"/>
        <v>0</v>
      </c>
      <c r="U140">
        <f t="shared" si="35"/>
        <v>0</v>
      </c>
      <c r="V140">
        <f t="shared" si="36"/>
        <v>0</v>
      </c>
      <c r="W140">
        <f t="shared" si="37"/>
        <v>1</v>
      </c>
      <c r="X140">
        <f t="shared" si="38"/>
        <v>0</v>
      </c>
      <c r="Y140">
        <f t="shared" si="39"/>
        <v>1</v>
      </c>
      <c r="Z140">
        <f t="shared" si="40"/>
        <v>0</v>
      </c>
      <c r="AA140">
        <f t="shared" si="41"/>
        <v>0</v>
      </c>
    </row>
    <row r="141" spans="2:27" x14ac:dyDescent="0.3">
      <c r="B141">
        <v>134</v>
      </c>
      <c r="C141" s="1">
        <v>40677</v>
      </c>
      <c r="D141">
        <v>2</v>
      </c>
      <c r="E141">
        <v>0</v>
      </c>
      <c r="F141">
        <v>5</v>
      </c>
      <c r="G141">
        <v>6</v>
      </c>
      <c r="H141">
        <v>2</v>
      </c>
      <c r="I141">
        <v>902</v>
      </c>
      <c r="J141">
        <v>2507</v>
      </c>
      <c r="K141" s="8">
        <v>3409</v>
      </c>
      <c r="L141" s="12">
        <v>25.03145</v>
      </c>
      <c r="M141" s="12">
        <v>92.25</v>
      </c>
      <c r="N141" s="12">
        <v>9.0416500000000006</v>
      </c>
      <c r="O141" s="13">
        <f t="shared" si="29"/>
        <v>-0.56581268837104381</v>
      </c>
      <c r="P141" s="6">
        <f t="shared" si="30"/>
        <v>0.16134518686471117</v>
      </c>
      <c r="Q141" s="6">
        <f t="shared" si="31"/>
        <v>2.0698555489481589</v>
      </c>
      <c r="R141" s="6">
        <f t="shared" si="32"/>
        <v>-0.71710663302388677</v>
      </c>
      <c r="S141">
        <f t="shared" si="33"/>
        <v>0</v>
      </c>
      <c r="T141">
        <f t="shared" si="34"/>
        <v>0</v>
      </c>
      <c r="U141">
        <f t="shared" si="35"/>
        <v>0</v>
      </c>
      <c r="V141">
        <f t="shared" si="36"/>
        <v>0</v>
      </c>
      <c r="W141">
        <f t="shared" si="37"/>
        <v>0</v>
      </c>
      <c r="X141">
        <f t="shared" si="38"/>
        <v>0</v>
      </c>
      <c r="Y141">
        <f t="shared" si="39"/>
        <v>1</v>
      </c>
      <c r="Z141">
        <f t="shared" si="40"/>
        <v>0</v>
      </c>
      <c r="AA141">
        <f t="shared" si="41"/>
        <v>0</v>
      </c>
    </row>
    <row r="142" spans="2:27" x14ac:dyDescent="0.3">
      <c r="B142">
        <v>135</v>
      </c>
      <c r="C142" s="1">
        <v>40678</v>
      </c>
      <c r="D142">
        <v>2</v>
      </c>
      <c r="E142">
        <v>0</v>
      </c>
      <c r="F142">
        <v>5</v>
      </c>
      <c r="G142">
        <v>0</v>
      </c>
      <c r="H142">
        <v>2</v>
      </c>
      <c r="I142">
        <v>1582</v>
      </c>
      <c r="J142">
        <v>2971</v>
      </c>
      <c r="K142" s="8">
        <v>4553</v>
      </c>
      <c r="L142" s="12">
        <v>26.8</v>
      </c>
      <c r="M142" s="12">
        <v>86.708299999999994</v>
      </c>
      <c r="N142" s="12">
        <v>10.249593000000001</v>
      </c>
      <c r="O142" s="13">
        <f t="shared" si="29"/>
        <v>2.5131213249940977E-2</v>
      </c>
      <c r="P142" s="6">
        <f t="shared" si="30"/>
        <v>0.37854549660523257</v>
      </c>
      <c r="Q142" s="6">
        <f t="shared" si="31"/>
        <v>1.6805043155823802</v>
      </c>
      <c r="R142" s="6">
        <f t="shared" si="32"/>
        <v>-0.48430869618566386</v>
      </c>
      <c r="S142">
        <f t="shared" si="33"/>
        <v>0</v>
      </c>
      <c r="T142">
        <f t="shared" si="34"/>
        <v>0</v>
      </c>
      <c r="U142">
        <f t="shared" si="35"/>
        <v>0</v>
      </c>
      <c r="V142">
        <f t="shared" si="36"/>
        <v>0</v>
      </c>
      <c r="W142">
        <f t="shared" si="37"/>
        <v>0</v>
      </c>
      <c r="X142">
        <f t="shared" si="38"/>
        <v>0</v>
      </c>
      <c r="Y142">
        <f t="shared" si="39"/>
        <v>1</v>
      </c>
      <c r="Z142">
        <f t="shared" si="40"/>
        <v>0</v>
      </c>
      <c r="AA142">
        <f t="shared" si="41"/>
        <v>0</v>
      </c>
    </row>
    <row r="143" spans="2:27" x14ac:dyDescent="0.3">
      <c r="B143">
        <v>136</v>
      </c>
      <c r="C143" s="1">
        <v>40679</v>
      </c>
      <c r="D143">
        <v>2</v>
      </c>
      <c r="E143">
        <v>0</v>
      </c>
      <c r="F143">
        <v>5</v>
      </c>
      <c r="G143">
        <v>1</v>
      </c>
      <c r="H143">
        <v>1</v>
      </c>
      <c r="I143">
        <v>773</v>
      </c>
      <c r="J143">
        <v>3185</v>
      </c>
      <c r="K143" s="8">
        <v>3958</v>
      </c>
      <c r="L143" s="12">
        <v>27.525600000000001</v>
      </c>
      <c r="M143" s="12">
        <v>78.791700000000006</v>
      </c>
      <c r="N143" s="12">
        <v>8.5003569999999993</v>
      </c>
      <c r="O143" s="13">
        <f t="shared" si="29"/>
        <v>-0.28222160271551877</v>
      </c>
      <c r="P143" s="6">
        <f t="shared" si="30"/>
        <v>0.46765835445359549</v>
      </c>
      <c r="Q143" s="6">
        <f t="shared" si="31"/>
        <v>1.1242962974537343</v>
      </c>
      <c r="R143" s="6">
        <f t="shared" si="32"/>
        <v>-0.82142603685748861</v>
      </c>
      <c r="S143">
        <f t="shared" si="33"/>
        <v>1</v>
      </c>
      <c r="T143">
        <f t="shared" si="34"/>
        <v>0</v>
      </c>
      <c r="U143">
        <f t="shared" si="35"/>
        <v>0</v>
      </c>
      <c r="V143">
        <f t="shared" si="36"/>
        <v>0</v>
      </c>
      <c r="W143">
        <f t="shared" si="37"/>
        <v>0</v>
      </c>
      <c r="X143">
        <f t="shared" si="38"/>
        <v>0</v>
      </c>
      <c r="Y143">
        <f t="shared" si="39"/>
        <v>1</v>
      </c>
      <c r="Z143">
        <f t="shared" si="40"/>
        <v>0</v>
      </c>
      <c r="AA143">
        <f t="shared" si="41"/>
        <v>0</v>
      </c>
    </row>
    <row r="144" spans="2:27" x14ac:dyDescent="0.3">
      <c r="B144">
        <v>137</v>
      </c>
      <c r="C144" s="1">
        <v>40680</v>
      </c>
      <c r="D144">
        <v>2</v>
      </c>
      <c r="E144">
        <v>0</v>
      </c>
      <c r="F144">
        <v>5</v>
      </c>
      <c r="G144">
        <v>2</v>
      </c>
      <c r="H144">
        <v>2</v>
      </c>
      <c r="I144">
        <v>678</v>
      </c>
      <c r="J144">
        <v>3445</v>
      </c>
      <c r="K144" s="8">
        <v>4123</v>
      </c>
      <c r="L144" s="12">
        <v>26.926449999999999</v>
      </c>
      <c r="M144" s="12">
        <v>83.791700000000006</v>
      </c>
      <c r="N144" s="12">
        <v>18.582718</v>
      </c>
      <c r="O144" s="13">
        <f t="shared" si="29"/>
        <v>-0.19698930921249214</v>
      </c>
      <c r="P144" s="6">
        <f t="shared" si="30"/>
        <v>0.39407515602492021</v>
      </c>
      <c r="Q144" s="6">
        <f t="shared" si="31"/>
        <v>1.4755885303116827</v>
      </c>
      <c r="R144" s="6">
        <f t="shared" si="32"/>
        <v>1.1216729663721023</v>
      </c>
      <c r="S144">
        <f t="shared" si="33"/>
        <v>0</v>
      </c>
      <c r="T144">
        <f t="shared" si="34"/>
        <v>1</v>
      </c>
      <c r="U144">
        <f t="shared" si="35"/>
        <v>0</v>
      </c>
      <c r="V144">
        <f t="shared" si="36"/>
        <v>0</v>
      </c>
      <c r="W144">
        <f t="shared" si="37"/>
        <v>0</v>
      </c>
      <c r="X144">
        <f t="shared" si="38"/>
        <v>0</v>
      </c>
      <c r="Y144">
        <f t="shared" si="39"/>
        <v>1</v>
      </c>
      <c r="Z144">
        <f t="shared" si="40"/>
        <v>0</v>
      </c>
      <c r="AA144">
        <f t="shared" si="41"/>
        <v>0</v>
      </c>
    </row>
    <row r="145" spans="2:27" x14ac:dyDescent="0.3">
      <c r="B145">
        <v>138</v>
      </c>
      <c r="C145" s="1">
        <v>40681</v>
      </c>
      <c r="D145">
        <v>2</v>
      </c>
      <c r="E145">
        <v>0</v>
      </c>
      <c r="F145">
        <v>5</v>
      </c>
      <c r="G145">
        <v>3</v>
      </c>
      <c r="H145">
        <v>2</v>
      </c>
      <c r="I145">
        <v>536</v>
      </c>
      <c r="J145">
        <v>3319</v>
      </c>
      <c r="K145" s="8">
        <v>3855</v>
      </c>
      <c r="L145" s="12">
        <v>26.357900000000001</v>
      </c>
      <c r="M145" s="12">
        <v>87</v>
      </c>
      <c r="N145" s="12">
        <v>13.499964</v>
      </c>
      <c r="O145" s="13">
        <f t="shared" si="29"/>
        <v>-0.33542721623558996</v>
      </c>
      <c r="P145" s="6">
        <f t="shared" si="30"/>
        <v>0.32425002464442604</v>
      </c>
      <c r="Q145" s="6">
        <f t="shared" si="31"/>
        <v>1.7009987044473134</v>
      </c>
      <c r="R145" s="6">
        <f t="shared" si="32"/>
        <v>0.14211131101566202</v>
      </c>
      <c r="S145">
        <f t="shared" si="33"/>
        <v>0</v>
      </c>
      <c r="T145">
        <f t="shared" si="34"/>
        <v>0</v>
      </c>
      <c r="U145">
        <f t="shared" si="35"/>
        <v>1</v>
      </c>
      <c r="V145">
        <f t="shared" si="36"/>
        <v>0</v>
      </c>
      <c r="W145">
        <f t="shared" si="37"/>
        <v>0</v>
      </c>
      <c r="X145">
        <f t="shared" si="38"/>
        <v>0</v>
      </c>
      <c r="Y145">
        <f t="shared" si="39"/>
        <v>1</v>
      </c>
      <c r="Z145">
        <f t="shared" si="40"/>
        <v>0</v>
      </c>
      <c r="AA145">
        <f t="shared" si="41"/>
        <v>0</v>
      </c>
    </row>
    <row r="146" spans="2:27" x14ac:dyDescent="0.3">
      <c r="B146">
        <v>139</v>
      </c>
      <c r="C146" s="1">
        <v>40682</v>
      </c>
      <c r="D146">
        <v>2</v>
      </c>
      <c r="E146">
        <v>0</v>
      </c>
      <c r="F146">
        <v>5</v>
      </c>
      <c r="G146">
        <v>4</v>
      </c>
      <c r="H146">
        <v>2</v>
      </c>
      <c r="I146">
        <v>735</v>
      </c>
      <c r="J146">
        <v>3840</v>
      </c>
      <c r="K146" s="8">
        <v>4575</v>
      </c>
      <c r="L146" s="12">
        <v>25.537099999999999</v>
      </c>
      <c r="M146" s="12">
        <v>82.958299999999994</v>
      </c>
      <c r="N146" s="12">
        <v>7.2502709999999997</v>
      </c>
      <c r="O146" s="13">
        <f t="shared" si="29"/>
        <v>3.6495519050344531E-2</v>
      </c>
      <c r="P146" s="6">
        <f t="shared" si="30"/>
        <v>0.22344540264616741</v>
      </c>
      <c r="Q146" s="6">
        <f t="shared" si="31"/>
        <v>1.417035140938919</v>
      </c>
      <c r="R146" s="6">
        <f t="shared" si="32"/>
        <v>-1.0623458829680639</v>
      </c>
      <c r="S146">
        <f t="shared" si="33"/>
        <v>0</v>
      </c>
      <c r="T146">
        <f t="shared" si="34"/>
        <v>0</v>
      </c>
      <c r="U146">
        <f t="shared" si="35"/>
        <v>0</v>
      </c>
      <c r="V146">
        <f t="shared" si="36"/>
        <v>1</v>
      </c>
      <c r="W146">
        <f t="shared" si="37"/>
        <v>0</v>
      </c>
      <c r="X146">
        <f t="shared" si="38"/>
        <v>0</v>
      </c>
      <c r="Y146">
        <f t="shared" si="39"/>
        <v>1</v>
      </c>
      <c r="Z146">
        <f t="shared" si="40"/>
        <v>0</v>
      </c>
      <c r="AA146">
        <f t="shared" si="41"/>
        <v>0</v>
      </c>
    </row>
    <row r="147" spans="2:27" x14ac:dyDescent="0.3">
      <c r="B147">
        <v>140</v>
      </c>
      <c r="C147" s="1">
        <v>40683</v>
      </c>
      <c r="D147">
        <v>2</v>
      </c>
      <c r="E147">
        <v>0</v>
      </c>
      <c r="F147">
        <v>5</v>
      </c>
      <c r="G147">
        <v>5</v>
      </c>
      <c r="H147">
        <v>1</v>
      </c>
      <c r="I147">
        <v>909</v>
      </c>
      <c r="J147">
        <v>4008</v>
      </c>
      <c r="K147" s="8">
        <v>4917</v>
      </c>
      <c r="L147" s="12">
        <v>26.452100000000002</v>
      </c>
      <c r="M147" s="12">
        <v>71.958299999999994</v>
      </c>
      <c r="N147" s="12">
        <v>8.3758710000000001</v>
      </c>
      <c r="O147" s="13">
        <f t="shared" si="29"/>
        <v>0.21315881831116343</v>
      </c>
      <c r="P147" s="6">
        <f t="shared" si="30"/>
        <v>0.33581897614568823</v>
      </c>
      <c r="Q147" s="6">
        <f t="shared" si="31"/>
        <v>0.64419222865143266</v>
      </c>
      <c r="R147" s="6">
        <f t="shared" si="32"/>
        <v>-0.84541730462860265</v>
      </c>
      <c r="S147">
        <f t="shared" si="33"/>
        <v>0</v>
      </c>
      <c r="T147">
        <f t="shared" si="34"/>
        <v>0</v>
      </c>
      <c r="U147">
        <f t="shared" si="35"/>
        <v>0</v>
      </c>
      <c r="V147">
        <f t="shared" si="36"/>
        <v>0</v>
      </c>
      <c r="W147">
        <f t="shared" si="37"/>
        <v>1</v>
      </c>
      <c r="X147">
        <f t="shared" si="38"/>
        <v>0</v>
      </c>
      <c r="Y147">
        <f t="shared" si="39"/>
        <v>1</v>
      </c>
      <c r="Z147">
        <f t="shared" si="40"/>
        <v>0</v>
      </c>
      <c r="AA147">
        <f t="shared" si="41"/>
        <v>0</v>
      </c>
    </row>
    <row r="148" spans="2:27" x14ac:dyDescent="0.3">
      <c r="B148">
        <v>141</v>
      </c>
      <c r="C148" s="1">
        <v>40684</v>
      </c>
      <c r="D148">
        <v>2</v>
      </c>
      <c r="E148">
        <v>0</v>
      </c>
      <c r="F148">
        <v>5</v>
      </c>
      <c r="G148">
        <v>6</v>
      </c>
      <c r="H148">
        <v>1</v>
      </c>
      <c r="I148">
        <v>2258</v>
      </c>
      <c r="J148">
        <v>3547</v>
      </c>
      <c r="K148" s="8">
        <v>5805</v>
      </c>
      <c r="L148" s="12">
        <v>28.598749999999999</v>
      </c>
      <c r="M148" s="12">
        <v>62.666699999999999</v>
      </c>
      <c r="N148" s="12">
        <v>8.0835500000000007</v>
      </c>
      <c r="O148" s="13">
        <f t="shared" si="29"/>
        <v>0.67186352516381598</v>
      </c>
      <c r="P148" s="6">
        <f t="shared" si="30"/>
        <v>0.59945474833448098</v>
      </c>
      <c r="Q148" s="6">
        <f t="shared" si="31"/>
        <v>-8.6211535131494564E-3</v>
      </c>
      <c r="R148" s="6">
        <f t="shared" si="32"/>
        <v>-0.90175417291997573</v>
      </c>
      <c r="S148">
        <f t="shared" si="33"/>
        <v>0</v>
      </c>
      <c r="T148">
        <f t="shared" si="34"/>
        <v>0</v>
      </c>
      <c r="U148">
        <f t="shared" si="35"/>
        <v>0</v>
      </c>
      <c r="V148">
        <f t="shared" si="36"/>
        <v>0</v>
      </c>
      <c r="W148">
        <f t="shared" si="37"/>
        <v>0</v>
      </c>
      <c r="X148">
        <f t="shared" si="38"/>
        <v>0</v>
      </c>
      <c r="Y148">
        <f t="shared" si="39"/>
        <v>1</v>
      </c>
      <c r="Z148">
        <f t="shared" si="40"/>
        <v>0</v>
      </c>
      <c r="AA148">
        <f t="shared" si="41"/>
        <v>0</v>
      </c>
    </row>
    <row r="149" spans="2:27" x14ac:dyDescent="0.3">
      <c r="B149">
        <v>142</v>
      </c>
      <c r="C149" s="1">
        <v>40685</v>
      </c>
      <c r="D149">
        <v>2</v>
      </c>
      <c r="E149">
        <v>0</v>
      </c>
      <c r="F149">
        <v>5</v>
      </c>
      <c r="G149">
        <v>0</v>
      </c>
      <c r="H149">
        <v>1</v>
      </c>
      <c r="I149">
        <v>1576</v>
      </c>
      <c r="J149">
        <v>3084</v>
      </c>
      <c r="K149" s="8">
        <v>4660</v>
      </c>
      <c r="L149" s="12">
        <v>28.725000000000001</v>
      </c>
      <c r="M149" s="12">
        <v>74.958299999999994</v>
      </c>
      <c r="N149" s="12">
        <v>9.9165360000000007</v>
      </c>
      <c r="O149" s="13">
        <f t="shared" si="29"/>
        <v>8.0403064188267356E-2</v>
      </c>
      <c r="P149" s="6">
        <f t="shared" si="30"/>
        <v>0.61495984522444247</v>
      </c>
      <c r="Q149" s="6">
        <f t="shared" si="31"/>
        <v>0.85496756836620169</v>
      </c>
      <c r="R149" s="6">
        <f t="shared" si="32"/>
        <v>-0.54849631302646518</v>
      </c>
      <c r="S149">
        <f t="shared" si="33"/>
        <v>0</v>
      </c>
      <c r="T149">
        <f t="shared" si="34"/>
        <v>0</v>
      </c>
      <c r="U149">
        <f t="shared" si="35"/>
        <v>0</v>
      </c>
      <c r="V149">
        <f t="shared" si="36"/>
        <v>0</v>
      </c>
      <c r="W149">
        <f t="shared" si="37"/>
        <v>0</v>
      </c>
      <c r="X149">
        <f t="shared" si="38"/>
        <v>0</v>
      </c>
      <c r="Y149">
        <f t="shared" si="39"/>
        <v>1</v>
      </c>
      <c r="Z149">
        <f t="shared" si="40"/>
        <v>0</v>
      </c>
      <c r="AA149">
        <f t="shared" si="41"/>
        <v>0</v>
      </c>
    </row>
    <row r="150" spans="2:27" x14ac:dyDescent="0.3">
      <c r="B150">
        <v>143</v>
      </c>
      <c r="C150" s="1">
        <v>40686</v>
      </c>
      <c r="D150">
        <v>2</v>
      </c>
      <c r="E150">
        <v>0</v>
      </c>
      <c r="F150">
        <v>5</v>
      </c>
      <c r="G150">
        <v>1</v>
      </c>
      <c r="H150">
        <v>2</v>
      </c>
      <c r="I150">
        <v>836</v>
      </c>
      <c r="J150">
        <v>3438</v>
      </c>
      <c r="K150" s="8">
        <v>4274</v>
      </c>
      <c r="L150" s="12">
        <v>29.514800000000001</v>
      </c>
      <c r="M150" s="12">
        <v>81</v>
      </c>
      <c r="N150" s="12">
        <v>15.667414000000001</v>
      </c>
      <c r="O150" s="13">
        <f t="shared" si="29"/>
        <v>-0.11898884667335864</v>
      </c>
      <c r="P150" s="6">
        <f t="shared" si="30"/>
        <v>0.71195727511506668</v>
      </c>
      <c r="Q150" s="6">
        <f t="shared" si="31"/>
        <v>1.2794480250177753</v>
      </c>
      <c r="R150" s="6">
        <f t="shared" si="32"/>
        <v>0.5598279484728983</v>
      </c>
      <c r="S150">
        <f t="shared" si="33"/>
        <v>1</v>
      </c>
      <c r="T150">
        <f t="shared" si="34"/>
        <v>0</v>
      </c>
      <c r="U150">
        <f t="shared" si="35"/>
        <v>0</v>
      </c>
      <c r="V150">
        <f t="shared" si="36"/>
        <v>0</v>
      </c>
      <c r="W150">
        <f t="shared" si="37"/>
        <v>0</v>
      </c>
      <c r="X150">
        <f t="shared" si="38"/>
        <v>0</v>
      </c>
      <c r="Y150">
        <f t="shared" si="39"/>
        <v>1</v>
      </c>
      <c r="Z150">
        <f t="shared" si="40"/>
        <v>0</v>
      </c>
      <c r="AA150">
        <f t="shared" si="41"/>
        <v>0</v>
      </c>
    </row>
    <row r="151" spans="2:27" x14ac:dyDescent="0.3">
      <c r="B151">
        <v>144</v>
      </c>
      <c r="C151" s="1">
        <v>40687</v>
      </c>
      <c r="D151">
        <v>2</v>
      </c>
      <c r="E151">
        <v>0</v>
      </c>
      <c r="F151">
        <v>5</v>
      </c>
      <c r="G151">
        <v>2</v>
      </c>
      <c r="H151">
        <v>2</v>
      </c>
      <c r="I151">
        <v>659</v>
      </c>
      <c r="J151">
        <v>3833</v>
      </c>
      <c r="K151" s="8">
        <v>4492</v>
      </c>
      <c r="L151" s="12">
        <v>30.240649999999999</v>
      </c>
      <c r="M151" s="12">
        <v>74.083299999999994</v>
      </c>
      <c r="N151" s="12">
        <v>13.875164</v>
      </c>
      <c r="O151" s="13">
        <f t="shared" si="29"/>
        <v>-6.3789073784506975E-3</v>
      </c>
      <c r="P151" s="6">
        <f t="shared" si="30"/>
        <v>0.80110083612558769</v>
      </c>
      <c r="Q151" s="6">
        <f t="shared" si="31"/>
        <v>0.79349142761606073</v>
      </c>
      <c r="R151" s="6">
        <f t="shared" si="32"/>
        <v>0.21442083712881566</v>
      </c>
      <c r="S151">
        <f t="shared" si="33"/>
        <v>0</v>
      </c>
      <c r="T151">
        <f t="shared" si="34"/>
        <v>1</v>
      </c>
      <c r="U151">
        <f t="shared" si="35"/>
        <v>0</v>
      </c>
      <c r="V151">
        <f t="shared" si="36"/>
        <v>0</v>
      </c>
      <c r="W151">
        <f t="shared" si="37"/>
        <v>0</v>
      </c>
      <c r="X151">
        <f t="shared" si="38"/>
        <v>0</v>
      </c>
      <c r="Y151">
        <f t="shared" si="39"/>
        <v>1</v>
      </c>
      <c r="Z151">
        <f t="shared" si="40"/>
        <v>0</v>
      </c>
      <c r="AA151">
        <f t="shared" si="41"/>
        <v>0</v>
      </c>
    </row>
    <row r="152" spans="2:27" x14ac:dyDescent="0.3">
      <c r="B152">
        <v>145</v>
      </c>
      <c r="C152" s="1">
        <v>40688</v>
      </c>
      <c r="D152">
        <v>2</v>
      </c>
      <c r="E152">
        <v>0</v>
      </c>
      <c r="F152">
        <v>5</v>
      </c>
      <c r="G152">
        <v>3</v>
      </c>
      <c r="H152">
        <v>1</v>
      </c>
      <c r="I152">
        <v>740</v>
      </c>
      <c r="J152">
        <v>4238</v>
      </c>
      <c r="K152" s="8">
        <v>4978</v>
      </c>
      <c r="L152" s="12">
        <v>30.777100000000001</v>
      </c>
      <c r="M152" s="12">
        <v>69.625</v>
      </c>
      <c r="N152" s="12">
        <v>10.333610999999999</v>
      </c>
      <c r="O152" s="13">
        <f t="shared" si="29"/>
        <v>0.2446689389395551</v>
      </c>
      <c r="P152" s="6">
        <f t="shared" si="30"/>
        <v>0.86698368148495164</v>
      </c>
      <c r="Q152" s="6">
        <f t="shared" si="31"/>
        <v>0.48025819526594299</v>
      </c>
      <c r="R152" s="6">
        <f t="shared" si="32"/>
        <v>-0.46811652730246867</v>
      </c>
      <c r="S152">
        <f t="shared" si="33"/>
        <v>0</v>
      </c>
      <c r="T152">
        <f t="shared" si="34"/>
        <v>0</v>
      </c>
      <c r="U152">
        <f t="shared" si="35"/>
        <v>1</v>
      </c>
      <c r="V152">
        <f t="shared" si="36"/>
        <v>0</v>
      </c>
      <c r="W152">
        <f t="shared" si="37"/>
        <v>0</v>
      </c>
      <c r="X152">
        <f t="shared" si="38"/>
        <v>0</v>
      </c>
      <c r="Y152">
        <f t="shared" si="39"/>
        <v>1</v>
      </c>
      <c r="Z152">
        <f t="shared" si="40"/>
        <v>0</v>
      </c>
      <c r="AA152">
        <f t="shared" si="41"/>
        <v>0</v>
      </c>
    </row>
    <row r="153" spans="2:27" x14ac:dyDescent="0.3">
      <c r="B153">
        <v>146</v>
      </c>
      <c r="C153" s="1">
        <v>40689</v>
      </c>
      <c r="D153">
        <v>2</v>
      </c>
      <c r="E153">
        <v>0</v>
      </c>
      <c r="F153">
        <v>5</v>
      </c>
      <c r="G153">
        <v>4</v>
      </c>
      <c r="H153">
        <v>1</v>
      </c>
      <c r="I153">
        <v>758</v>
      </c>
      <c r="J153">
        <v>3919</v>
      </c>
      <c r="K153" s="8">
        <v>4677</v>
      </c>
      <c r="L153" s="12">
        <v>32.734400000000001</v>
      </c>
      <c r="M153" s="12">
        <v>67.75</v>
      </c>
      <c r="N153" s="12">
        <v>13.376014</v>
      </c>
      <c r="O153" s="13">
        <f t="shared" si="29"/>
        <v>8.9184573215851923E-2</v>
      </c>
      <c r="P153" s="6">
        <f t="shared" si="30"/>
        <v>1.1073648786550188</v>
      </c>
      <c r="Q153" s="6">
        <f t="shared" si="31"/>
        <v>0.34852360794421233</v>
      </c>
      <c r="R153" s="6">
        <f t="shared" si="32"/>
        <v>0.11822334256756648</v>
      </c>
      <c r="S153">
        <f t="shared" si="33"/>
        <v>0</v>
      </c>
      <c r="T153">
        <f t="shared" si="34"/>
        <v>0</v>
      </c>
      <c r="U153">
        <f t="shared" si="35"/>
        <v>0</v>
      </c>
      <c r="V153">
        <f t="shared" si="36"/>
        <v>1</v>
      </c>
      <c r="W153">
        <f t="shared" si="37"/>
        <v>0</v>
      </c>
      <c r="X153">
        <f t="shared" si="38"/>
        <v>0</v>
      </c>
      <c r="Y153">
        <f t="shared" si="39"/>
        <v>1</v>
      </c>
      <c r="Z153">
        <f t="shared" si="40"/>
        <v>0</v>
      </c>
      <c r="AA153">
        <f t="shared" si="41"/>
        <v>0</v>
      </c>
    </row>
    <row r="154" spans="2:27" x14ac:dyDescent="0.3">
      <c r="B154">
        <v>147</v>
      </c>
      <c r="C154" s="1">
        <v>40690</v>
      </c>
      <c r="D154">
        <v>2</v>
      </c>
      <c r="E154">
        <v>0</v>
      </c>
      <c r="F154">
        <v>5</v>
      </c>
      <c r="G154">
        <v>5</v>
      </c>
      <c r="H154">
        <v>1</v>
      </c>
      <c r="I154">
        <v>871</v>
      </c>
      <c r="J154">
        <v>3808</v>
      </c>
      <c r="K154" s="8">
        <v>4679</v>
      </c>
      <c r="L154" s="12">
        <v>31.8504</v>
      </c>
      <c r="M154" s="12">
        <v>65.375</v>
      </c>
      <c r="N154" s="12">
        <v>16.125492999999999</v>
      </c>
      <c r="O154" s="13">
        <f t="shared" si="29"/>
        <v>9.0217691924979512E-2</v>
      </c>
      <c r="P154" s="6">
        <f t="shared" si="30"/>
        <v>0.9987984972631323</v>
      </c>
      <c r="Q154" s="6">
        <f t="shared" si="31"/>
        <v>0.18165979733668691</v>
      </c>
      <c r="R154" s="6">
        <f t="shared" si="32"/>
        <v>0.64811013240783211</v>
      </c>
      <c r="S154">
        <f t="shared" si="33"/>
        <v>0</v>
      </c>
      <c r="T154">
        <f t="shared" si="34"/>
        <v>0</v>
      </c>
      <c r="U154">
        <f t="shared" si="35"/>
        <v>0</v>
      </c>
      <c r="V154">
        <f t="shared" si="36"/>
        <v>0</v>
      </c>
      <c r="W154">
        <f t="shared" si="37"/>
        <v>1</v>
      </c>
      <c r="X154">
        <f t="shared" si="38"/>
        <v>0</v>
      </c>
      <c r="Y154">
        <f t="shared" si="39"/>
        <v>1</v>
      </c>
      <c r="Z154">
        <f t="shared" si="40"/>
        <v>0</v>
      </c>
      <c r="AA154">
        <f t="shared" si="41"/>
        <v>0</v>
      </c>
    </row>
    <row r="155" spans="2:27" x14ac:dyDescent="0.3">
      <c r="B155">
        <v>148</v>
      </c>
      <c r="C155" s="1">
        <v>40691</v>
      </c>
      <c r="D155">
        <v>2</v>
      </c>
      <c r="E155">
        <v>0</v>
      </c>
      <c r="F155">
        <v>5</v>
      </c>
      <c r="G155">
        <v>6</v>
      </c>
      <c r="H155">
        <v>1</v>
      </c>
      <c r="I155">
        <v>2001</v>
      </c>
      <c r="J155">
        <v>2757</v>
      </c>
      <c r="K155" s="8">
        <v>4758</v>
      </c>
      <c r="L155" s="12">
        <v>30.618950000000002</v>
      </c>
      <c r="M155" s="12">
        <v>72.958299999999994</v>
      </c>
      <c r="N155" s="12">
        <v>15.416164</v>
      </c>
      <c r="O155" s="13">
        <f t="shared" si="29"/>
        <v>0.13102588093551956</v>
      </c>
      <c r="P155" s="6">
        <f t="shared" si="30"/>
        <v>0.84756086110358653</v>
      </c>
      <c r="Q155" s="6">
        <f t="shared" si="31"/>
        <v>0.71445067522302241</v>
      </c>
      <c r="R155" s="6">
        <f t="shared" si="32"/>
        <v>0.51140639080783989</v>
      </c>
      <c r="S155">
        <f t="shared" si="33"/>
        <v>0</v>
      </c>
      <c r="T155">
        <f t="shared" si="34"/>
        <v>0</v>
      </c>
      <c r="U155">
        <f t="shared" si="35"/>
        <v>0</v>
      </c>
      <c r="V155">
        <f t="shared" si="36"/>
        <v>0</v>
      </c>
      <c r="W155">
        <f t="shared" si="37"/>
        <v>0</v>
      </c>
      <c r="X155">
        <f t="shared" si="38"/>
        <v>0</v>
      </c>
      <c r="Y155">
        <f t="shared" si="39"/>
        <v>1</v>
      </c>
      <c r="Z155">
        <f t="shared" si="40"/>
        <v>0</v>
      </c>
      <c r="AA155">
        <f t="shared" si="41"/>
        <v>0</v>
      </c>
    </row>
    <row r="156" spans="2:27" x14ac:dyDescent="0.3">
      <c r="B156">
        <v>149</v>
      </c>
      <c r="C156" s="1">
        <v>40692</v>
      </c>
      <c r="D156">
        <v>2</v>
      </c>
      <c r="E156">
        <v>0</v>
      </c>
      <c r="F156">
        <v>5</v>
      </c>
      <c r="G156">
        <v>0</v>
      </c>
      <c r="H156">
        <v>1</v>
      </c>
      <c r="I156">
        <v>2355</v>
      </c>
      <c r="J156">
        <v>2433</v>
      </c>
      <c r="K156" s="8">
        <v>4788</v>
      </c>
      <c r="L156" s="12">
        <v>30.7775</v>
      </c>
      <c r="M156" s="12">
        <v>81.875</v>
      </c>
      <c r="N156" s="12">
        <v>14.333845999999999</v>
      </c>
      <c r="O156" s="13">
        <f t="shared" si="29"/>
        <v>0.14652266157243349</v>
      </c>
      <c r="P156" s="6">
        <f t="shared" si="30"/>
        <v>0.86703280654440484</v>
      </c>
      <c r="Q156" s="6">
        <f t="shared" si="31"/>
        <v>1.3409241657679163</v>
      </c>
      <c r="R156" s="6">
        <f t="shared" si="32"/>
        <v>0.30281923280214595</v>
      </c>
      <c r="S156">
        <f t="shared" si="33"/>
        <v>0</v>
      </c>
      <c r="T156">
        <f t="shared" si="34"/>
        <v>0</v>
      </c>
      <c r="U156">
        <f t="shared" si="35"/>
        <v>0</v>
      </c>
      <c r="V156">
        <f t="shared" si="36"/>
        <v>0</v>
      </c>
      <c r="W156">
        <f t="shared" si="37"/>
        <v>0</v>
      </c>
      <c r="X156">
        <f t="shared" si="38"/>
        <v>0</v>
      </c>
      <c r="Y156">
        <f t="shared" si="39"/>
        <v>1</v>
      </c>
      <c r="Z156">
        <f t="shared" si="40"/>
        <v>0</v>
      </c>
      <c r="AA156">
        <f t="shared" si="41"/>
        <v>0</v>
      </c>
    </row>
    <row r="157" spans="2:27" x14ac:dyDescent="0.3">
      <c r="B157">
        <v>150</v>
      </c>
      <c r="C157" s="1">
        <v>40693</v>
      </c>
      <c r="D157">
        <v>2</v>
      </c>
      <c r="E157">
        <v>0</v>
      </c>
      <c r="F157">
        <v>5</v>
      </c>
      <c r="G157">
        <v>1</v>
      </c>
      <c r="H157">
        <v>1</v>
      </c>
      <c r="I157">
        <v>1549</v>
      </c>
      <c r="J157">
        <v>2549</v>
      </c>
      <c r="K157" s="8">
        <v>4098</v>
      </c>
      <c r="L157" s="12">
        <v>33.554600000000001</v>
      </c>
      <c r="M157" s="12">
        <v>68.5</v>
      </c>
      <c r="N157" s="12">
        <v>8.7920750000000005</v>
      </c>
      <c r="O157" s="13">
        <f t="shared" si="29"/>
        <v>-0.20990329307658709</v>
      </c>
      <c r="P157" s="6">
        <f t="shared" si="30"/>
        <v>1.2080958130640971</v>
      </c>
      <c r="Q157" s="6">
        <f t="shared" si="31"/>
        <v>0.40121744287290462</v>
      </c>
      <c r="R157" s="6">
        <f t="shared" si="32"/>
        <v>-0.76520538030451135</v>
      </c>
      <c r="S157">
        <f t="shared" si="33"/>
        <v>1</v>
      </c>
      <c r="T157">
        <f t="shared" si="34"/>
        <v>0</v>
      </c>
      <c r="U157">
        <f t="shared" si="35"/>
        <v>0</v>
      </c>
      <c r="V157">
        <f t="shared" si="36"/>
        <v>0</v>
      </c>
      <c r="W157">
        <f t="shared" si="37"/>
        <v>0</v>
      </c>
      <c r="X157">
        <f t="shared" si="38"/>
        <v>0</v>
      </c>
      <c r="Y157">
        <f t="shared" si="39"/>
        <v>1</v>
      </c>
      <c r="Z157">
        <f t="shared" si="40"/>
        <v>0</v>
      </c>
      <c r="AA157">
        <f t="shared" si="41"/>
        <v>0</v>
      </c>
    </row>
    <row r="158" spans="2:27" x14ac:dyDescent="0.3">
      <c r="B158">
        <v>151</v>
      </c>
      <c r="C158" s="1">
        <v>40694</v>
      </c>
      <c r="D158">
        <v>2</v>
      </c>
      <c r="E158">
        <v>0</v>
      </c>
      <c r="F158">
        <v>5</v>
      </c>
      <c r="G158">
        <v>2</v>
      </c>
      <c r="H158">
        <v>1</v>
      </c>
      <c r="I158">
        <v>673</v>
      </c>
      <c r="J158">
        <v>3309</v>
      </c>
      <c r="K158" s="8">
        <v>3982</v>
      </c>
      <c r="L158" s="12">
        <v>36.269150000000003</v>
      </c>
      <c r="M158" s="12">
        <v>63.666699999999999</v>
      </c>
      <c r="N158" s="12">
        <v>7.4590430000000003</v>
      </c>
      <c r="O158" s="13">
        <f t="shared" si="29"/>
        <v>-0.26982417820598764</v>
      </c>
      <c r="P158" s="6">
        <f t="shared" si="30"/>
        <v>1.5414768884117733</v>
      </c>
      <c r="Q158" s="6">
        <f t="shared" si="31"/>
        <v>6.1637293058440207E-2</v>
      </c>
      <c r="R158" s="6">
        <f t="shared" si="32"/>
        <v>-1.0221107966522447</v>
      </c>
      <c r="S158">
        <f t="shared" si="33"/>
        <v>0</v>
      </c>
      <c r="T158">
        <f t="shared" si="34"/>
        <v>1</v>
      </c>
      <c r="U158">
        <f t="shared" si="35"/>
        <v>0</v>
      </c>
      <c r="V158">
        <f t="shared" si="36"/>
        <v>0</v>
      </c>
      <c r="W158">
        <f t="shared" si="37"/>
        <v>0</v>
      </c>
      <c r="X158">
        <f t="shared" si="38"/>
        <v>0</v>
      </c>
      <c r="Y158">
        <f t="shared" si="39"/>
        <v>1</v>
      </c>
      <c r="Z158">
        <f t="shared" si="40"/>
        <v>0</v>
      </c>
      <c r="AA158">
        <f t="shared" si="41"/>
        <v>0</v>
      </c>
    </row>
    <row r="159" spans="2:27" x14ac:dyDescent="0.3">
      <c r="B159">
        <v>152</v>
      </c>
      <c r="C159" s="1">
        <v>40695</v>
      </c>
      <c r="D159">
        <v>2</v>
      </c>
      <c r="E159">
        <v>0</v>
      </c>
      <c r="F159">
        <v>6</v>
      </c>
      <c r="G159">
        <v>3</v>
      </c>
      <c r="H159">
        <v>2</v>
      </c>
      <c r="I159">
        <v>513</v>
      </c>
      <c r="J159">
        <v>3461</v>
      </c>
      <c r="K159" s="8">
        <v>3974</v>
      </c>
      <c r="L159" s="12">
        <v>36.048349999999999</v>
      </c>
      <c r="M159" s="12">
        <v>67.708299999999994</v>
      </c>
      <c r="N159" s="12">
        <v>13.875164</v>
      </c>
      <c r="O159" s="13">
        <f t="shared" si="29"/>
        <v>-0.273956653042498</v>
      </c>
      <c r="P159" s="6">
        <f t="shared" si="30"/>
        <v>1.5143598555935278</v>
      </c>
      <c r="Q159" s="6">
        <f t="shared" si="31"/>
        <v>0.34559383072217664</v>
      </c>
      <c r="R159" s="6">
        <f t="shared" si="32"/>
        <v>0.21442083712881566</v>
      </c>
      <c r="S159">
        <f t="shared" si="33"/>
        <v>0</v>
      </c>
      <c r="T159">
        <f t="shared" si="34"/>
        <v>0</v>
      </c>
      <c r="U159">
        <f t="shared" si="35"/>
        <v>1</v>
      </c>
      <c r="V159">
        <f t="shared" si="36"/>
        <v>0</v>
      </c>
      <c r="W159">
        <f t="shared" si="37"/>
        <v>0</v>
      </c>
      <c r="X159">
        <f t="shared" si="38"/>
        <v>0</v>
      </c>
      <c r="Y159">
        <f t="shared" si="39"/>
        <v>1</v>
      </c>
      <c r="Z159">
        <f t="shared" si="40"/>
        <v>0</v>
      </c>
      <c r="AA159">
        <f t="shared" si="41"/>
        <v>0</v>
      </c>
    </row>
    <row r="160" spans="2:27" x14ac:dyDescent="0.3">
      <c r="B160">
        <v>153</v>
      </c>
      <c r="C160" s="1">
        <v>40696</v>
      </c>
      <c r="D160">
        <v>2</v>
      </c>
      <c r="E160">
        <v>0</v>
      </c>
      <c r="F160">
        <v>6</v>
      </c>
      <c r="G160">
        <v>4</v>
      </c>
      <c r="H160">
        <v>1</v>
      </c>
      <c r="I160">
        <v>736</v>
      </c>
      <c r="J160">
        <v>4232</v>
      </c>
      <c r="K160" s="8">
        <v>4968</v>
      </c>
      <c r="L160" s="12">
        <v>32.197099999999999</v>
      </c>
      <c r="M160" s="12">
        <v>30.5</v>
      </c>
      <c r="N160" s="12">
        <v>19.583228999999999</v>
      </c>
      <c r="O160" s="13">
        <f t="shared" si="29"/>
        <v>0.23950334539391713</v>
      </c>
      <c r="P160" s="6">
        <f t="shared" si="30"/>
        <v>1.0413776425443164</v>
      </c>
      <c r="Q160" s="6">
        <f t="shared" si="31"/>
        <v>-2.2686035268475027</v>
      </c>
      <c r="R160" s="6">
        <f t="shared" si="32"/>
        <v>1.3144940652020529</v>
      </c>
      <c r="S160">
        <f t="shared" si="33"/>
        <v>0</v>
      </c>
      <c r="T160">
        <f t="shared" si="34"/>
        <v>0</v>
      </c>
      <c r="U160">
        <f t="shared" si="35"/>
        <v>0</v>
      </c>
      <c r="V160">
        <f t="shared" si="36"/>
        <v>1</v>
      </c>
      <c r="W160">
        <f t="shared" si="37"/>
        <v>0</v>
      </c>
      <c r="X160">
        <f t="shared" si="38"/>
        <v>0</v>
      </c>
      <c r="Y160">
        <f t="shared" si="39"/>
        <v>1</v>
      </c>
      <c r="Z160">
        <f t="shared" si="40"/>
        <v>0</v>
      </c>
      <c r="AA160">
        <f t="shared" si="41"/>
        <v>0</v>
      </c>
    </row>
    <row r="161" spans="2:27" x14ac:dyDescent="0.3">
      <c r="B161">
        <v>154</v>
      </c>
      <c r="C161" s="1">
        <v>40697</v>
      </c>
      <c r="D161">
        <v>2</v>
      </c>
      <c r="E161">
        <v>0</v>
      </c>
      <c r="F161">
        <v>6</v>
      </c>
      <c r="G161">
        <v>5</v>
      </c>
      <c r="H161">
        <v>1</v>
      </c>
      <c r="I161">
        <v>898</v>
      </c>
      <c r="J161">
        <v>4414</v>
      </c>
      <c r="K161" s="8">
        <v>5312</v>
      </c>
      <c r="L161" s="12">
        <v>29.356649999999998</v>
      </c>
      <c r="M161" s="12">
        <v>35.416699999999999</v>
      </c>
      <c r="N161" s="12">
        <v>16.959106999999999</v>
      </c>
      <c r="O161" s="13">
        <f t="shared" si="29"/>
        <v>0.41719976336386361</v>
      </c>
      <c r="P161" s="6">
        <f t="shared" si="30"/>
        <v>0.69253445473370123</v>
      </c>
      <c r="Q161" s="6">
        <f t="shared" si="31"/>
        <v>-1.9231638225889678</v>
      </c>
      <c r="R161" s="6">
        <f t="shared" si="32"/>
        <v>0.80876640453280702</v>
      </c>
      <c r="S161">
        <f t="shared" si="33"/>
        <v>0</v>
      </c>
      <c r="T161">
        <f t="shared" si="34"/>
        <v>0</v>
      </c>
      <c r="U161">
        <f t="shared" si="35"/>
        <v>0</v>
      </c>
      <c r="V161">
        <f t="shared" si="36"/>
        <v>0</v>
      </c>
      <c r="W161">
        <f t="shared" si="37"/>
        <v>1</v>
      </c>
      <c r="X161">
        <f t="shared" si="38"/>
        <v>0</v>
      </c>
      <c r="Y161">
        <f t="shared" si="39"/>
        <v>1</v>
      </c>
      <c r="Z161">
        <f t="shared" si="40"/>
        <v>0</v>
      </c>
      <c r="AA161">
        <f t="shared" si="41"/>
        <v>0</v>
      </c>
    </row>
    <row r="162" spans="2:27" x14ac:dyDescent="0.3">
      <c r="B162">
        <v>155</v>
      </c>
      <c r="C162" s="1">
        <v>40698</v>
      </c>
      <c r="D162">
        <v>2</v>
      </c>
      <c r="E162">
        <v>0</v>
      </c>
      <c r="F162">
        <v>6</v>
      </c>
      <c r="G162">
        <v>6</v>
      </c>
      <c r="H162">
        <v>1</v>
      </c>
      <c r="I162">
        <v>1869</v>
      </c>
      <c r="J162">
        <v>3473</v>
      </c>
      <c r="K162" s="8">
        <v>5342</v>
      </c>
      <c r="L162" s="12">
        <v>29.7348</v>
      </c>
      <c r="M162" s="12">
        <v>45.625</v>
      </c>
      <c r="N162" s="12">
        <v>8.2505140000000008</v>
      </c>
      <c r="O162" s="13">
        <f t="shared" si="29"/>
        <v>0.43269654400077756</v>
      </c>
      <c r="P162" s="6">
        <f t="shared" si="30"/>
        <v>0.7389760578144049</v>
      </c>
      <c r="Q162" s="6">
        <f t="shared" si="31"/>
        <v>-1.205944522452209</v>
      </c>
      <c r="R162" s="6">
        <f t="shared" si="32"/>
        <v>-0.86957643379962235</v>
      </c>
      <c r="S162">
        <f t="shared" si="33"/>
        <v>0</v>
      </c>
      <c r="T162">
        <f t="shared" si="34"/>
        <v>0</v>
      </c>
      <c r="U162">
        <f t="shared" si="35"/>
        <v>0</v>
      </c>
      <c r="V162">
        <f t="shared" si="36"/>
        <v>0</v>
      </c>
      <c r="W162">
        <f t="shared" si="37"/>
        <v>0</v>
      </c>
      <c r="X162">
        <f t="shared" si="38"/>
        <v>0</v>
      </c>
      <c r="Y162">
        <f t="shared" si="39"/>
        <v>1</v>
      </c>
      <c r="Z162">
        <f t="shared" si="40"/>
        <v>0</v>
      </c>
      <c r="AA162">
        <f t="shared" si="41"/>
        <v>0</v>
      </c>
    </row>
    <row r="163" spans="2:27" x14ac:dyDescent="0.3">
      <c r="B163">
        <v>156</v>
      </c>
      <c r="C163" s="1">
        <v>40699</v>
      </c>
      <c r="D163">
        <v>2</v>
      </c>
      <c r="E163">
        <v>0</v>
      </c>
      <c r="F163">
        <v>6</v>
      </c>
      <c r="G163">
        <v>0</v>
      </c>
      <c r="H163">
        <v>2</v>
      </c>
      <c r="I163">
        <v>1685</v>
      </c>
      <c r="J163">
        <v>3221</v>
      </c>
      <c r="K163" s="8">
        <v>4906</v>
      </c>
      <c r="L163" s="12">
        <v>30.840199999999999</v>
      </c>
      <c r="M163" s="12">
        <v>65.25</v>
      </c>
      <c r="N163" s="12">
        <v>9.2923639999999992</v>
      </c>
      <c r="O163" s="13">
        <f t="shared" si="29"/>
        <v>0.20747666541096166</v>
      </c>
      <c r="P163" s="6">
        <f t="shared" si="30"/>
        <v>0.87473315961371623</v>
      </c>
      <c r="Q163" s="6">
        <f t="shared" si="31"/>
        <v>0.17287749151523821</v>
      </c>
      <c r="R163" s="6">
        <f t="shared" si="32"/>
        <v>-0.6687883746818476</v>
      </c>
      <c r="S163">
        <f t="shared" si="33"/>
        <v>0</v>
      </c>
      <c r="T163">
        <f t="shared" si="34"/>
        <v>0</v>
      </c>
      <c r="U163">
        <f t="shared" si="35"/>
        <v>0</v>
      </c>
      <c r="V163">
        <f t="shared" si="36"/>
        <v>0</v>
      </c>
      <c r="W163">
        <f t="shared" si="37"/>
        <v>0</v>
      </c>
      <c r="X163">
        <f t="shared" si="38"/>
        <v>0</v>
      </c>
      <c r="Y163">
        <f t="shared" si="39"/>
        <v>1</v>
      </c>
      <c r="Z163">
        <f t="shared" si="40"/>
        <v>0</v>
      </c>
      <c r="AA163">
        <f t="shared" si="41"/>
        <v>0</v>
      </c>
    </row>
    <row r="164" spans="2:27" x14ac:dyDescent="0.3">
      <c r="B164">
        <v>157</v>
      </c>
      <c r="C164" s="1">
        <v>40700</v>
      </c>
      <c r="D164">
        <v>2</v>
      </c>
      <c r="E164">
        <v>0</v>
      </c>
      <c r="F164">
        <v>6</v>
      </c>
      <c r="G164">
        <v>1</v>
      </c>
      <c r="H164">
        <v>1</v>
      </c>
      <c r="I164">
        <v>673</v>
      </c>
      <c r="J164">
        <v>3875</v>
      </c>
      <c r="K164" s="8">
        <v>4548</v>
      </c>
      <c r="L164" s="12">
        <v>31.0929</v>
      </c>
      <c r="M164" s="12">
        <v>60</v>
      </c>
      <c r="N164" s="12">
        <v>8.1670320000000007</v>
      </c>
      <c r="O164" s="13">
        <f t="shared" si="29"/>
        <v>2.2548416477121986E-2</v>
      </c>
      <c r="P164" s="6">
        <f t="shared" si="30"/>
        <v>0.90576791592336525</v>
      </c>
      <c r="Q164" s="6">
        <f t="shared" si="31"/>
        <v>-0.19597935298560751</v>
      </c>
      <c r="R164" s="6">
        <f t="shared" si="32"/>
        <v>-0.88566530335979898</v>
      </c>
      <c r="S164">
        <f t="shared" si="33"/>
        <v>1</v>
      </c>
      <c r="T164">
        <f t="shared" si="34"/>
        <v>0</v>
      </c>
      <c r="U164">
        <f t="shared" si="35"/>
        <v>0</v>
      </c>
      <c r="V164">
        <f t="shared" si="36"/>
        <v>0</v>
      </c>
      <c r="W164">
        <f t="shared" si="37"/>
        <v>0</v>
      </c>
      <c r="X164">
        <f t="shared" si="38"/>
        <v>0</v>
      </c>
      <c r="Y164">
        <f t="shared" si="39"/>
        <v>1</v>
      </c>
      <c r="Z164">
        <f t="shared" si="40"/>
        <v>0</v>
      </c>
      <c r="AA164">
        <f t="shared" si="41"/>
        <v>0</v>
      </c>
    </row>
    <row r="165" spans="2:27" x14ac:dyDescent="0.3">
      <c r="B165">
        <v>158</v>
      </c>
      <c r="C165" s="1">
        <v>40701</v>
      </c>
      <c r="D165">
        <v>2</v>
      </c>
      <c r="E165">
        <v>0</v>
      </c>
      <c r="F165">
        <v>6</v>
      </c>
      <c r="G165">
        <v>2</v>
      </c>
      <c r="H165">
        <v>1</v>
      </c>
      <c r="I165">
        <v>763</v>
      </c>
      <c r="J165">
        <v>4070</v>
      </c>
      <c r="K165" s="8">
        <v>4833</v>
      </c>
      <c r="L165" s="12">
        <v>32.797499999999999</v>
      </c>
      <c r="M165" s="12">
        <v>59.791699999999999</v>
      </c>
      <c r="N165" s="12">
        <v>12.583136</v>
      </c>
      <c r="O165" s="13">
        <f t="shared" si="29"/>
        <v>0.16976783252780439</v>
      </c>
      <c r="P165" s="6">
        <f t="shared" si="30"/>
        <v>1.1151143567837833</v>
      </c>
      <c r="Q165" s="6">
        <f t="shared" si="31"/>
        <v>-0.21061418740646973</v>
      </c>
      <c r="R165" s="6">
        <f t="shared" si="32"/>
        <v>-3.4582181007980113E-2</v>
      </c>
      <c r="S165">
        <f t="shared" si="33"/>
        <v>0</v>
      </c>
      <c r="T165">
        <f t="shared" si="34"/>
        <v>1</v>
      </c>
      <c r="U165">
        <f t="shared" si="35"/>
        <v>0</v>
      </c>
      <c r="V165">
        <f t="shared" si="36"/>
        <v>0</v>
      </c>
      <c r="W165">
        <f t="shared" si="37"/>
        <v>0</v>
      </c>
      <c r="X165">
        <f t="shared" si="38"/>
        <v>0</v>
      </c>
      <c r="Y165">
        <f t="shared" si="39"/>
        <v>1</v>
      </c>
      <c r="Z165">
        <f t="shared" si="40"/>
        <v>0</v>
      </c>
      <c r="AA165">
        <f t="shared" si="41"/>
        <v>0</v>
      </c>
    </row>
    <row r="166" spans="2:27" x14ac:dyDescent="0.3">
      <c r="B166">
        <v>159</v>
      </c>
      <c r="C166" s="1">
        <v>40702</v>
      </c>
      <c r="D166">
        <v>2</v>
      </c>
      <c r="E166">
        <v>0</v>
      </c>
      <c r="F166">
        <v>6</v>
      </c>
      <c r="G166">
        <v>3</v>
      </c>
      <c r="H166">
        <v>1</v>
      </c>
      <c r="I166">
        <v>676</v>
      </c>
      <c r="J166">
        <v>3725</v>
      </c>
      <c r="K166" s="8">
        <v>4401</v>
      </c>
      <c r="L166" s="12">
        <v>36.363950000000003</v>
      </c>
      <c r="M166" s="12">
        <v>62.208300000000001</v>
      </c>
      <c r="N166" s="12">
        <v>9.1667389999999997</v>
      </c>
      <c r="O166" s="13">
        <f t="shared" si="29"/>
        <v>-5.3385808643756312E-2</v>
      </c>
      <c r="P166" s="6">
        <f t="shared" si="30"/>
        <v>1.5531195275022152</v>
      </c>
      <c r="Q166" s="6">
        <f t="shared" si="31"/>
        <v>-4.0827625421565976E-2</v>
      </c>
      <c r="R166" s="6">
        <f t="shared" si="32"/>
        <v>-0.69299915351437658</v>
      </c>
      <c r="S166">
        <f t="shared" si="33"/>
        <v>0</v>
      </c>
      <c r="T166">
        <f t="shared" si="34"/>
        <v>0</v>
      </c>
      <c r="U166">
        <f t="shared" si="35"/>
        <v>1</v>
      </c>
      <c r="V166">
        <f t="shared" si="36"/>
        <v>0</v>
      </c>
      <c r="W166">
        <f t="shared" si="37"/>
        <v>0</v>
      </c>
      <c r="X166">
        <f t="shared" si="38"/>
        <v>0</v>
      </c>
      <c r="Y166">
        <f t="shared" si="39"/>
        <v>1</v>
      </c>
      <c r="Z166">
        <f t="shared" si="40"/>
        <v>0</v>
      </c>
      <c r="AA166">
        <f t="shared" si="41"/>
        <v>0</v>
      </c>
    </row>
    <row r="167" spans="2:27" x14ac:dyDescent="0.3">
      <c r="B167">
        <v>160</v>
      </c>
      <c r="C167" s="1">
        <v>40703</v>
      </c>
      <c r="D167">
        <v>2</v>
      </c>
      <c r="E167">
        <v>0</v>
      </c>
      <c r="F167">
        <v>6</v>
      </c>
      <c r="G167">
        <v>4</v>
      </c>
      <c r="H167">
        <v>2</v>
      </c>
      <c r="I167">
        <v>563</v>
      </c>
      <c r="J167">
        <v>3352</v>
      </c>
      <c r="K167" s="8">
        <v>3915</v>
      </c>
      <c r="L167" s="12">
        <v>37.878950000000003</v>
      </c>
      <c r="M167" s="12">
        <v>56.833300000000001</v>
      </c>
      <c r="N167" s="12">
        <v>10.042161</v>
      </c>
      <c r="O167" s="13">
        <f t="shared" si="29"/>
        <v>-0.30443365496176211</v>
      </c>
      <c r="P167" s="6">
        <f t="shared" si="30"/>
        <v>1.7391806901817493</v>
      </c>
      <c r="Q167" s="6">
        <f t="shared" si="31"/>
        <v>-0.41846677574386043</v>
      </c>
      <c r="R167" s="6">
        <f t="shared" si="32"/>
        <v>-0.52428553419393609</v>
      </c>
      <c r="S167">
        <f t="shared" si="33"/>
        <v>0</v>
      </c>
      <c r="T167">
        <f t="shared" si="34"/>
        <v>0</v>
      </c>
      <c r="U167">
        <f t="shared" si="35"/>
        <v>0</v>
      </c>
      <c r="V167">
        <f t="shared" si="36"/>
        <v>1</v>
      </c>
      <c r="W167">
        <f t="shared" si="37"/>
        <v>0</v>
      </c>
      <c r="X167">
        <f t="shared" si="38"/>
        <v>0</v>
      </c>
      <c r="Y167">
        <f t="shared" si="39"/>
        <v>1</v>
      </c>
      <c r="Z167">
        <f t="shared" si="40"/>
        <v>0</v>
      </c>
      <c r="AA167">
        <f t="shared" si="41"/>
        <v>0</v>
      </c>
    </row>
    <row r="168" spans="2:27" x14ac:dyDescent="0.3">
      <c r="B168">
        <v>161</v>
      </c>
      <c r="C168" s="1">
        <v>40704</v>
      </c>
      <c r="D168">
        <v>2</v>
      </c>
      <c r="E168">
        <v>0</v>
      </c>
      <c r="F168">
        <v>6</v>
      </c>
      <c r="G168">
        <v>5</v>
      </c>
      <c r="H168">
        <v>1</v>
      </c>
      <c r="I168">
        <v>815</v>
      </c>
      <c r="J168">
        <v>3771</v>
      </c>
      <c r="K168" s="8">
        <v>4586</v>
      </c>
      <c r="L168" s="12">
        <v>35.1646</v>
      </c>
      <c r="M168" s="12">
        <v>60.5</v>
      </c>
      <c r="N168" s="12">
        <v>9.4171180000000003</v>
      </c>
      <c r="O168" s="13">
        <f t="shared" si="29"/>
        <v>4.2177671950546308E-2</v>
      </c>
      <c r="P168" s="6">
        <f t="shared" si="30"/>
        <v>1.4058241773637998</v>
      </c>
      <c r="Q168" s="6">
        <f t="shared" si="31"/>
        <v>-0.16085012969981269</v>
      </c>
      <c r="R168" s="6">
        <f t="shared" si="32"/>
        <v>-0.64474545724922372</v>
      </c>
      <c r="S168">
        <f t="shared" si="33"/>
        <v>0</v>
      </c>
      <c r="T168">
        <f t="shared" si="34"/>
        <v>0</v>
      </c>
      <c r="U168">
        <f t="shared" si="35"/>
        <v>0</v>
      </c>
      <c r="V168">
        <f t="shared" si="36"/>
        <v>0</v>
      </c>
      <c r="W168">
        <f t="shared" si="37"/>
        <v>1</v>
      </c>
      <c r="X168">
        <f t="shared" si="38"/>
        <v>0</v>
      </c>
      <c r="Y168">
        <f t="shared" si="39"/>
        <v>1</v>
      </c>
      <c r="Z168">
        <f t="shared" si="40"/>
        <v>0</v>
      </c>
      <c r="AA168">
        <f t="shared" si="41"/>
        <v>0</v>
      </c>
    </row>
    <row r="169" spans="2:27" x14ac:dyDescent="0.3">
      <c r="B169">
        <v>162</v>
      </c>
      <c r="C169" s="1">
        <v>40705</v>
      </c>
      <c r="D169">
        <v>2</v>
      </c>
      <c r="E169">
        <v>0</v>
      </c>
      <c r="F169">
        <v>6</v>
      </c>
      <c r="G169">
        <v>6</v>
      </c>
      <c r="H169">
        <v>1</v>
      </c>
      <c r="I169">
        <v>1729</v>
      </c>
      <c r="J169">
        <v>3237</v>
      </c>
      <c r="K169" s="8">
        <v>4966</v>
      </c>
      <c r="L169" s="12">
        <v>33.901899999999998</v>
      </c>
      <c r="M169" s="12">
        <v>65.458299999999994</v>
      </c>
      <c r="N169" s="12">
        <v>10.37495</v>
      </c>
      <c r="O169" s="13">
        <f t="shared" si="29"/>
        <v>0.23847022668478951</v>
      </c>
      <c r="P169" s="6">
        <f t="shared" si="30"/>
        <v>1.2507486459344612</v>
      </c>
      <c r="Q169" s="6">
        <f t="shared" si="31"/>
        <v>0.18751232593609993</v>
      </c>
      <c r="R169" s="6">
        <f t="shared" si="32"/>
        <v>-0.46014956701464427</v>
      </c>
      <c r="S169">
        <f t="shared" si="33"/>
        <v>0</v>
      </c>
      <c r="T169">
        <f t="shared" si="34"/>
        <v>0</v>
      </c>
      <c r="U169">
        <f t="shared" si="35"/>
        <v>0</v>
      </c>
      <c r="V169">
        <f t="shared" si="36"/>
        <v>0</v>
      </c>
      <c r="W169">
        <f t="shared" si="37"/>
        <v>0</v>
      </c>
      <c r="X169">
        <f t="shared" si="38"/>
        <v>0</v>
      </c>
      <c r="Y169">
        <f t="shared" si="39"/>
        <v>1</v>
      </c>
      <c r="Z169">
        <f t="shared" si="40"/>
        <v>0</v>
      </c>
      <c r="AA169">
        <f t="shared" si="41"/>
        <v>0</v>
      </c>
    </row>
    <row r="170" spans="2:27" x14ac:dyDescent="0.3">
      <c r="B170">
        <v>163</v>
      </c>
      <c r="C170" s="1">
        <v>40706</v>
      </c>
      <c r="D170">
        <v>2</v>
      </c>
      <c r="E170">
        <v>0</v>
      </c>
      <c r="F170">
        <v>6</v>
      </c>
      <c r="G170">
        <v>0</v>
      </c>
      <c r="H170">
        <v>1</v>
      </c>
      <c r="I170">
        <v>1467</v>
      </c>
      <c r="J170">
        <v>2993</v>
      </c>
      <c r="K170" s="8">
        <v>4460</v>
      </c>
      <c r="L170" s="12">
        <v>32.166249999999998</v>
      </c>
      <c r="M170" s="12">
        <v>74.791700000000006</v>
      </c>
      <c r="N170" s="12">
        <v>10.958989000000001</v>
      </c>
      <c r="O170" s="13">
        <f t="shared" si="29"/>
        <v>-2.290880672449223E-2</v>
      </c>
      <c r="P170" s="6">
        <f t="shared" si="30"/>
        <v>1.0375888723339775</v>
      </c>
      <c r="Q170" s="6">
        <f t="shared" si="31"/>
        <v>0.84326251116737572</v>
      </c>
      <c r="R170" s="6">
        <f t="shared" si="32"/>
        <v>-0.34759204217029399</v>
      </c>
      <c r="S170">
        <f t="shared" si="33"/>
        <v>0</v>
      </c>
      <c r="T170">
        <f t="shared" si="34"/>
        <v>0</v>
      </c>
      <c r="U170">
        <f t="shared" si="35"/>
        <v>0</v>
      </c>
      <c r="V170">
        <f t="shared" si="36"/>
        <v>0</v>
      </c>
      <c r="W170">
        <f t="shared" si="37"/>
        <v>0</v>
      </c>
      <c r="X170">
        <f t="shared" si="38"/>
        <v>0</v>
      </c>
      <c r="Y170">
        <f t="shared" si="39"/>
        <v>1</v>
      </c>
      <c r="Z170">
        <f t="shared" si="40"/>
        <v>0</v>
      </c>
      <c r="AA170">
        <f t="shared" si="41"/>
        <v>0</v>
      </c>
    </row>
    <row r="171" spans="2:27" x14ac:dyDescent="0.3">
      <c r="B171">
        <v>164</v>
      </c>
      <c r="C171" s="1">
        <v>40707</v>
      </c>
      <c r="D171">
        <v>2</v>
      </c>
      <c r="E171">
        <v>0</v>
      </c>
      <c r="F171">
        <v>6</v>
      </c>
      <c r="G171">
        <v>1</v>
      </c>
      <c r="H171">
        <v>1</v>
      </c>
      <c r="I171">
        <v>863</v>
      </c>
      <c r="J171">
        <v>4157</v>
      </c>
      <c r="K171" s="8">
        <v>5020</v>
      </c>
      <c r="L171" s="12">
        <v>30.082699999999999</v>
      </c>
      <c r="M171" s="12">
        <v>49.458300000000001</v>
      </c>
      <c r="N171" s="12">
        <v>20.458449999999999</v>
      </c>
      <c r="O171" s="13">
        <f t="shared" si="29"/>
        <v>0.26636443183123459</v>
      </c>
      <c r="P171" s="6">
        <f t="shared" si="30"/>
        <v>0.78170257827394918</v>
      </c>
      <c r="Q171" s="6">
        <f t="shared" si="31"/>
        <v>-0.9366228192093341</v>
      </c>
      <c r="R171" s="6">
        <f t="shared" si="32"/>
        <v>1.4831689472763614</v>
      </c>
      <c r="S171">
        <f t="shared" si="33"/>
        <v>1</v>
      </c>
      <c r="T171">
        <f t="shared" si="34"/>
        <v>0</v>
      </c>
      <c r="U171">
        <f t="shared" si="35"/>
        <v>0</v>
      </c>
      <c r="V171">
        <f t="shared" si="36"/>
        <v>0</v>
      </c>
      <c r="W171">
        <f t="shared" si="37"/>
        <v>0</v>
      </c>
      <c r="X171">
        <f t="shared" si="38"/>
        <v>0</v>
      </c>
      <c r="Y171">
        <f t="shared" si="39"/>
        <v>1</v>
      </c>
      <c r="Z171">
        <f t="shared" si="40"/>
        <v>0</v>
      </c>
      <c r="AA171">
        <f t="shared" si="41"/>
        <v>0</v>
      </c>
    </row>
    <row r="172" spans="2:27" x14ac:dyDescent="0.3">
      <c r="B172">
        <v>165</v>
      </c>
      <c r="C172" s="1">
        <v>40708</v>
      </c>
      <c r="D172">
        <v>2</v>
      </c>
      <c r="E172">
        <v>0</v>
      </c>
      <c r="F172">
        <v>6</v>
      </c>
      <c r="G172">
        <v>2</v>
      </c>
      <c r="H172">
        <v>1</v>
      </c>
      <c r="I172">
        <v>727</v>
      </c>
      <c r="J172">
        <v>4164</v>
      </c>
      <c r="K172" s="8">
        <v>4891</v>
      </c>
      <c r="L172" s="12">
        <v>29.577300000000001</v>
      </c>
      <c r="M172" s="12">
        <v>50.708300000000001</v>
      </c>
      <c r="N172" s="12">
        <v>18.041961000000001</v>
      </c>
      <c r="O172" s="13">
        <f t="shared" si="29"/>
        <v>0.19972827509250468</v>
      </c>
      <c r="P172" s="6">
        <f t="shared" si="30"/>
        <v>0.71963306565465146</v>
      </c>
      <c r="Q172" s="6">
        <f t="shared" si="31"/>
        <v>-0.84879976099484711</v>
      </c>
      <c r="R172" s="6">
        <f t="shared" si="32"/>
        <v>1.0174568618615196</v>
      </c>
      <c r="S172">
        <f t="shared" si="33"/>
        <v>0</v>
      </c>
      <c r="T172">
        <f t="shared" si="34"/>
        <v>1</v>
      </c>
      <c r="U172">
        <f t="shared" si="35"/>
        <v>0</v>
      </c>
      <c r="V172">
        <f t="shared" si="36"/>
        <v>0</v>
      </c>
      <c r="W172">
        <f t="shared" si="37"/>
        <v>0</v>
      </c>
      <c r="X172">
        <f t="shared" si="38"/>
        <v>0</v>
      </c>
      <c r="Y172">
        <f t="shared" si="39"/>
        <v>1</v>
      </c>
      <c r="Z172">
        <f t="shared" si="40"/>
        <v>0</v>
      </c>
      <c r="AA172">
        <f t="shared" si="41"/>
        <v>0</v>
      </c>
    </row>
    <row r="173" spans="2:27" x14ac:dyDescent="0.3">
      <c r="B173">
        <v>166</v>
      </c>
      <c r="C173" s="1">
        <v>40709</v>
      </c>
      <c r="D173">
        <v>2</v>
      </c>
      <c r="E173">
        <v>0</v>
      </c>
      <c r="F173">
        <v>6</v>
      </c>
      <c r="G173">
        <v>3</v>
      </c>
      <c r="H173">
        <v>1</v>
      </c>
      <c r="I173">
        <v>769</v>
      </c>
      <c r="J173">
        <v>4411</v>
      </c>
      <c r="K173" s="8">
        <v>5180</v>
      </c>
      <c r="L173" s="12">
        <v>29.387699999999999</v>
      </c>
      <c r="M173" s="12">
        <v>47.166699999999999</v>
      </c>
      <c r="N173" s="12">
        <v>11.250104</v>
      </c>
      <c r="O173" s="13">
        <f t="shared" si="29"/>
        <v>0.34901392856144225</v>
      </c>
      <c r="P173" s="6">
        <f t="shared" si="30"/>
        <v>0.69634778747376691</v>
      </c>
      <c r="Q173" s="6">
        <f t="shared" si="31"/>
        <v>-1.0976270753727893</v>
      </c>
      <c r="R173" s="6">
        <f t="shared" si="32"/>
        <v>-0.29148759735571322</v>
      </c>
      <c r="S173">
        <f t="shared" si="33"/>
        <v>0</v>
      </c>
      <c r="T173">
        <f t="shared" si="34"/>
        <v>0</v>
      </c>
      <c r="U173">
        <f t="shared" si="35"/>
        <v>1</v>
      </c>
      <c r="V173">
        <f t="shared" si="36"/>
        <v>0</v>
      </c>
      <c r="W173">
        <f t="shared" si="37"/>
        <v>0</v>
      </c>
      <c r="X173">
        <f t="shared" si="38"/>
        <v>0</v>
      </c>
      <c r="Y173">
        <f t="shared" si="39"/>
        <v>1</v>
      </c>
      <c r="Z173">
        <f t="shared" si="40"/>
        <v>0</v>
      </c>
      <c r="AA173">
        <f t="shared" si="41"/>
        <v>0</v>
      </c>
    </row>
    <row r="174" spans="2:27" x14ac:dyDescent="0.3">
      <c r="B174">
        <v>167</v>
      </c>
      <c r="C174" s="1">
        <v>40710</v>
      </c>
      <c r="D174">
        <v>2</v>
      </c>
      <c r="E174">
        <v>0</v>
      </c>
      <c r="F174">
        <v>6</v>
      </c>
      <c r="G174">
        <v>4</v>
      </c>
      <c r="H174">
        <v>2</v>
      </c>
      <c r="I174">
        <v>545</v>
      </c>
      <c r="J174">
        <v>3222</v>
      </c>
      <c r="K174" s="8">
        <v>3767</v>
      </c>
      <c r="L174" s="12">
        <v>29.767299999999999</v>
      </c>
      <c r="M174" s="12">
        <v>68.833299999999994</v>
      </c>
      <c r="N174" s="12">
        <v>13.833557000000001</v>
      </c>
      <c r="O174" s="13">
        <f t="shared" si="29"/>
        <v>-0.38088443943720418</v>
      </c>
      <c r="P174" s="6">
        <f t="shared" si="30"/>
        <v>0.74296746889498877</v>
      </c>
      <c r="Q174" s="6">
        <f t="shared" si="31"/>
        <v>0.42463458311521501</v>
      </c>
      <c r="R174" s="6">
        <f t="shared" si="32"/>
        <v>0.20640222717948217</v>
      </c>
      <c r="S174">
        <f t="shared" si="33"/>
        <v>0</v>
      </c>
      <c r="T174">
        <f t="shared" si="34"/>
        <v>0</v>
      </c>
      <c r="U174">
        <f t="shared" si="35"/>
        <v>0</v>
      </c>
      <c r="V174">
        <f t="shared" si="36"/>
        <v>1</v>
      </c>
      <c r="W174">
        <f t="shared" si="37"/>
        <v>0</v>
      </c>
      <c r="X174">
        <f t="shared" si="38"/>
        <v>0</v>
      </c>
      <c r="Y174">
        <f t="shared" si="39"/>
        <v>1</v>
      </c>
      <c r="Z174">
        <f t="shared" si="40"/>
        <v>0</v>
      </c>
      <c r="AA174">
        <f t="shared" si="41"/>
        <v>0</v>
      </c>
    </row>
    <row r="175" spans="2:27" x14ac:dyDescent="0.3">
      <c r="B175">
        <v>168</v>
      </c>
      <c r="C175" s="1">
        <v>40711</v>
      </c>
      <c r="D175">
        <v>2</v>
      </c>
      <c r="E175">
        <v>0</v>
      </c>
      <c r="F175">
        <v>6</v>
      </c>
      <c r="G175">
        <v>5</v>
      </c>
      <c r="H175">
        <v>1</v>
      </c>
      <c r="I175">
        <v>863</v>
      </c>
      <c r="J175">
        <v>3981</v>
      </c>
      <c r="K175" s="8">
        <v>4844</v>
      </c>
      <c r="L175" s="12">
        <v>30.01915</v>
      </c>
      <c r="M175" s="12">
        <v>73.583299999999994</v>
      </c>
      <c r="N175" s="12">
        <v>9.5829430000000002</v>
      </c>
      <c r="O175" s="13">
        <f t="shared" si="29"/>
        <v>0.17544998542800616</v>
      </c>
      <c r="P175" s="6">
        <f t="shared" si="30"/>
        <v>0.77389783445329952</v>
      </c>
      <c r="Q175" s="6">
        <f t="shared" si="31"/>
        <v>0.75836220433026591</v>
      </c>
      <c r="R175" s="6">
        <f t="shared" si="32"/>
        <v>-0.61278722919028528</v>
      </c>
      <c r="S175">
        <f t="shared" si="33"/>
        <v>0</v>
      </c>
      <c r="T175">
        <f t="shared" si="34"/>
        <v>0</v>
      </c>
      <c r="U175">
        <f t="shared" si="35"/>
        <v>0</v>
      </c>
      <c r="V175">
        <f t="shared" si="36"/>
        <v>0</v>
      </c>
      <c r="W175">
        <f t="shared" si="37"/>
        <v>1</v>
      </c>
      <c r="X175">
        <f t="shared" si="38"/>
        <v>0</v>
      </c>
      <c r="Y175">
        <f t="shared" si="39"/>
        <v>1</v>
      </c>
      <c r="Z175">
        <f t="shared" si="40"/>
        <v>0</v>
      </c>
      <c r="AA175">
        <f t="shared" si="41"/>
        <v>0</v>
      </c>
    </row>
    <row r="176" spans="2:27" x14ac:dyDescent="0.3">
      <c r="B176">
        <v>169</v>
      </c>
      <c r="C176" s="1">
        <v>40712</v>
      </c>
      <c r="D176">
        <v>2</v>
      </c>
      <c r="E176">
        <v>0</v>
      </c>
      <c r="F176">
        <v>6</v>
      </c>
      <c r="G176">
        <v>6</v>
      </c>
      <c r="H176">
        <v>1</v>
      </c>
      <c r="I176">
        <v>1807</v>
      </c>
      <c r="J176">
        <v>3312</v>
      </c>
      <c r="K176" s="8">
        <v>5119</v>
      </c>
      <c r="L176" s="12">
        <v>32.197699999999998</v>
      </c>
      <c r="M176" s="12">
        <v>67.041700000000006</v>
      </c>
      <c r="N176" s="12">
        <v>8.0003360000000008</v>
      </c>
      <c r="O176" s="13">
        <f t="shared" si="29"/>
        <v>0.31750380793305061</v>
      </c>
      <c r="P176" s="6">
        <f t="shared" si="30"/>
        <v>1.0414513301334964</v>
      </c>
      <c r="Q176" s="6">
        <f t="shared" si="31"/>
        <v>0.29875955023755579</v>
      </c>
      <c r="R176" s="6">
        <f t="shared" si="32"/>
        <v>-0.91779139281864297</v>
      </c>
      <c r="S176">
        <f t="shared" si="33"/>
        <v>0</v>
      </c>
      <c r="T176">
        <f t="shared" si="34"/>
        <v>0</v>
      </c>
      <c r="U176">
        <f t="shared" si="35"/>
        <v>0</v>
      </c>
      <c r="V176">
        <f t="shared" si="36"/>
        <v>0</v>
      </c>
      <c r="W176">
        <f t="shared" si="37"/>
        <v>0</v>
      </c>
      <c r="X176">
        <f t="shared" si="38"/>
        <v>0</v>
      </c>
      <c r="Y176">
        <f t="shared" si="39"/>
        <v>1</v>
      </c>
      <c r="Z176">
        <f t="shared" si="40"/>
        <v>0</v>
      </c>
      <c r="AA176">
        <f t="shared" si="41"/>
        <v>0</v>
      </c>
    </row>
    <row r="177" spans="2:27" x14ac:dyDescent="0.3">
      <c r="B177">
        <v>170</v>
      </c>
      <c r="C177" s="1">
        <v>40713</v>
      </c>
      <c r="D177">
        <v>2</v>
      </c>
      <c r="E177">
        <v>0</v>
      </c>
      <c r="F177">
        <v>6</v>
      </c>
      <c r="G177">
        <v>0</v>
      </c>
      <c r="H177">
        <v>2</v>
      </c>
      <c r="I177">
        <v>1639</v>
      </c>
      <c r="J177">
        <v>3105</v>
      </c>
      <c r="K177" s="8">
        <v>4744</v>
      </c>
      <c r="L177" s="12">
        <v>32.292299999999997</v>
      </c>
      <c r="M177" s="12">
        <v>66.666700000000006</v>
      </c>
      <c r="N177" s="12">
        <v>6.8339999999999996</v>
      </c>
      <c r="O177" s="13">
        <f t="shared" si="29"/>
        <v>0.12379404997162638</v>
      </c>
      <c r="P177" s="6">
        <f t="shared" si="30"/>
        <v>1.0530694066942119</v>
      </c>
      <c r="Q177" s="6">
        <f t="shared" si="31"/>
        <v>0.27241263277320971</v>
      </c>
      <c r="R177" s="6">
        <f t="shared" si="32"/>
        <v>-1.1425707197075325</v>
      </c>
      <c r="S177">
        <f t="shared" si="33"/>
        <v>0</v>
      </c>
      <c r="T177">
        <f t="shared" si="34"/>
        <v>0</v>
      </c>
      <c r="U177">
        <f t="shared" si="35"/>
        <v>0</v>
      </c>
      <c r="V177">
        <f t="shared" si="36"/>
        <v>0</v>
      </c>
      <c r="W177">
        <f t="shared" si="37"/>
        <v>0</v>
      </c>
      <c r="X177">
        <f t="shared" si="38"/>
        <v>0</v>
      </c>
      <c r="Y177">
        <f t="shared" si="39"/>
        <v>1</v>
      </c>
      <c r="Z177">
        <f t="shared" si="40"/>
        <v>0</v>
      </c>
      <c r="AA177">
        <f t="shared" si="41"/>
        <v>0</v>
      </c>
    </row>
    <row r="178" spans="2:27" x14ac:dyDescent="0.3">
      <c r="B178">
        <v>171</v>
      </c>
      <c r="C178" s="1">
        <v>40714</v>
      </c>
      <c r="D178">
        <v>2</v>
      </c>
      <c r="E178">
        <v>0</v>
      </c>
      <c r="F178">
        <v>6</v>
      </c>
      <c r="G178">
        <v>1</v>
      </c>
      <c r="H178">
        <v>2</v>
      </c>
      <c r="I178">
        <v>699</v>
      </c>
      <c r="J178">
        <v>3311</v>
      </c>
      <c r="K178" s="8">
        <v>4010</v>
      </c>
      <c r="L178" s="12">
        <v>29.767299999999999</v>
      </c>
      <c r="M178" s="12">
        <v>74.625</v>
      </c>
      <c r="N178" s="12">
        <v>10.416824999999999</v>
      </c>
      <c r="O178" s="13">
        <f t="shared" si="29"/>
        <v>-0.25536051627820128</v>
      </c>
      <c r="P178" s="6">
        <f t="shared" si="30"/>
        <v>0.74296746889498877</v>
      </c>
      <c r="Q178" s="6">
        <f t="shared" si="31"/>
        <v>0.83155042812389124</v>
      </c>
      <c r="R178" s="6">
        <f t="shared" si="32"/>
        <v>-0.45207930740380137</v>
      </c>
      <c r="S178">
        <f t="shared" si="33"/>
        <v>1</v>
      </c>
      <c r="T178">
        <f t="shared" si="34"/>
        <v>0</v>
      </c>
      <c r="U178">
        <f t="shared" si="35"/>
        <v>0</v>
      </c>
      <c r="V178">
        <f t="shared" si="36"/>
        <v>0</v>
      </c>
      <c r="W178">
        <f t="shared" si="37"/>
        <v>0</v>
      </c>
      <c r="X178">
        <f t="shared" si="38"/>
        <v>0</v>
      </c>
      <c r="Y178">
        <f t="shared" si="39"/>
        <v>1</v>
      </c>
      <c r="Z178">
        <f t="shared" si="40"/>
        <v>0</v>
      </c>
      <c r="AA178">
        <f t="shared" si="41"/>
        <v>0</v>
      </c>
    </row>
    <row r="179" spans="2:27" x14ac:dyDescent="0.3">
      <c r="B179">
        <v>172</v>
      </c>
      <c r="C179" s="1">
        <v>40715</v>
      </c>
      <c r="D179">
        <v>3</v>
      </c>
      <c r="E179">
        <v>0</v>
      </c>
      <c r="F179">
        <v>6</v>
      </c>
      <c r="G179">
        <v>2</v>
      </c>
      <c r="H179">
        <v>2</v>
      </c>
      <c r="I179">
        <v>774</v>
      </c>
      <c r="J179">
        <v>4061</v>
      </c>
      <c r="K179" s="8">
        <v>4835</v>
      </c>
      <c r="L179" s="12">
        <v>31.882300000000001</v>
      </c>
      <c r="M179" s="12">
        <v>77.041700000000006</v>
      </c>
      <c r="N179" s="12">
        <v>11.458674999999999</v>
      </c>
      <c r="O179" s="13">
        <f t="shared" si="29"/>
        <v>0.17080095123693198</v>
      </c>
      <c r="P179" s="6">
        <f t="shared" si="30"/>
        <v>1.0027162207545364</v>
      </c>
      <c r="Q179" s="6">
        <f t="shared" si="31"/>
        <v>1.0013440159534523</v>
      </c>
      <c r="R179" s="6">
        <f t="shared" si="32"/>
        <v>-0.25129124828602634</v>
      </c>
      <c r="S179">
        <f t="shared" si="33"/>
        <v>0</v>
      </c>
      <c r="T179">
        <f t="shared" si="34"/>
        <v>1</v>
      </c>
      <c r="U179">
        <f t="shared" si="35"/>
        <v>0</v>
      </c>
      <c r="V179">
        <f t="shared" si="36"/>
        <v>0</v>
      </c>
      <c r="W179">
        <f t="shared" si="37"/>
        <v>0</v>
      </c>
      <c r="X179">
        <f t="shared" si="38"/>
        <v>0</v>
      </c>
      <c r="Y179">
        <f t="shared" si="39"/>
        <v>0</v>
      </c>
      <c r="Z179">
        <f t="shared" si="40"/>
        <v>1</v>
      </c>
      <c r="AA179">
        <f t="shared" si="41"/>
        <v>0</v>
      </c>
    </row>
    <row r="180" spans="2:27" x14ac:dyDescent="0.3">
      <c r="B180">
        <v>173</v>
      </c>
      <c r="C180" s="1">
        <v>40716</v>
      </c>
      <c r="D180">
        <v>3</v>
      </c>
      <c r="E180">
        <v>0</v>
      </c>
      <c r="F180">
        <v>6</v>
      </c>
      <c r="G180">
        <v>3</v>
      </c>
      <c r="H180">
        <v>1</v>
      </c>
      <c r="I180">
        <v>661</v>
      </c>
      <c r="J180">
        <v>3846</v>
      </c>
      <c r="K180" s="8">
        <v>4507</v>
      </c>
      <c r="L180" s="12">
        <v>34.691450000000003</v>
      </c>
      <c r="M180" s="12">
        <v>70.75</v>
      </c>
      <c r="N180" s="12">
        <v>11.541554</v>
      </c>
      <c r="O180" s="13">
        <f t="shared" si="29"/>
        <v>1.3694829400062716E-3</v>
      </c>
      <c r="P180" s="6">
        <f t="shared" si="30"/>
        <v>1.3477153726629278</v>
      </c>
      <c r="Q180" s="6">
        <f t="shared" si="31"/>
        <v>0.55929894765898136</v>
      </c>
      <c r="R180" s="6">
        <f t="shared" si="32"/>
        <v>-0.23531859046424575</v>
      </c>
      <c r="S180">
        <f t="shared" si="33"/>
        <v>0</v>
      </c>
      <c r="T180">
        <f t="shared" si="34"/>
        <v>0</v>
      </c>
      <c r="U180">
        <f t="shared" si="35"/>
        <v>1</v>
      </c>
      <c r="V180">
        <f t="shared" si="36"/>
        <v>0</v>
      </c>
      <c r="W180">
        <f t="shared" si="37"/>
        <v>0</v>
      </c>
      <c r="X180">
        <f t="shared" si="38"/>
        <v>0</v>
      </c>
      <c r="Y180">
        <f t="shared" si="39"/>
        <v>0</v>
      </c>
      <c r="Z180">
        <f t="shared" si="40"/>
        <v>1</v>
      </c>
      <c r="AA180">
        <f t="shared" si="41"/>
        <v>0</v>
      </c>
    </row>
    <row r="181" spans="2:27" x14ac:dyDescent="0.3">
      <c r="B181">
        <v>174</v>
      </c>
      <c r="C181" s="1">
        <v>40717</v>
      </c>
      <c r="D181">
        <v>3</v>
      </c>
      <c r="E181">
        <v>0</v>
      </c>
      <c r="F181">
        <v>6</v>
      </c>
      <c r="G181">
        <v>4</v>
      </c>
      <c r="H181">
        <v>2</v>
      </c>
      <c r="I181">
        <v>746</v>
      </c>
      <c r="J181">
        <v>4044</v>
      </c>
      <c r="K181" s="8">
        <v>4790</v>
      </c>
      <c r="L181" s="12">
        <v>34.691650000000003</v>
      </c>
      <c r="M181" s="12">
        <v>70.333299999999994</v>
      </c>
      <c r="N181" s="12">
        <v>15.999867999999999</v>
      </c>
      <c r="O181" s="13">
        <f t="shared" si="29"/>
        <v>0.14755578028156108</v>
      </c>
      <c r="P181" s="6">
        <f t="shared" si="30"/>
        <v>1.3477399351926544</v>
      </c>
      <c r="Q181" s="6">
        <f t="shared" si="31"/>
        <v>0.53002225297259953</v>
      </c>
      <c r="R181" s="6">
        <f t="shared" si="32"/>
        <v>0.62389935357530313</v>
      </c>
      <c r="S181">
        <f t="shared" si="33"/>
        <v>0</v>
      </c>
      <c r="T181">
        <f t="shared" si="34"/>
        <v>0</v>
      </c>
      <c r="U181">
        <f t="shared" si="35"/>
        <v>0</v>
      </c>
      <c r="V181">
        <f t="shared" si="36"/>
        <v>1</v>
      </c>
      <c r="W181">
        <f t="shared" si="37"/>
        <v>0</v>
      </c>
      <c r="X181">
        <f t="shared" si="38"/>
        <v>0</v>
      </c>
      <c r="Y181">
        <f t="shared" si="39"/>
        <v>0</v>
      </c>
      <c r="Z181">
        <f t="shared" si="40"/>
        <v>1</v>
      </c>
      <c r="AA181">
        <f t="shared" si="41"/>
        <v>0</v>
      </c>
    </row>
    <row r="182" spans="2:27" x14ac:dyDescent="0.3">
      <c r="B182">
        <v>175</v>
      </c>
      <c r="C182" s="1">
        <v>40718</v>
      </c>
      <c r="D182">
        <v>3</v>
      </c>
      <c r="E182">
        <v>0</v>
      </c>
      <c r="F182">
        <v>6</v>
      </c>
      <c r="G182">
        <v>5</v>
      </c>
      <c r="H182">
        <v>1</v>
      </c>
      <c r="I182">
        <v>969</v>
      </c>
      <c r="J182">
        <v>4022</v>
      </c>
      <c r="K182" s="8">
        <v>4991</v>
      </c>
      <c r="L182" s="12">
        <v>32.829149999999998</v>
      </c>
      <c r="M182" s="12">
        <v>57.333300000000001</v>
      </c>
      <c r="N182" s="12">
        <v>14.875674999999999</v>
      </c>
      <c r="O182" s="13">
        <f t="shared" si="29"/>
        <v>0.25138421054888449</v>
      </c>
      <c r="P182" s="6">
        <f t="shared" si="30"/>
        <v>1.1190013771130289</v>
      </c>
      <c r="Q182" s="6">
        <f t="shared" si="31"/>
        <v>-0.38333755245806556</v>
      </c>
      <c r="R182" s="6">
        <f t="shared" si="32"/>
        <v>0.40724193595876629</v>
      </c>
      <c r="S182">
        <f t="shared" si="33"/>
        <v>0</v>
      </c>
      <c r="T182">
        <f t="shared" si="34"/>
        <v>0</v>
      </c>
      <c r="U182">
        <f t="shared" si="35"/>
        <v>0</v>
      </c>
      <c r="V182">
        <f t="shared" si="36"/>
        <v>0</v>
      </c>
      <c r="W182">
        <f t="shared" si="37"/>
        <v>1</v>
      </c>
      <c r="X182">
        <f t="shared" si="38"/>
        <v>0</v>
      </c>
      <c r="Y182">
        <f t="shared" si="39"/>
        <v>0</v>
      </c>
      <c r="Z182">
        <f t="shared" si="40"/>
        <v>1</v>
      </c>
      <c r="AA182">
        <f t="shared" si="41"/>
        <v>0</v>
      </c>
    </row>
    <row r="183" spans="2:27" x14ac:dyDescent="0.3">
      <c r="B183">
        <v>176</v>
      </c>
      <c r="C183" s="1">
        <v>40719</v>
      </c>
      <c r="D183">
        <v>3</v>
      </c>
      <c r="E183">
        <v>0</v>
      </c>
      <c r="F183">
        <v>6</v>
      </c>
      <c r="G183">
        <v>6</v>
      </c>
      <c r="H183">
        <v>1</v>
      </c>
      <c r="I183">
        <v>1782</v>
      </c>
      <c r="J183">
        <v>3420</v>
      </c>
      <c r="K183" s="8">
        <v>5202</v>
      </c>
      <c r="L183" s="12">
        <v>32.165649999999999</v>
      </c>
      <c r="M183" s="12">
        <v>48.333300000000001</v>
      </c>
      <c r="N183" s="12">
        <v>14.041257</v>
      </c>
      <c r="O183" s="13">
        <f t="shared" si="29"/>
        <v>0.36037823436184585</v>
      </c>
      <c r="P183" s="6">
        <f t="shared" si="30"/>
        <v>1.0375151847447976</v>
      </c>
      <c r="Q183" s="6">
        <f t="shared" si="31"/>
        <v>-1.0156635716023725</v>
      </c>
      <c r="R183" s="6">
        <f t="shared" si="32"/>
        <v>0.24643071484926352</v>
      </c>
      <c r="S183">
        <f t="shared" si="33"/>
        <v>0</v>
      </c>
      <c r="T183">
        <f t="shared" si="34"/>
        <v>0</v>
      </c>
      <c r="U183">
        <f t="shared" si="35"/>
        <v>0</v>
      </c>
      <c r="V183">
        <f t="shared" si="36"/>
        <v>0</v>
      </c>
      <c r="W183">
        <f t="shared" si="37"/>
        <v>0</v>
      </c>
      <c r="X183">
        <f t="shared" si="38"/>
        <v>0</v>
      </c>
      <c r="Y183">
        <f t="shared" si="39"/>
        <v>0</v>
      </c>
      <c r="Z183">
        <f t="shared" si="40"/>
        <v>1</v>
      </c>
      <c r="AA183">
        <f t="shared" si="41"/>
        <v>0</v>
      </c>
    </row>
    <row r="184" spans="2:27" x14ac:dyDescent="0.3">
      <c r="B184">
        <v>177</v>
      </c>
      <c r="C184" s="1">
        <v>40720</v>
      </c>
      <c r="D184">
        <v>3</v>
      </c>
      <c r="E184">
        <v>0</v>
      </c>
      <c r="F184">
        <v>6</v>
      </c>
      <c r="G184">
        <v>0</v>
      </c>
      <c r="H184">
        <v>1</v>
      </c>
      <c r="I184">
        <v>1920</v>
      </c>
      <c r="J184">
        <v>3385</v>
      </c>
      <c r="K184" s="8">
        <v>5305</v>
      </c>
      <c r="L184" s="12">
        <v>31.881450000000001</v>
      </c>
      <c r="M184" s="12">
        <v>51.333300000000001</v>
      </c>
      <c r="N184" s="12">
        <v>6.3337310999999996</v>
      </c>
      <c r="O184" s="13">
        <f t="shared" si="29"/>
        <v>0.41358384788191704</v>
      </c>
      <c r="P184" s="6">
        <f t="shared" si="30"/>
        <v>1.0026118300031981</v>
      </c>
      <c r="Q184" s="6">
        <f t="shared" si="31"/>
        <v>-0.8048882318876035</v>
      </c>
      <c r="R184" s="6">
        <f t="shared" si="32"/>
        <v>-1.2389838516055833</v>
      </c>
      <c r="S184">
        <f t="shared" si="33"/>
        <v>0</v>
      </c>
      <c r="T184">
        <f t="shared" si="34"/>
        <v>0</v>
      </c>
      <c r="U184">
        <f t="shared" si="35"/>
        <v>0</v>
      </c>
      <c r="V184">
        <f t="shared" si="36"/>
        <v>0</v>
      </c>
      <c r="W184">
        <f t="shared" si="37"/>
        <v>0</v>
      </c>
      <c r="X184">
        <f t="shared" si="38"/>
        <v>0</v>
      </c>
      <c r="Y184">
        <f t="shared" si="39"/>
        <v>0</v>
      </c>
      <c r="Z184">
        <f t="shared" si="40"/>
        <v>1</v>
      </c>
      <c r="AA184">
        <f t="shared" si="41"/>
        <v>0</v>
      </c>
    </row>
    <row r="185" spans="2:27" x14ac:dyDescent="0.3">
      <c r="B185">
        <v>178</v>
      </c>
      <c r="C185" s="1">
        <v>40721</v>
      </c>
      <c r="D185">
        <v>3</v>
      </c>
      <c r="E185">
        <v>0</v>
      </c>
      <c r="F185">
        <v>6</v>
      </c>
      <c r="G185">
        <v>1</v>
      </c>
      <c r="H185">
        <v>2</v>
      </c>
      <c r="I185">
        <v>854</v>
      </c>
      <c r="J185">
        <v>3854</v>
      </c>
      <c r="K185" s="8">
        <v>4708</v>
      </c>
      <c r="L185" s="12">
        <v>31.850200000000001</v>
      </c>
      <c r="M185" s="12">
        <v>65.833299999999994</v>
      </c>
      <c r="N185" s="12">
        <v>7.2083959999999996</v>
      </c>
      <c r="O185" s="13">
        <f t="shared" si="29"/>
        <v>0.10519791320732966</v>
      </c>
      <c r="P185" s="6">
        <f t="shared" si="30"/>
        <v>0.9987739347334057</v>
      </c>
      <c r="Q185" s="6">
        <f t="shared" si="31"/>
        <v>0.21385924340044604</v>
      </c>
      <c r="R185" s="6">
        <f t="shared" si="32"/>
        <v>-1.0704161425789069</v>
      </c>
      <c r="S185">
        <f t="shared" si="33"/>
        <v>1</v>
      </c>
      <c r="T185">
        <f t="shared" si="34"/>
        <v>0</v>
      </c>
      <c r="U185">
        <f t="shared" si="35"/>
        <v>0</v>
      </c>
      <c r="V185">
        <f t="shared" si="36"/>
        <v>0</v>
      </c>
      <c r="W185">
        <f t="shared" si="37"/>
        <v>0</v>
      </c>
      <c r="X185">
        <f t="shared" si="38"/>
        <v>0</v>
      </c>
      <c r="Y185">
        <f t="shared" si="39"/>
        <v>0</v>
      </c>
      <c r="Z185">
        <f t="shared" si="40"/>
        <v>1</v>
      </c>
      <c r="AA185">
        <f t="shared" si="41"/>
        <v>0</v>
      </c>
    </row>
    <row r="186" spans="2:27" x14ac:dyDescent="0.3">
      <c r="B186">
        <v>179</v>
      </c>
      <c r="C186" s="1">
        <v>40722</v>
      </c>
      <c r="D186">
        <v>3</v>
      </c>
      <c r="E186">
        <v>0</v>
      </c>
      <c r="F186">
        <v>6</v>
      </c>
      <c r="G186">
        <v>2</v>
      </c>
      <c r="H186">
        <v>1</v>
      </c>
      <c r="I186">
        <v>732</v>
      </c>
      <c r="J186">
        <v>3916</v>
      </c>
      <c r="K186" s="8">
        <v>4648</v>
      </c>
      <c r="L186" s="12">
        <v>34.627899999999997</v>
      </c>
      <c r="M186" s="12">
        <v>63.416699999999999</v>
      </c>
      <c r="N186" s="12">
        <v>9.6669610000000006</v>
      </c>
      <c r="O186" s="13">
        <f t="shared" si="29"/>
        <v>7.4204351933501778E-2</v>
      </c>
      <c r="P186" s="6">
        <f t="shared" si="30"/>
        <v>1.3399106288422773</v>
      </c>
      <c r="Q186" s="6">
        <f t="shared" si="31"/>
        <v>4.407268141554279E-2</v>
      </c>
      <c r="R186" s="6">
        <f t="shared" si="32"/>
        <v>-0.59659506030708975</v>
      </c>
      <c r="S186">
        <f t="shared" si="33"/>
        <v>0</v>
      </c>
      <c r="T186">
        <f t="shared" si="34"/>
        <v>1</v>
      </c>
      <c r="U186">
        <f t="shared" si="35"/>
        <v>0</v>
      </c>
      <c r="V186">
        <f t="shared" si="36"/>
        <v>0</v>
      </c>
      <c r="W186">
        <f t="shared" si="37"/>
        <v>0</v>
      </c>
      <c r="X186">
        <f t="shared" si="38"/>
        <v>0</v>
      </c>
      <c r="Y186">
        <f t="shared" si="39"/>
        <v>0</v>
      </c>
      <c r="Z186">
        <f t="shared" si="40"/>
        <v>1</v>
      </c>
      <c r="AA186">
        <f t="shared" si="41"/>
        <v>0</v>
      </c>
    </row>
    <row r="187" spans="2:27" x14ac:dyDescent="0.3">
      <c r="B187">
        <v>180</v>
      </c>
      <c r="C187" s="1">
        <v>40723</v>
      </c>
      <c r="D187">
        <v>3</v>
      </c>
      <c r="E187">
        <v>0</v>
      </c>
      <c r="F187">
        <v>6</v>
      </c>
      <c r="G187">
        <v>3</v>
      </c>
      <c r="H187">
        <v>1</v>
      </c>
      <c r="I187">
        <v>848</v>
      </c>
      <c r="J187">
        <v>4377</v>
      </c>
      <c r="K187" s="8">
        <v>5225</v>
      </c>
      <c r="L187" s="12">
        <v>32.734400000000001</v>
      </c>
      <c r="M187" s="12">
        <v>49.791699999999999</v>
      </c>
      <c r="N187" s="12">
        <v>17.542007000000002</v>
      </c>
      <c r="O187" s="13">
        <f t="shared" si="29"/>
        <v>0.37225909951681319</v>
      </c>
      <c r="P187" s="6">
        <f t="shared" si="30"/>
        <v>1.1073648786550188</v>
      </c>
      <c r="Q187" s="6">
        <f t="shared" si="31"/>
        <v>-0.91319865312236637</v>
      </c>
      <c r="R187" s="6">
        <f t="shared" si="32"/>
        <v>0.92110441831574263</v>
      </c>
      <c r="S187">
        <f t="shared" si="33"/>
        <v>0</v>
      </c>
      <c r="T187">
        <f t="shared" si="34"/>
        <v>0</v>
      </c>
      <c r="U187">
        <f t="shared" si="35"/>
        <v>1</v>
      </c>
      <c r="V187">
        <f t="shared" si="36"/>
        <v>0</v>
      </c>
      <c r="W187">
        <f t="shared" si="37"/>
        <v>0</v>
      </c>
      <c r="X187">
        <f t="shared" si="38"/>
        <v>0</v>
      </c>
      <c r="Y187">
        <f t="shared" si="39"/>
        <v>0</v>
      </c>
      <c r="Z187">
        <f t="shared" si="40"/>
        <v>1</v>
      </c>
      <c r="AA187">
        <f t="shared" si="41"/>
        <v>0</v>
      </c>
    </row>
    <row r="188" spans="2:27" x14ac:dyDescent="0.3">
      <c r="B188">
        <v>181</v>
      </c>
      <c r="C188" s="1">
        <v>40724</v>
      </c>
      <c r="D188">
        <v>3</v>
      </c>
      <c r="E188">
        <v>0</v>
      </c>
      <c r="F188">
        <v>6</v>
      </c>
      <c r="G188">
        <v>4</v>
      </c>
      <c r="H188">
        <v>1</v>
      </c>
      <c r="I188">
        <v>1027</v>
      </c>
      <c r="J188">
        <v>4488</v>
      </c>
      <c r="K188" s="8">
        <v>5515</v>
      </c>
      <c r="L188" s="12">
        <v>31.8504</v>
      </c>
      <c r="M188" s="12">
        <v>43.416699999999999</v>
      </c>
      <c r="N188" s="12">
        <v>12.415903999999999</v>
      </c>
      <c r="O188" s="13">
        <f t="shared" si="29"/>
        <v>0.52206131234031461</v>
      </c>
      <c r="P188" s="6">
        <f t="shared" si="30"/>
        <v>0.9987984972631323</v>
      </c>
      <c r="Q188" s="6">
        <f t="shared" si="31"/>
        <v>-1.3610962500162505</v>
      </c>
      <c r="R188" s="6">
        <f t="shared" si="32"/>
        <v>-6.6811569789842956E-2</v>
      </c>
      <c r="S188">
        <f t="shared" si="33"/>
        <v>0</v>
      </c>
      <c r="T188">
        <f t="shared" si="34"/>
        <v>0</v>
      </c>
      <c r="U188">
        <f t="shared" si="35"/>
        <v>0</v>
      </c>
      <c r="V188">
        <f t="shared" si="36"/>
        <v>1</v>
      </c>
      <c r="W188">
        <f t="shared" si="37"/>
        <v>0</v>
      </c>
      <c r="X188">
        <f t="shared" si="38"/>
        <v>0</v>
      </c>
      <c r="Y188">
        <f t="shared" si="39"/>
        <v>0</v>
      </c>
      <c r="Z188">
        <f t="shared" si="40"/>
        <v>1</v>
      </c>
      <c r="AA188">
        <f t="shared" si="41"/>
        <v>0</v>
      </c>
    </row>
    <row r="189" spans="2:27" x14ac:dyDescent="0.3">
      <c r="B189">
        <v>182</v>
      </c>
      <c r="C189" s="1">
        <v>40725</v>
      </c>
      <c r="D189">
        <v>3</v>
      </c>
      <c r="E189">
        <v>0</v>
      </c>
      <c r="F189">
        <v>7</v>
      </c>
      <c r="G189">
        <v>5</v>
      </c>
      <c r="H189">
        <v>1</v>
      </c>
      <c r="I189">
        <v>1246</v>
      </c>
      <c r="J189">
        <v>4116</v>
      </c>
      <c r="K189" s="8">
        <v>5362</v>
      </c>
      <c r="L189" s="12">
        <v>32.6081</v>
      </c>
      <c r="M189" s="12">
        <v>39.625</v>
      </c>
      <c r="N189" s="12">
        <v>6.8747360000000004</v>
      </c>
      <c r="O189" s="13">
        <f t="shared" si="29"/>
        <v>0.44302773109205351</v>
      </c>
      <c r="P189" s="6">
        <f t="shared" si="30"/>
        <v>1.0918536411326258</v>
      </c>
      <c r="Q189" s="6">
        <f t="shared" si="31"/>
        <v>-1.6274952018817468</v>
      </c>
      <c r="R189" s="6">
        <f t="shared" si="32"/>
        <v>-1.1347199711581042</v>
      </c>
      <c r="S189">
        <f t="shared" si="33"/>
        <v>0</v>
      </c>
      <c r="T189">
        <f t="shared" si="34"/>
        <v>0</v>
      </c>
      <c r="U189">
        <f t="shared" si="35"/>
        <v>0</v>
      </c>
      <c r="V189">
        <f t="shared" si="36"/>
        <v>0</v>
      </c>
      <c r="W189">
        <f t="shared" si="37"/>
        <v>1</v>
      </c>
      <c r="X189">
        <f t="shared" si="38"/>
        <v>0</v>
      </c>
      <c r="Y189">
        <f t="shared" si="39"/>
        <v>0</v>
      </c>
      <c r="Z189">
        <f t="shared" si="40"/>
        <v>1</v>
      </c>
      <c r="AA189">
        <f t="shared" si="41"/>
        <v>0</v>
      </c>
    </row>
    <row r="190" spans="2:27" x14ac:dyDescent="0.3">
      <c r="B190">
        <v>183</v>
      </c>
      <c r="C190" s="1">
        <v>40726</v>
      </c>
      <c r="D190">
        <v>3</v>
      </c>
      <c r="E190">
        <v>0</v>
      </c>
      <c r="F190">
        <v>7</v>
      </c>
      <c r="G190">
        <v>6</v>
      </c>
      <c r="H190">
        <v>1</v>
      </c>
      <c r="I190">
        <v>2204</v>
      </c>
      <c r="J190">
        <v>2915</v>
      </c>
      <c r="K190" s="8">
        <v>5119</v>
      </c>
      <c r="L190" s="12">
        <v>33.365400000000001</v>
      </c>
      <c r="M190" s="12">
        <v>44.458300000000001</v>
      </c>
      <c r="N190" s="12">
        <v>7.7091539999999998</v>
      </c>
      <c r="O190" s="13">
        <f t="shared" si="29"/>
        <v>0.31750380793305061</v>
      </c>
      <c r="P190" s="6">
        <f t="shared" si="30"/>
        <v>1.1848596599426662</v>
      </c>
      <c r="Q190" s="6">
        <f t="shared" si="31"/>
        <v>-1.2879150520672824</v>
      </c>
      <c r="R190" s="6">
        <f t="shared" si="32"/>
        <v>-0.97390875004860145</v>
      </c>
      <c r="S190">
        <f t="shared" si="33"/>
        <v>0</v>
      </c>
      <c r="T190">
        <f t="shared" si="34"/>
        <v>0</v>
      </c>
      <c r="U190">
        <f t="shared" si="35"/>
        <v>0</v>
      </c>
      <c r="V190">
        <f t="shared" si="36"/>
        <v>0</v>
      </c>
      <c r="W190">
        <f t="shared" si="37"/>
        <v>0</v>
      </c>
      <c r="X190">
        <f t="shared" si="38"/>
        <v>0</v>
      </c>
      <c r="Y190">
        <f t="shared" si="39"/>
        <v>0</v>
      </c>
      <c r="Z190">
        <f t="shared" si="40"/>
        <v>1</v>
      </c>
      <c r="AA190">
        <f t="shared" si="41"/>
        <v>0</v>
      </c>
    </row>
    <row r="191" spans="2:27" x14ac:dyDescent="0.3">
      <c r="B191">
        <v>184</v>
      </c>
      <c r="C191" s="1">
        <v>40727</v>
      </c>
      <c r="D191">
        <v>3</v>
      </c>
      <c r="E191">
        <v>0</v>
      </c>
      <c r="F191">
        <v>7</v>
      </c>
      <c r="G191">
        <v>0</v>
      </c>
      <c r="H191">
        <v>2</v>
      </c>
      <c r="I191">
        <v>2282</v>
      </c>
      <c r="J191">
        <v>2367</v>
      </c>
      <c r="K191" s="8">
        <v>4649</v>
      </c>
      <c r="L191" s="12">
        <v>33.428750000000001</v>
      </c>
      <c r="M191" s="12">
        <v>68.25</v>
      </c>
      <c r="N191" s="12">
        <v>15.333486000000001</v>
      </c>
      <c r="O191" s="13">
        <f t="shared" si="29"/>
        <v>7.4720911288065572E-2</v>
      </c>
      <c r="P191" s="6">
        <f t="shared" si="30"/>
        <v>1.1926398412335892</v>
      </c>
      <c r="Q191" s="6">
        <f t="shared" si="31"/>
        <v>0.38365283123000721</v>
      </c>
      <c r="R191" s="6">
        <f t="shared" si="32"/>
        <v>0.49547247023219143</v>
      </c>
      <c r="S191">
        <f t="shared" si="33"/>
        <v>0</v>
      </c>
      <c r="T191">
        <f t="shared" si="34"/>
        <v>0</v>
      </c>
      <c r="U191">
        <f t="shared" si="35"/>
        <v>0</v>
      </c>
      <c r="V191">
        <f t="shared" si="36"/>
        <v>0</v>
      </c>
      <c r="W191">
        <f t="shared" si="37"/>
        <v>0</v>
      </c>
      <c r="X191">
        <f t="shared" si="38"/>
        <v>0</v>
      </c>
      <c r="Y191">
        <f t="shared" si="39"/>
        <v>0</v>
      </c>
      <c r="Z191">
        <f t="shared" si="40"/>
        <v>1</v>
      </c>
      <c r="AA191">
        <f t="shared" si="41"/>
        <v>0</v>
      </c>
    </row>
    <row r="192" spans="2:27" x14ac:dyDescent="0.3">
      <c r="B192">
        <v>185</v>
      </c>
      <c r="C192" s="1">
        <v>40728</v>
      </c>
      <c r="D192">
        <v>3</v>
      </c>
      <c r="E192">
        <v>0</v>
      </c>
      <c r="F192">
        <v>7</v>
      </c>
      <c r="G192">
        <v>1</v>
      </c>
      <c r="H192">
        <v>2</v>
      </c>
      <c r="I192">
        <v>3065</v>
      </c>
      <c r="J192">
        <v>2978</v>
      </c>
      <c r="K192" s="8">
        <v>6043</v>
      </c>
      <c r="L192" s="12">
        <v>33.270850000000003</v>
      </c>
      <c r="M192" s="12">
        <v>63.791699999999999</v>
      </c>
      <c r="N192" s="12">
        <v>5.4591063999999996</v>
      </c>
      <c r="O192" s="13">
        <f t="shared" si="29"/>
        <v>0.79480465154999991</v>
      </c>
      <c r="P192" s="6">
        <f t="shared" si="30"/>
        <v>1.1732477240143828</v>
      </c>
      <c r="Q192" s="6">
        <f t="shared" si="31"/>
        <v>7.0419598879888912E-2</v>
      </c>
      <c r="R192" s="6">
        <f t="shared" si="32"/>
        <v>-1.4075438131830333</v>
      </c>
      <c r="S192">
        <f t="shared" si="33"/>
        <v>1</v>
      </c>
      <c r="T192">
        <f t="shared" si="34"/>
        <v>0</v>
      </c>
      <c r="U192">
        <f t="shared" si="35"/>
        <v>0</v>
      </c>
      <c r="V192">
        <f t="shared" si="36"/>
        <v>0</v>
      </c>
      <c r="W192">
        <f t="shared" si="37"/>
        <v>0</v>
      </c>
      <c r="X192">
        <f t="shared" si="38"/>
        <v>0</v>
      </c>
      <c r="Y192">
        <f t="shared" si="39"/>
        <v>0</v>
      </c>
      <c r="Z192">
        <f t="shared" si="40"/>
        <v>1</v>
      </c>
      <c r="AA192">
        <f t="shared" si="41"/>
        <v>0</v>
      </c>
    </row>
    <row r="193" spans="2:27" x14ac:dyDescent="0.3">
      <c r="B193">
        <v>186</v>
      </c>
      <c r="C193" s="1">
        <v>40729</v>
      </c>
      <c r="D193">
        <v>3</v>
      </c>
      <c r="E193">
        <v>0</v>
      </c>
      <c r="F193">
        <v>7</v>
      </c>
      <c r="G193">
        <v>2</v>
      </c>
      <c r="H193">
        <v>1</v>
      </c>
      <c r="I193">
        <v>1031</v>
      </c>
      <c r="J193">
        <v>3634</v>
      </c>
      <c r="K193" s="8">
        <v>4665</v>
      </c>
      <c r="L193" s="12">
        <v>34.816899999999997</v>
      </c>
      <c r="M193" s="12">
        <v>59.041699999999999</v>
      </c>
      <c r="N193" s="12">
        <v>8.4592860000000005</v>
      </c>
      <c r="O193" s="13">
        <f t="shared" si="29"/>
        <v>8.2985860961086344E-2</v>
      </c>
      <c r="P193" s="6">
        <f t="shared" si="30"/>
        <v>1.3631222194339816</v>
      </c>
      <c r="Q193" s="6">
        <f t="shared" si="31"/>
        <v>-0.26330802233516198</v>
      </c>
      <c r="R193" s="6">
        <f t="shared" si="32"/>
        <v>-0.82934134748380328</v>
      </c>
      <c r="S193">
        <f t="shared" si="33"/>
        <v>0</v>
      </c>
      <c r="T193">
        <f t="shared" si="34"/>
        <v>1</v>
      </c>
      <c r="U193">
        <f t="shared" si="35"/>
        <v>0</v>
      </c>
      <c r="V193">
        <f t="shared" si="36"/>
        <v>0</v>
      </c>
      <c r="W193">
        <f t="shared" si="37"/>
        <v>0</v>
      </c>
      <c r="X193">
        <f t="shared" si="38"/>
        <v>0</v>
      </c>
      <c r="Y193">
        <f t="shared" si="39"/>
        <v>0</v>
      </c>
      <c r="Z193">
        <f t="shared" si="40"/>
        <v>1</v>
      </c>
      <c r="AA193">
        <f t="shared" si="41"/>
        <v>0</v>
      </c>
    </row>
    <row r="194" spans="2:27" x14ac:dyDescent="0.3">
      <c r="B194">
        <v>187</v>
      </c>
      <c r="C194" s="1">
        <v>40730</v>
      </c>
      <c r="D194">
        <v>3</v>
      </c>
      <c r="E194">
        <v>0</v>
      </c>
      <c r="F194">
        <v>7</v>
      </c>
      <c r="G194">
        <v>3</v>
      </c>
      <c r="H194">
        <v>1</v>
      </c>
      <c r="I194">
        <v>784</v>
      </c>
      <c r="J194">
        <v>3845</v>
      </c>
      <c r="K194" s="8">
        <v>4629</v>
      </c>
      <c r="L194" s="12">
        <v>34.281649999999999</v>
      </c>
      <c r="M194" s="12">
        <v>74.333299999999994</v>
      </c>
      <c r="N194" s="12">
        <v>10.042161</v>
      </c>
      <c r="O194" s="13">
        <f t="shared" si="29"/>
        <v>6.4389724196789622E-2</v>
      </c>
      <c r="P194" s="6">
        <f t="shared" si="30"/>
        <v>1.2973867492529783</v>
      </c>
      <c r="Q194" s="6">
        <f t="shared" si="31"/>
        <v>0.81105603925895819</v>
      </c>
      <c r="R194" s="6">
        <f t="shared" si="32"/>
        <v>-0.52428553419393609</v>
      </c>
      <c r="S194">
        <f t="shared" si="33"/>
        <v>0</v>
      </c>
      <c r="T194">
        <f t="shared" si="34"/>
        <v>0</v>
      </c>
      <c r="U194">
        <f t="shared" si="35"/>
        <v>1</v>
      </c>
      <c r="V194">
        <f t="shared" si="36"/>
        <v>0</v>
      </c>
      <c r="W194">
        <f t="shared" si="37"/>
        <v>0</v>
      </c>
      <c r="X194">
        <f t="shared" si="38"/>
        <v>0</v>
      </c>
      <c r="Y194">
        <f t="shared" si="39"/>
        <v>0</v>
      </c>
      <c r="Z194">
        <f t="shared" si="40"/>
        <v>1</v>
      </c>
      <c r="AA194">
        <f t="shared" si="41"/>
        <v>0</v>
      </c>
    </row>
    <row r="195" spans="2:27" x14ac:dyDescent="0.3">
      <c r="B195">
        <v>188</v>
      </c>
      <c r="C195" s="1">
        <v>40731</v>
      </c>
      <c r="D195">
        <v>3</v>
      </c>
      <c r="E195">
        <v>0</v>
      </c>
      <c r="F195">
        <v>7</v>
      </c>
      <c r="G195">
        <v>4</v>
      </c>
      <c r="H195">
        <v>1</v>
      </c>
      <c r="I195">
        <v>754</v>
      </c>
      <c r="J195">
        <v>3838</v>
      </c>
      <c r="K195" s="8">
        <v>4592</v>
      </c>
      <c r="L195" s="12">
        <v>34.34355</v>
      </c>
      <c r="M195" s="12">
        <v>65.125</v>
      </c>
      <c r="N195" s="12">
        <v>10.666399999999999</v>
      </c>
      <c r="O195" s="13">
        <f t="shared" si="29"/>
        <v>4.5277028077929098E-2</v>
      </c>
      <c r="P195" s="6">
        <f t="shared" si="30"/>
        <v>1.304988852203383</v>
      </c>
      <c r="Q195" s="6">
        <f t="shared" si="31"/>
        <v>0.1640951856937895</v>
      </c>
      <c r="R195" s="6">
        <f t="shared" si="32"/>
        <v>-0.40398056012317679</v>
      </c>
      <c r="S195">
        <f t="shared" si="33"/>
        <v>0</v>
      </c>
      <c r="T195">
        <f t="shared" si="34"/>
        <v>0</v>
      </c>
      <c r="U195">
        <f t="shared" si="35"/>
        <v>0</v>
      </c>
      <c r="V195">
        <f t="shared" si="36"/>
        <v>1</v>
      </c>
      <c r="W195">
        <f t="shared" si="37"/>
        <v>0</v>
      </c>
      <c r="X195">
        <f t="shared" si="38"/>
        <v>0</v>
      </c>
      <c r="Y195">
        <f t="shared" si="39"/>
        <v>0</v>
      </c>
      <c r="Z195">
        <f t="shared" si="40"/>
        <v>1</v>
      </c>
      <c r="AA195">
        <f t="shared" si="41"/>
        <v>0</v>
      </c>
    </row>
    <row r="196" spans="2:27" x14ac:dyDescent="0.3">
      <c r="B196">
        <v>189</v>
      </c>
      <c r="C196" s="1">
        <v>40732</v>
      </c>
      <c r="D196">
        <v>3</v>
      </c>
      <c r="E196">
        <v>0</v>
      </c>
      <c r="F196">
        <v>7</v>
      </c>
      <c r="G196">
        <v>5</v>
      </c>
      <c r="H196">
        <v>2</v>
      </c>
      <c r="I196">
        <v>692</v>
      </c>
      <c r="J196">
        <v>3348</v>
      </c>
      <c r="K196" s="8">
        <v>4040</v>
      </c>
      <c r="L196" s="12">
        <v>33.524149999999999</v>
      </c>
      <c r="M196" s="12">
        <v>75.791700000000006</v>
      </c>
      <c r="N196" s="12">
        <v>15.083643</v>
      </c>
      <c r="O196" s="13">
        <f t="shared" si="29"/>
        <v>-0.23986373564128735</v>
      </c>
      <c r="P196" s="6">
        <f t="shared" si="30"/>
        <v>1.2043561679132113</v>
      </c>
      <c r="Q196" s="6">
        <f t="shared" si="31"/>
        <v>0.91352095773896536</v>
      </c>
      <c r="R196" s="6">
        <f t="shared" si="32"/>
        <v>0.44732207329005741</v>
      </c>
      <c r="S196">
        <f t="shared" si="33"/>
        <v>0</v>
      </c>
      <c r="T196">
        <f t="shared" si="34"/>
        <v>0</v>
      </c>
      <c r="U196">
        <f t="shared" si="35"/>
        <v>0</v>
      </c>
      <c r="V196">
        <f t="shared" si="36"/>
        <v>0</v>
      </c>
      <c r="W196">
        <f t="shared" si="37"/>
        <v>1</v>
      </c>
      <c r="X196">
        <f t="shared" si="38"/>
        <v>0</v>
      </c>
      <c r="Y196">
        <f t="shared" si="39"/>
        <v>0</v>
      </c>
      <c r="Z196">
        <f t="shared" si="40"/>
        <v>1</v>
      </c>
      <c r="AA196">
        <f t="shared" si="41"/>
        <v>0</v>
      </c>
    </row>
    <row r="197" spans="2:27" x14ac:dyDescent="0.3">
      <c r="B197">
        <v>190</v>
      </c>
      <c r="C197" s="1">
        <v>40733</v>
      </c>
      <c r="D197">
        <v>3</v>
      </c>
      <c r="E197">
        <v>0</v>
      </c>
      <c r="F197">
        <v>7</v>
      </c>
      <c r="G197">
        <v>6</v>
      </c>
      <c r="H197">
        <v>1</v>
      </c>
      <c r="I197">
        <v>1988</v>
      </c>
      <c r="J197">
        <v>3348</v>
      </c>
      <c r="K197" s="8">
        <v>5336</v>
      </c>
      <c r="L197" s="12">
        <v>33.207900000000002</v>
      </c>
      <c r="M197" s="12">
        <v>60.916699999999999</v>
      </c>
      <c r="N197" s="12">
        <v>11.250104</v>
      </c>
      <c r="O197" s="13">
        <f t="shared" si="29"/>
        <v>0.42959718787339474</v>
      </c>
      <c r="P197" s="6">
        <f t="shared" si="30"/>
        <v>1.165516667782913</v>
      </c>
      <c r="Q197" s="6">
        <f t="shared" si="31"/>
        <v>-0.13157343501343136</v>
      </c>
      <c r="R197" s="6">
        <f t="shared" si="32"/>
        <v>-0.29148759735571322</v>
      </c>
      <c r="S197">
        <f t="shared" si="33"/>
        <v>0</v>
      </c>
      <c r="T197">
        <f t="shared" si="34"/>
        <v>0</v>
      </c>
      <c r="U197">
        <f t="shared" si="35"/>
        <v>0</v>
      </c>
      <c r="V197">
        <f t="shared" si="36"/>
        <v>0</v>
      </c>
      <c r="W197">
        <f t="shared" si="37"/>
        <v>0</v>
      </c>
      <c r="X197">
        <f t="shared" si="38"/>
        <v>0</v>
      </c>
      <c r="Y197">
        <f t="shared" si="39"/>
        <v>0</v>
      </c>
      <c r="Z197">
        <f t="shared" si="40"/>
        <v>1</v>
      </c>
      <c r="AA197">
        <f t="shared" si="41"/>
        <v>0</v>
      </c>
    </row>
    <row r="198" spans="2:27" x14ac:dyDescent="0.3">
      <c r="B198">
        <v>191</v>
      </c>
      <c r="C198" s="1">
        <v>40734</v>
      </c>
      <c r="D198">
        <v>3</v>
      </c>
      <c r="E198">
        <v>0</v>
      </c>
      <c r="F198">
        <v>7</v>
      </c>
      <c r="G198">
        <v>0</v>
      </c>
      <c r="H198">
        <v>1</v>
      </c>
      <c r="I198">
        <v>1743</v>
      </c>
      <c r="J198">
        <v>3138</v>
      </c>
      <c r="K198" s="8">
        <v>4881</v>
      </c>
      <c r="L198" s="12">
        <v>34.501249999999999</v>
      </c>
      <c r="M198" s="12">
        <v>57.833300000000001</v>
      </c>
      <c r="N198" s="12">
        <v>12.292557</v>
      </c>
      <c r="O198" s="13">
        <f t="shared" si="29"/>
        <v>0.19456268154686671</v>
      </c>
      <c r="P198" s="6">
        <f t="shared" si="30"/>
        <v>1.324356406892863</v>
      </c>
      <c r="Q198" s="6">
        <f t="shared" si="31"/>
        <v>-0.34820832917227074</v>
      </c>
      <c r="R198" s="6">
        <f t="shared" si="32"/>
        <v>-9.0583326499542038E-2</v>
      </c>
      <c r="S198">
        <f t="shared" si="33"/>
        <v>0</v>
      </c>
      <c r="T198">
        <f t="shared" si="34"/>
        <v>0</v>
      </c>
      <c r="U198">
        <f t="shared" si="35"/>
        <v>0</v>
      </c>
      <c r="V198">
        <f t="shared" si="36"/>
        <v>0</v>
      </c>
      <c r="W198">
        <f t="shared" si="37"/>
        <v>0</v>
      </c>
      <c r="X198">
        <f t="shared" si="38"/>
        <v>0</v>
      </c>
      <c r="Y198">
        <f t="shared" si="39"/>
        <v>0</v>
      </c>
      <c r="Z198">
        <f t="shared" si="40"/>
        <v>1</v>
      </c>
      <c r="AA198">
        <f t="shared" si="41"/>
        <v>0</v>
      </c>
    </row>
    <row r="199" spans="2:27" x14ac:dyDescent="0.3">
      <c r="B199">
        <v>192</v>
      </c>
      <c r="C199" s="1">
        <v>40735</v>
      </c>
      <c r="D199">
        <v>3</v>
      </c>
      <c r="E199">
        <v>0</v>
      </c>
      <c r="F199">
        <v>7</v>
      </c>
      <c r="G199">
        <v>1</v>
      </c>
      <c r="H199">
        <v>1</v>
      </c>
      <c r="I199">
        <v>723</v>
      </c>
      <c r="J199">
        <v>3363</v>
      </c>
      <c r="K199" s="8">
        <v>4086</v>
      </c>
      <c r="L199" s="12">
        <v>36.490200000000002</v>
      </c>
      <c r="M199" s="12">
        <v>63.583300000000001</v>
      </c>
      <c r="N199" s="12">
        <v>18.916578999999999</v>
      </c>
      <c r="O199" s="13">
        <f t="shared" si="29"/>
        <v>-0.21610200533135265</v>
      </c>
      <c r="P199" s="6">
        <f t="shared" si="30"/>
        <v>1.5686246243921762</v>
      </c>
      <c r="Q199" s="6">
        <f t="shared" si="31"/>
        <v>5.5777738614369805E-2</v>
      </c>
      <c r="R199" s="6">
        <f t="shared" si="32"/>
        <v>1.1860155321974315</v>
      </c>
      <c r="S199">
        <f t="shared" si="33"/>
        <v>1</v>
      </c>
      <c r="T199">
        <f t="shared" si="34"/>
        <v>0</v>
      </c>
      <c r="U199">
        <f t="shared" si="35"/>
        <v>0</v>
      </c>
      <c r="V199">
        <f t="shared" si="36"/>
        <v>0</v>
      </c>
      <c r="W199">
        <f t="shared" si="37"/>
        <v>0</v>
      </c>
      <c r="X199">
        <f t="shared" si="38"/>
        <v>0</v>
      </c>
      <c r="Y199">
        <f t="shared" si="39"/>
        <v>0</v>
      </c>
      <c r="Z199">
        <f t="shared" si="40"/>
        <v>1</v>
      </c>
      <c r="AA199">
        <f t="shared" si="41"/>
        <v>0</v>
      </c>
    </row>
    <row r="200" spans="2:27" x14ac:dyDescent="0.3">
      <c r="B200">
        <v>193</v>
      </c>
      <c r="C200" s="1">
        <v>40736</v>
      </c>
      <c r="D200">
        <v>3</v>
      </c>
      <c r="E200">
        <v>0</v>
      </c>
      <c r="F200">
        <v>7</v>
      </c>
      <c r="G200">
        <v>2</v>
      </c>
      <c r="H200">
        <v>1</v>
      </c>
      <c r="I200">
        <v>662</v>
      </c>
      <c r="J200">
        <v>3596</v>
      </c>
      <c r="K200" s="8">
        <v>4258</v>
      </c>
      <c r="L200" s="12">
        <v>36.963749999999997</v>
      </c>
      <c r="M200" s="12">
        <v>55.916699999999999</v>
      </c>
      <c r="N200" s="12">
        <v>13.417018000000001</v>
      </c>
      <c r="O200" s="13">
        <f t="shared" si="29"/>
        <v>-0.12725379634637943</v>
      </c>
      <c r="P200" s="6">
        <f t="shared" si="30"/>
        <v>1.6267825541525014</v>
      </c>
      <c r="Q200" s="6">
        <f t="shared" si="31"/>
        <v>-0.48286566787137969</v>
      </c>
      <c r="R200" s="6">
        <f t="shared" si="32"/>
        <v>0.12612574077850416</v>
      </c>
      <c r="S200">
        <f t="shared" si="33"/>
        <v>0</v>
      </c>
      <c r="T200">
        <f t="shared" si="34"/>
        <v>1</v>
      </c>
      <c r="U200">
        <f t="shared" si="35"/>
        <v>0</v>
      </c>
      <c r="V200">
        <f t="shared" si="36"/>
        <v>0</v>
      </c>
      <c r="W200">
        <f t="shared" si="37"/>
        <v>0</v>
      </c>
      <c r="X200">
        <f t="shared" si="38"/>
        <v>0</v>
      </c>
      <c r="Y200">
        <f t="shared" si="39"/>
        <v>0</v>
      </c>
      <c r="Z200">
        <f t="shared" si="40"/>
        <v>1</v>
      </c>
      <c r="AA200">
        <f t="shared" si="41"/>
        <v>0</v>
      </c>
    </row>
    <row r="201" spans="2:27" x14ac:dyDescent="0.3">
      <c r="B201">
        <v>194</v>
      </c>
      <c r="C201" s="1">
        <v>40737</v>
      </c>
      <c r="D201">
        <v>3</v>
      </c>
      <c r="E201">
        <v>0</v>
      </c>
      <c r="F201">
        <v>7</v>
      </c>
      <c r="G201">
        <v>3</v>
      </c>
      <c r="H201">
        <v>1</v>
      </c>
      <c r="I201">
        <v>748</v>
      </c>
      <c r="J201">
        <v>3594</v>
      </c>
      <c r="K201" s="8">
        <v>4342</v>
      </c>
      <c r="L201" s="12">
        <v>34.470199999999998</v>
      </c>
      <c r="M201" s="12">
        <v>63.166699999999999</v>
      </c>
      <c r="N201" s="12">
        <v>9.7909109999999995</v>
      </c>
      <c r="O201" s="13">
        <f t="shared" ref="O201:O264" si="42">(K201-K$2)/K$3</f>
        <v>-8.386281056302039E-2</v>
      </c>
      <c r="P201" s="6">
        <f t="shared" ref="P201:P264" si="43">(L201-L$2)/L$3</f>
        <v>1.3205430741527973</v>
      </c>
      <c r="Q201" s="6">
        <f t="shared" ref="Q201:Q264" si="44">(M201-M$2)/M$3</f>
        <v>2.6508069772645373E-2</v>
      </c>
      <c r="R201" s="6">
        <f t="shared" ref="R201:R264" si="45">(N201-N$2)/N$3</f>
        <v>-0.5727070918589946</v>
      </c>
      <c r="S201">
        <f t="shared" ref="S201:S264" si="46">IF($G201=1,1,0)</f>
        <v>0</v>
      </c>
      <c r="T201">
        <f t="shared" ref="T201:T264" si="47">IF($G201=2,1,0)</f>
        <v>0</v>
      </c>
      <c r="U201">
        <f t="shared" ref="U201:U264" si="48">IF($G201=3,1,0)</f>
        <v>1</v>
      </c>
      <c r="V201">
        <f t="shared" ref="V201:V264" si="49">IF($G201=4,1,0)</f>
        <v>0</v>
      </c>
      <c r="W201">
        <f t="shared" ref="W201:W264" si="50">IF($G201=5,1,0)</f>
        <v>0</v>
      </c>
      <c r="X201">
        <f t="shared" ref="X201:X264" si="51">IF($H201=3,1,0)</f>
        <v>0</v>
      </c>
      <c r="Y201">
        <f t="shared" ref="Y201:Y264" si="52">IF($D201=2,1,0)</f>
        <v>0</v>
      </c>
      <c r="Z201">
        <f t="shared" ref="Z201:Z264" si="53">IF($D201=3,1,0)</f>
        <v>1</v>
      </c>
      <c r="AA201">
        <f t="shared" ref="AA201:AA264" si="54">IF($D201=4,1,0)</f>
        <v>0</v>
      </c>
    </row>
    <row r="202" spans="2:27" x14ac:dyDescent="0.3">
      <c r="B202">
        <v>195</v>
      </c>
      <c r="C202" s="1">
        <v>40738</v>
      </c>
      <c r="D202">
        <v>3</v>
      </c>
      <c r="E202">
        <v>0</v>
      </c>
      <c r="F202">
        <v>7</v>
      </c>
      <c r="G202">
        <v>4</v>
      </c>
      <c r="H202">
        <v>1</v>
      </c>
      <c r="I202">
        <v>888</v>
      </c>
      <c r="J202">
        <v>4196</v>
      </c>
      <c r="K202" s="8">
        <v>5084</v>
      </c>
      <c r="L202" s="12">
        <v>31.755199999999999</v>
      </c>
      <c r="M202" s="12">
        <v>47.625</v>
      </c>
      <c r="N202" s="12">
        <v>16.124689</v>
      </c>
      <c r="O202" s="13">
        <f t="shared" si="42"/>
        <v>0.29942423052331768</v>
      </c>
      <c r="P202" s="6">
        <f t="shared" si="43"/>
        <v>0.9871067331132366</v>
      </c>
      <c r="Q202" s="6">
        <f t="shared" si="44"/>
        <v>-1.0654276293090295</v>
      </c>
      <c r="R202" s="6">
        <f t="shared" si="45"/>
        <v>0.64795518342330416</v>
      </c>
      <c r="S202">
        <f t="shared" si="46"/>
        <v>0</v>
      </c>
      <c r="T202">
        <f t="shared" si="47"/>
        <v>0</v>
      </c>
      <c r="U202">
        <f t="shared" si="48"/>
        <v>0</v>
      </c>
      <c r="V202">
        <f t="shared" si="49"/>
        <v>1</v>
      </c>
      <c r="W202">
        <f t="shared" si="50"/>
        <v>0</v>
      </c>
      <c r="X202">
        <f t="shared" si="51"/>
        <v>0</v>
      </c>
      <c r="Y202">
        <f t="shared" si="52"/>
        <v>0</v>
      </c>
      <c r="Z202">
        <f t="shared" si="53"/>
        <v>1</v>
      </c>
      <c r="AA202">
        <f t="shared" si="54"/>
        <v>0</v>
      </c>
    </row>
    <row r="203" spans="2:27" x14ac:dyDescent="0.3">
      <c r="B203">
        <v>196</v>
      </c>
      <c r="C203" s="1">
        <v>40739</v>
      </c>
      <c r="D203">
        <v>3</v>
      </c>
      <c r="E203">
        <v>0</v>
      </c>
      <c r="F203">
        <v>7</v>
      </c>
      <c r="G203">
        <v>5</v>
      </c>
      <c r="H203">
        <v>1</v>
      </c>
      <c r="I203">
        <v>1318</v>
      </c>
      <c r="J203">
        <v>4220</v>
      </c>
      <c r="K203" s="8">
        <v>5538</v>
      </c>
      <c r="L203" s="12">
        <v>31.21855</v>
      </c>
      <c r="M203" s="12">
        <v>59.125</v>
      </c>
      <c r="N203" s="12">
        <v>12.249810999999999</v>
      </c>
      <c r="O203" s="13">
        <f t="shared" si="42"/>
        <v>0.53394217749528194</v>
      </c>
      <c r="P203" s="6">
        <f t="shared" si="43"/>
        <v>0.92119932522414649</v>
      </c>
      <c r="Q203" s="6">
        <f t="shared" si="44"/>
        <v>-0.25745549373574844</v>
      </c>
      <c r="R203" s="6">
        <f t="shared" si="45"/>
        <v>-9.882144751029083E-2</v>
      </c>
      <c r="S203">
        <f t="shared" si="46"/>
        <v>0</v>
      </c>
      <c r="T203">
        <f t="shared" si="47"/>
        <v>0</v>
      </c>
      <c r="U203">
        <f t="shared" si="48"/>
        <v>0</v>
      </c>
      <c r="V203">
        <f t="shared" si="49"/>
        <v>0</v>
      </c>
      <c r="W203">
        <f t="shared" si="50"/>
        <v>1</v>
      </c>
      <c r="X203">
        <f t="shared" si="51"/>
        <v>0</v>
      </c>
      <c r="Y203">
        <f t="shared" si="52"/>
        <v>0</v>
      </c>
      <c r="Z203">
        <f t="shared" si="53"/>
        <v>1</v>
      </c>
      <c r="AA203">
        <f t="shared" si="54"/>
        <v>0</v>
      </c>
    </row>
    <row r="204" spans="2:27" x14ac:dyDescent="0.3">
      <c r="B204">
        <v>197</v>
      </c>
      <c r="C204" s="1">
        <v>40740</v>
      </c>
      <c r="D204">
        <v>3</v>
      </c>
      <c r="E204">
        <v>0</v>
      </c>
      <c r="F204">
        <v>7</v>
      </c>
      <c r="G204">
        <v>6</v>
      </c>
      <c r="H204">
        <v>1</v>
      </c>
      <c r="I204">
        <v>2418</v>
      </c>
      <c r="J204">
        <v>3505</v>
      </c>
      <c r="K204" s="8">
        <v>5923</v>
      </c>
      <c r="L204" s="12">
        <v>31.913150000000002</v>
      </c>
      <c r="M204" s="12">
        <v>58.5</v>
      </c>
      <c r="N204" s="12">
        <v>13.958914</v>
      </c>
      <c r="O204" s="13">
        <f t="shared" si="42"/>
        <v>0.73281752900234409</v>
      </c>
      <c r="P204" s="6">
        <f t="shared" si="43"/>
        <v>1.0065049909648756</v>
      </c>
      <c r="Q204" s="6">
        <f t="shared" si="44"/>
        <v>-0.30136702284299199</v>
      </c>
      <c r="R204" s="6">
        <f t="shared" si="45"/>
        <v>0.23056135635050179</v>
      </c>
      <c r="S204">
        <f t="shared" si="46"/>
        <v>0</v>
      </c>
      <c r="T204">
        <f t="shared" si="47"/>
        <v>0</v>
      </c>
      <c r="U204">
        <f t="shared" si="48"/>
        <v>0</v>
      </c>
      <c r="V204">
        <f t="shared" si="49"/>
        <v>0</v>
      </c>
      <c r="W204">
        <f t="shared" si="50"/>
        <v>0</v>
      </c>
      <c r="X204">
        <f t="shared" si="51"/>
        <v>0</v>
      </c>
      <c r="Y204">
        <f t="shared" si="52"/>
        <v>0</v>
      </c>
      <c r="Z204">
        <f t="shared" si="53"/>
        <v>1</v>
      </c>
      <c r="AA204">
        <f t="shared" si="54"/>
        <v>0</v>
      </c>
    </row>
    <row r="205" spans="2:27" x14ac:dyDescent="0.3">
      <c r="B205">
        <v>198</v>
      </c>
      <c r="C205" s="1">
        <v>40741</v>
      </c>
      <c r="D205">
        <v>3</v>
      </c>
      <c r="E205">
        <v>0</v>
      </c>
      <c r="F205">
        <v>7</v>
      </c>
      <c r="G205">
        <v>0</v>
      </c>
      <c r="H205">
        <v>1</v>
      </c>
      <c r="I205">
        <v>2006</v>
      </c>
      <c r="J205">
        <v>3296</v>
      </c>
      <c r="K205" s="8">
        <v>5302</v>
      </c>
      <c r="L205" s="12">
        <v>33.49165</v>
      </c>
      <c r="M205" s="12">
        <v>60.416699999999999</v>
      </c>
      <c r="N205" s="12">
        <v>16.417211000000002</v>
      </c>
      <c r="O205" s="13">
        <f t="shared" si="42"/>
        <v>0.4120341698182256</v>
      </c>
      <c r="P205" s="6">
        <f t="shared" si="43"/>
        <v>1.2003647568326272</v>
      </c>
      <c r="Q205" s="6">
        <f t="shared" si="44"/>
        <v>-0.1667026582992262</v>
      </c>
      <c r="R205" s="6">
        <f t="shared" si="45"/>
        <v>0.70433078896080969</v>
      </c>
      <c r="S205">
        <f t="shared" si="46"/>
        <v>0</v>
      </c>
      <c r="T205">
        <f t="shared" si="47"/>
        <v>0</v>
      </c>
      <c r="U205">
        <f t="shared" si="48"/>
        <v>0</v>
      </c>
      <c r="V205">
        <f t="shared" si="49"/>
        <v>0</v>
      </c>
      <c r="W205">
        <f t="shared" si="50"/>
        <v>0</v>
      </c>
      <c r="X205">
        <f t="shared" si="51"/>
        <v>0</v>
      </c>
      <c r="Y205">
        <f t="shared" si="52"/>
        <v>0</v>
      </c>
      <c r="Z205">
        <f t="shared" si="53"/>
        <v>1</v>
      </c>
      <c r="AA205">
        <f t="shared" si="54"/>
        <v>0</v>
      </c>
    </row>
    <row r="206" spans="2:27" x14ac:dyDescent="0.3">
      <c r="B206">
        <v>199</v>
      </c>
      <c r="C206" s="1">
        <v>40742</v>
      </c>
      <c r="D206">
        <v>3</v>
      </c>
      <c r="E206">
        <v>0</v>
      </c>
      <c r="F206">
        <v>7</v>
      </c>
      <c r="G206">
        <v>1</v>
      </c>
      <c r="H206">
        <v>1</v>
      </c>
      <c r="I206">
        <v>841</v>
      </c>
      <c r="J206">
        <v>3617</v>
      </c>
      <c r="K206" s="8">
        <v>4458</v>
      </c>
      <c r="L206" s="12">
        <v>35.196249999999999</v>
      </c>
      <c r="M206" s="12">
        <v>65.125</v>
      </c>
      <c r="N206" s="12">
        <v>14.458868000000001</v>
      </c>
      <c r="O206" s="13">
        <f t="shared" si="42"/>
        <v>-2.3941925433619827E-2</v>
      </c>
      <c r="P206" s="6">
        <f t="shared" si="43"/>
        <v>1.4097111976930454</v>
      </c>
      <c r="Q206" s="6">
        <f t="shared" si="44"/>
        <v>0.1640951856937895</v>
      </c>
      <c r="R206" s="6">
        <f t="shared" si="45"/>
        <v>0.32691379989627922</v>
      </c>
      <c r="S206">
        <f t="shared" si="46"/>
        <v>1</v>
      </c>
      <c r="T206">
        <f t="shared" si="47"/>
        <v>0</v>
      </c>
      <c r="U206">
        <f t="shared" si="48"/>
        <v>0</v>
      </c>
      <c r="V206">
        <f t="shared" si="49"/>
        <v>0</v>
      </c>
      <c r="W206">
        <f t="shared" si="50"/>
        <v>0</v>
      </c>
      <c r="X206">
        <f t="shared" si="51"/>
        <v>0</v>
      </c>
      <c r="Y206">
        <f t="shared" si="52"/>
        <v>0</v>
      </c>
      <c r="Z206">
        <f t="shared" si="53"/>
        <v>1</v>
      </c>
      <c r="AA206">
        <f t="shared" si="54"/>
        <v>0</v>
      </c>
    </row>
    <row r="207" spans="2:27" x14ac:dyDescent="0.3">
      <c r="B207">
        <v>200</v>
      </c>
      <c r="C207" s="1">
        <v>40743</v>
      </c>
      <c r="D207">
        <v>3</v>
      </c>
      <c r="E207">
        <v>0</v>
      </c>
      <c r="F207">
        <v>7</v>
      </c>
      <c r="G207">
        <v>2</v>
      </c>
      <c r="H207">
        <v>1</v>
      </c>
      <c r="I207">
        <v>752</v>
      </c>
      <c r="J207">
        <v>3789</v>
      </c>
      <c r="K207" s="8">
        <v>4541</v>
      </c>
      <c r="L207" s="12">
        <v>37.373950000000001</v>
      </c>
      <c r="M207" s="12">
        <v>65.041700000000006</v>
      </c>
      <c r="N207" s="12">
        <v>8.7501999999999995</v>
      </c>
      <c r="O207" s="13">
        <f t="shared" si="42"/>
        <v>1.8932500995175402E-2</v>
      </c>
      <c r="P207" s="6">
        <f t="shared" si="43"/>
        <v>1.6771603026219042</v>
      </c>
      <c r="Q207" s="6">
        <f t="shared" si="44"/>
        <v>0.15824265709437649</v>
      </c>
      <c r="R207" s="6">
        <f t="shared" si="45"/>
        <v>-0.77327563991535464</v>
      </c>
      <c r="S207">
        <f t="shared" si="46"/>
        <v>0</v>
      </c>
      <c r="T207">
        <f t="shared" si="47"/>
        <v>1</v>
      </c>
      <c r="U207">
        <f t="shared" si="48"/>
        <v>0</v>
      </c>
      <c r="V207">
        <f t="shared" si="49"/>
        <v>0</v>
      </c>
      <c r="W207">
        <f t="shared" si="50"/>
        <v>0</v>
      </c>
      <c r="X207">
        <f t="shared" si="51"/>
        <v>0</v>
      </c>
      <c r="Y207">
        <f t="shared" si="52"/>
        <v>0</v>
      </c>
      <c r="Z207">
        <f t="shared" si="53"/>
        <v>1</v>
      </c>
      <c r="AA207">
        <f t="shared" si="54"/>
        <v>0</v>
      </c>
    </row>
    <row r="208" spans="2:27" x14ac:dyDescent="0.3">
      <c r="B208">
        <v>201</v>
      </c>
      <c r="C208" s="1">
        <v>40744</v>
      </c>
      <c r="D208">
        <v>3</v>
      </c>
      <c r="E208">
        <v>0</v>
      </c>
      <c r="F208">
        <v>7</v>
      </c>
      <c r="G208">
        <v>3</v>
      </c>
      <c r="H208">
        <v>1</v>
      </c>
      <c r="I208">
        <v>644</v>
      </c>
      <c r="J208">
        <v>3688</v>
      </c>
      <c r="K208" s="8">
        <v>4332</v>
      </c>
      <c r="L208" s="12">
        <v>37.342500000000001</v>
      </c>
      <c r="M208" s="12">
        <v>70.708299999999994</v>
      </c>
      <c r="N208" s="12">
        <v>7.6257390000000003</v>
      </c>
      <c r="O208" s="13">
        <f t="shared" si="42"/>
        <v>-8.9028404108658366E-2</v>
      </c>
      <c r="P208" s="6">
        <f t="shared" si="43"/>
        <v>1.6732978448223854</v>
      </c>
      <c r="Q208" s="6">
        <f t="shared" si="44"/>
        <v>0.55636917043694567</v>
      </c>
      <c r="R208" s="6">
        <f t="shared" si="45"/>
        <v>-0.9899847071934007</v>
      </c>
      <c r="S208">
        <f t="shared" si="46"/>
        <v>0</v>
      </c>
      <c r="T208">
        <f t="shared" si="47"/>
        <v>0</v>
      </c>
      <c r="U208">
        <f t="shared" si="48"/>
        <v>1</v>
      </c>
      <c r="V208">
        <f t="shared" si="49"/>
        <v>0</v>
      </c>
      <c r="W208">
        <f t="shared" si="50"/>
        <v>0</v>
      </c>
      <c r="X208">
        <f t="shared" si="51"/>
        <v>0</v>
      </c>
      <c r="Y208">
        <f t="shared" si="52"/>
        <v>0</v>
      </c>
      <c r="Z208">
        <f t="shared" si="53"/>
        <v>1</v>
      </c>
      <c r="AA208">
        <f t="shared" si="54"/>
        <v>0</v>
      </c>
    </row>
    <row r="209" spans="2:27" x14ac:dyDescent="0.3">
      <c r="B209">
        <v>202</v>
      </c>
      <c r="C209" s="1">
        <v>40745</v>
      </c>
      <c r="D209">
        <v>3</v>
      </c>
      <c r="E209">
        <v>0</v>
      </c>
      <c r="F209">
        <v>7</v>
      </c>
      <c r="G209">
        <v>4</v>
      </c>
      <c r="H209">
        <v>2</v>
      </c>
      <c r="I209">
        <v>632</v>
      </c>
      <c r="J209">
        <v>3152</v>
      </c>
      <c r="K209" s="8">
        <v>3784</v>
      </c>
      <c r="L209" s="12">
        <v>41.318550000000002</v>
      </c>
      <c r="M209" s="12">
        <v>69.125</v>
      </c>
      <c r="N209" s="12">
        <v>14.875406999999999</v>
      </c>
      <c r="O209" s="13">
        <f t="shared" si="42"/>
        <v>-0.37210293040961961</v>
      </c>
      <c r="P209" s="6">
        <f t="shared" si="43"/>
        <v>2.1616070764210393</v>
      </c>
      <c r="Q209" s="6">
        <f t="shared" si="44"/>
        <v>0.44512897198014811</v>
      </c>
      <c r="R209" s="6">
        <f t="shared" si="45"/>
        <v>0.4071902862972569</v>
      </c>
      <c r="S209">
        <f t="shared" si="46"/>
        <v>0</v>
      </c>
      <c r="T209">
        <f t="shared" si="47"/>
        <v>0</v>
      </c>
      <c r="U209">
        <f t="shared" si="48"/>
        <v>0</v>
      </c>
      <c r="V209">
        <f t="shared" si="49"/>
        <v>1</v>
      </c>
      <c r="W209">
        <f t="shared" si="50"/>
        <v>0</v>
      </c>
      <c r="X209">
        <f t="shared" si="51"/>
        <v>0</v>
      </c>
      <c r="Y209">
        <f t="shared" si="52"/>
        <v>0</v>
      </c>
      <c r="Z209">
        <f t="shared" si="53"/>
        <v>1</v>
      </c>
      <c r="AA209">
        <f t="shared" si="54"/>
        <v>0</v>
      </c>
    </row>
    <row r="210" spans="2:27" x14ac:dyDescent="0.3">
      <c r="B210">
        <v>203</v>
      </c>
      <c r="C210" s="1">
        <v>40746</v>
      </c>
      <c r="D210">
        <v>3</v>
      </c>
      <c r="E210">
        <v>0</v>
      </c>
      <c r="F210">
        <v>7</v>
      </c>
      <c r="G210">
        <v>5</v>
      </c>
      <c r="H210">
        <v>1</v>
      </c>
      <c r="I210">
        <v>562</v>
      </c>
      <c r="J210">
        <v>2825</v>
      </c>
      <c r="K210" s="8">
        <v>3387</v>
      </c>
      <c r="L210" s="12">
        <v>42.044800000000002</v>
      </c>
      <c r="M210" s="12">
        <v>58.041699999999999</v>
      </c>
      <c r="N210" s="12">
        <v>8.9177</v>
      </c>
      <c r="O210" s="13">
        <f t="shared" si="42"/>
        <v>-0.57717699417144741</v>
      </c>
      <c r="P210" s="6">
        <f t="shared" si="43"/>
        <v>2.2507997624910141</v>
      </c>
      <c r="Q210" s="6">
        <f t="shared" si="44"/>
        <v>-0.33356646890675162</v>
      </c>
      <c r="R210" s="6">
        <f t="shared" si="45"/>
        <v>-0.74099460147198237</v>
      </c>
      <c r="S210">
        <f t="shared" si="46"/>
        <v>0</v>
      </c>
      <c r="T210">
        <f t="shared" si="47"/>
        <v>0</v>
      </c>
      <c r="U210">
        <f t="shared" si="48"/>
        <v>0</v>
      </c>
      <c r="V210">
        <f t="shared" si="49"/>
        <v>0</v>
      </c>
      <c r="W210">
        <f t="shared" si="50"/>
        <v>1</v>
      </c>
      <c r="X210">
        <f t="shared" si="51"/>
        <v>0</v>
      </c>
      <c r="Y210">
        <f t="shared" si="52"/>
        <v>0</v>
      </c>
      <c r="Z210">
        <f t="shared" si="53"/>
        <v>1</v>
      </c>
      <c r="AA210">
        <f t="shared" si="54"/>
        <v>0</v>
      </c>
    </row>
    <row r="211" spans="2:27" x14ac:dyDescent="0.3">
      <c r="B211">
        <v>204</v>
      </c>
      <c r="C211" s="1">
        <v>40747</v>
      </c>
      <c r="D211">
        <v>3</v>
      </c>
      <c r="E211">
        <v>0</v>
      </c>
      <c r="F211">
        <v>7</v>
      </c>
      <c r="G211">
        <v>6</v>
      </c>
      <c r="H211">
        <v>1</v>
      </c>
      <c r="I211">
        <v>987</v>
      </c>
      <c r="J211">
        <v>2298</v>
      </c>
      <c r="K211" s="8">
        <v>3285</v>
      </c>
      <c r="L211" s="12">
        <v>40.214350000000003</v>
      </c>
      <c r="M211" s="12">
        <v>50</v>
      </c>
      <c r="N211" s="12">
        <v>8.7918070000000004</v>
      </c>
      <c r="O211" s="13">
        <f t="shared" si="42"/>
        <v>-0.62986604833695481</v>
      </c>
      <c r="P211" s="6">
        <f t="shared" si="43"/>
        <v>2.0259973498000883</v>
      </c>
      <c r="Q211" s="6">
        <f t="shared" si="44"/>
        <v>-0.89856381870150415</v>
      </c>
      <c r="R211" s="6">
        <f t="shared" si="45"/>
        <v>-0.76525702996602085</v>
      </c>
      <c r="S211">
        <f t="shared" si="46"/>
        <v>0</v>
      </c>
      <c r="T211">
        <f t="shared" si="47"/>
        <v>0</v>
      </c>
      <c r="U211">
        <f t="shared" si="48"/>
        <v>0</v>
      </c>
      <c r="V211">
        <f t="shared" si="49"/>
        <v>0</v>
      </c>
      <c r="W211">
        <f t="shared" si="50"/>
        <v>0</v>
      </c>
      <c r="X211">
        <f t="shared" si="51"/>
        <v>0</v>
      </c>
      <c r="Y211">
        <f t="shared" si="52"/>
        <v>0</v>
      </c>
      <c r="Z211">
        <f t="shared" si="53"/>
        <v>1</v>
      </c>
      <c r="AA211">
        <f t="shared" si="54"/>
        <v>0</v>
      </c>
    </row>
    <row r="212" spans="2:27" x14ac:dyDescent="0.3">
      <c r="B212">
        <v>205</v>
      </c>
      <c r="C212" s="1">
        <v>40748</v>
      </c>
      <c r="D212">
        <v>3</v>
      </c>
      <c r="E212">
        <v>0</v>
      </c>
      <c r="F212">
        <v>7</v>
      </c>
      <c r="G212">
        <v>0</v>
      </c>
      <c r="H212">
        <v>1</v>
      </c>
      <c r="I212">
        <v>1050</v>
      </c>
      <c r="J212">
        <v>2556</v>
      </c>
      <c r="K212" s="8">
        <v>3606</v>
      </c>
      <c r="L212" s="12">
        <v>39.74145</v>
      </c>
      <c r="M212" s="12">
        <v>55.083300000000001</v>
      </c>
      <c r="N212" s="12">
        <v>11.334457</v>
      </c>
      <c r="O212" s="13">
        <f t="shared" si="42"/>
        <v>-0.46405049552197569</v>
      </c>
      <c r="P212" s="6">
        <f t="shared" si="43"/>
        <v>1.9679192482613739</v>
      </c>
      <c r="Q212" s="6">
        <f t="shared" si="44"/>
        <v>-0.5414190572441423</v>
      </c>
      <c r="R212" s="6">
        <f t="shared" si="45"/>
        <v>-0.27523086639563094</v>
      </c>
      <c r="S212">
        <f t="shared" si="46"/>
        <v>0</v>
      </c>
      <c r="T212">
        <f t="shared" si="47"/>
        <v>0</v>
      </c>
      <c r="U212">
        <f t="shared" si="48"/>
        <v>0</v>
      </c>
      <c r="V212">
        <f t="shared" si="49"/>
        <v>0</v>
      </c>
      <c r="W212">
        <f t="shared" si="50"/>
        <v>0</v>
      </c>
      <c r="X212">
        <f t="shared" si="51"/>
        <v>0</v>
      </c>
      <c r="Y212">
        <f t="shared" si="52"/>
        <v>0</v>
      </c>
      <c r="Z212">
        <f t="shared" si="53"/>
        <v>1</v>
      </c>
      <c r="AA212">
        <f t="shared" si="54"/>
        <v>0</v>
      </c>
    </row>
    <row r="213" spans="2:27" x14ac:dyDescent="0.3">
      <c r="B213">
        <v>206</v>
      </c>
      <c r="C213" s="1">
        <v>40749</v>
      </c>
      <c r="D213">
        <v>3</v>
      </c>
      <c r="E213">
        <v>0</v>
      </c>
      <c r="F213">
        <v>7</v>
      </c>
      <c r="G213">
        <v>1</v>
      </c>
      <c r="H213">
        <v>1</v>
      </c>
      <c r="I213">
        <v>568</v>
      </c>
      <c r="J213">
        <v>3272</v>
      </c>
      <c r="K213" s="8">
        <v>3840</v>
      </c>
      <c r="L213" s="12">
        <v>36.047899999999998</v>
      </c>
      <c r="M213" s="12">
        <v>75.708299999999994</v>
      </c>
      <c r="N213" s="12">
        <v>6.0841561000000004</v>
      </c>
      <c r="O213" s="13">
        <f t="shared" si="42"/>
        <v>-0.34317560655404694</v>
      </c>
      <c r="P213" s="6">
        <f t="shared" si="43"/>
        <v>1.5143045899016427</v>
      </c>
      <c r="Q213" s="6">
        <f t="shared" si="44"/>
        <v>0.90766140329489398</v>
      </c>
      <c r="R213" s="6">
        <f t="shared" si="45"/>
        <v>-1.2870825988862078</v>
      </c>
      <c r="S213">
        <f t="shared" si="46"/>
        <v>1</v>
      </c>
      <c r="T213">
        <f t="shared" si="47"/>
        <v>0</v>
      </c>
      <c r="U213">
        <f t="shared" si="48"/>
        <v>0</v>
      </c>
      <c r="V213">
        <f t="shared" si="49"/>
        <v>0</v>
      </c>
      <c r="W213">
        <f t="shared" si="50"/>
        <v>0</v>
      </c>
      <c r="X213">
        <f t="shared" si="51"/>
        <v>0</v>
      </c>
      <c r="Y213">
        <f t="shared" si="52"/>
        <v>0</v>
      </c>
      <c r="Z213">
        <f t="shared" si="53"/>
        <v>1</v>
      </c>
      <c r="AA213">
        <f t="shared" si="54"/>
        <v>0</v>
      </c>
    </row>
    <row r="214" spans="2:27" x14ac:dyDescent="0.3">
      <c r="B214">
        <v>207</v>
      </c>
      <c r="C214" s="1">
        <v>40750</v>
      </c>
      <c r="D214">
        <v>3</v>
      </c>
      <c r="E214">
        <v>0</v>
      </c>
      <c r="F214">
        <v>7</v>
      </c>
      <c r="G214">
        <v>2</v>
      </c>
      <c r="H214">
        <v>1</v>
      </c>
      <c r="I214">
        <v>750</v>
      </c>
      <c r="J214">
        <v>3840</v>
      </c>
      <c r="K214" s="8">
        <v>4590</v>
      </c>
      <c r="L214" s="12">
        <v>34.848950000000002</v>
      </c>
      <c r="M214" s="12">
        <v>54.083300000000001</v>
      </c>
      <c r="N214" s="12">
        <v>13.417286000000001</v>
      </c>
      <c r="O214" s="13">
        <f t="shared" si="42"/>
        <v>4.4243909368801501E-2</v>
      </c>
      <c r="P214" s="6">
        <f t="shared" si="43"/>
        <v>1.3670583648226813</v>
      </c>
      <c r="Q214" s="6">
        <f t="shared" si="44"/>
        <v>-0.61167750381573194</v>
      </c>
      <c r="R214" s="6">
        <f t="shared" si="45"/>
        <v>0.12617739044001361</v>
      </c>
      <c r="S214">
        <f t="shared" si="46"/>
        <v>0</v>
      </c>
      <c r="T214">
        <f t="shared" si="47"/>
        <v>1</v>
      </c>
      <c r="U214">
        <f t="shared" si="48"/>
        <v>0</v>
      </c>
      <c r="V214">
        <f t="shared" si="49"/>
        <v>0</v>
      </c>
      <c r="W214">
        <f t="shared" si="50"/>
        <v>0</v>
      </c>
      <c r="X214">
        <f t="shared" si="51"/>
        <v>0</v>
      </c>
      <c r="Y214">
        <f t="shared" si="52"/>
        <v>0</v>
      </c>
      <c r="Z214">
        <f t="shared" si="53"/>
        <v>1</v>
      </c>
      <c r="AA214">
        <f t="shared" si="54"/>
        <v>0</v>
      </c>
    </row>
    <row r="215" spans="2:27" x14ac:dyDescent="0.3">
      <c r="B215">
        <v>208</v>
      </c>
      <c r="C215" s="1">
        <v>40751</v>
      </c>
      <c r="D215">
        <v>3</v>
      </c>
      <c r="E215">
        <v>0</v>
      </c>
      <c r="F215">
        <v>7</v>
      </c>
      <c r="G215">
        <v>3</v>
      </c>
      <c r="H215">
        <v>1</v>
      </c>
      <c r="I215">
        <v>755</v>
      </c>
      <c r="J215">
        <v>3901</v>
      </c>
      <c r="K215" s="8">
        <v>4656</v>
      </c>
      <c r="L215" s="12">
        <v>34.533349999999999</v>
      </c>
      <c r="M215" s="12">
        <v>40.291699999999999</v>
      </c>
      <c r="N215" s="12">
        <v>12.292021</v>
      </c>
      <c r="O215" s="13">
        <f t="shared" si="42"/>
        <v>7.8336826770012163E-2</v>
      </c>
      <c r="P215" s="6">
        <f t="shared" si="43"/>
        <v>1.3282986929139937</v>
      </c>
      <c r="Q215" s="6">
        <f t="shared" si="44"/>
        <v>-1.580653895552468</v>
      </c>
      <c r="R215" s="6">
        <f t="shared" si="45"/>
        <v>-9.0686625822560887E-2</v>
      </c>
      <c r="S215">
        <f t="shared" si="46"/>
        <v>0</v>
      </c>
      <c r="T215">
        <f t="shared" si="47"/>
        <v>0</v>
      </c>
      <c r="U215">
        <f t="shared" si="48"/>
        <v>1</v>
      </c>
      <c r="V215">
        <f t="shared" si="49"/>
        <v>0</v>
      </c>
      <c r="W215">
        <f t="shared" si="50"/>
        <v>0</v>
      </c>
      <c r="X215">
        <f t="shared" si="51"/>
        <v>0</v>
      </c>
      <c r="Y215">
        <f t="shared" si="52"/>
        <v>0</v>
      </c>
      <c r="Z215">
        <f t="shared" si="53"/>
        <v>1</v>
      </c>
      <c r="AA215">
        <f t="shared" si="54"/>
        <v>0</v>
      </c>
    </row>
    <row r="216" spans="2:27" x14ac:dyDescent="0.3">
      <c r="B216">
        <v>209</v>
      </c>
      <c r="C216" s="1">
        <v>40752</v>
      </c>
      <c r="D216">
        <v>3</v>
      </c>
      <c r="E216">
        <v>0</v>
      </c>
      <c r="F216">
        <v>7</v>
      </c>
      <c r="G216">
        <v>4</v>
      </c>
      <c r="H216">
        <v>1</v>
      </c>
      <c r="I216">
        <v>606</v>
      </c>
      <c r="J216">
        <v>3784</v>
      </c>
      <c r="K216" s="8">
        <v>4390</v>
      </c>
      <c r="L216" s="12">
        <v>36.994999999999997</v>
      </c>
      <c r="M216" s="12">
        <v>58.333300000000001</v>
      </c>
      <c r="N216" s="12">
        <v>11.958093</v>
      </c>
      <c r="O216" s="13">
        <f t="shared" si="42"/>
        <v>-5.9067961543958089E-2</v>
      </c>
      <c r="P216" s="6">
        <f t="shared" si="43"/>
        <v>1.6306204494222938</v>
      </c>
      <c r="Q216" s="6">
        <f t="shared" si="44"/>
        <v>-0.31307910588647592</v>
      </c>
      <c r="R216" s="6">
        <f t="shared" si="45"/>
        <v>-0.15504210406326774</v>
      </c>
      <c r="S216">
        <f t="shared" si="46"/>
        <v>0</v>
      </c>
      <c r="T216">
        <f t="shared" si="47"/>
        <v>0</v>
      </c>
      <c r="U216">
        <f t="shared" si="48"/>
        <v>0</v>
      </c>
      <c r="V216">
        <f t="shared" si="49"/>
        <v>1</v>
      </c>
      <c r="W216">
        <f t="shared" si="50"/>
        <v>0</v>
      </c>
      <c r="X216">
        <f t="shared" si="51"/>
        <v>0</v>
      </c>
      <c r="Y216">
        <f t="shared" si="52"/>
        <v>0</v>
      </c>
      <c r="Z216">
        <f t="shared" si="53"/>
        <v>1</v>
      </c>
      <c r="AA216">
        <f t="shared" si="54"/>
        <v>0</v>
      </c>
    </row>
    <row r="217" spans="2:27" x14ac:dyDescent="0.3">
      <c r="B217">
        <v>210</v>
      </c>
      <c r="C217" s="1">
        <v>40753</v>
      </c>
      <c r="D217">
        <v>3</v>
      </c>
      <c r="E217">
        <v>0</v>
      </c>
      <c r="F217">
        <v>7</v>
      </c>
      <c r="G217">
        <v>5</v>
      </c>
      <c r="H217">
        <v>1</v>
      </c>
      <c r="I217">
        <v>670</v>
      </c>
      <c r="J217">
        <v>3176</v>
      </c>
      <c r="K217" s="8">
        <v>3846</v>
      </c>
      <c r="L217" s="12">
        <v>39.298349999999999</v>
      </c>
      <c r="M217" s="12">
        <v>54.25</v>
      </c>
      <c r="N217" s="12">
        <v>11.667246</v>
      </c>
      <c r="O217" s="13">
        <f t="shared" si="42"/>
        <v>-0.34007625042666417</v>
      </c>
      <c r="P217" s="6">
        <f t="shared" si="43"/>
        <v>1.9135009636519338</v>
      </c>
      <c r="Q217" s="6">
        <f t="shared" si="44"/>
        <v>-0.59996542077224801</v>
      </c>
      <c r="R217" s="6">
        <f t="shared" si="45"/>
        <v>-0.21109489921633909</v>
      </c>
      <c r="S217">
        <f t="shared" si="46"/>
        <v>0</v>
      </c>
      <c r="T217">
        <f t="shared" si="47"/>
        <v>0</v>
      </c>
      <c r="U217">
        <f t="shared" si="48"/>
        <v>0</v>
      </c>
      <c r="V217">
        <f t="shared" si="49"/>
        <v>0</v>
      </c>
      <c r="W217">
        <f t="shared" si="50"/>
        <v>1</v>
      </c>
      <c r="X217">
        <f t="shared" si="51"/>
        <v>0</v>
      </c>
      <c r="Y217">
        <f t="shared" si="52"/>
        <v>0</v>
      </c>
      <c r="Z217">
        <f t="shared" si="53"/>
        <v>1</v>
      </c>
      <c r="AA217">
        <f t="shared" si="54"/>
        <v>0</v>
      </c>
    </row>
    <row r="218" spans="2:27" x14ac:dyDescent="0.3">
      <c r="B218">
        <v>211</v>
      </c>
      <c r="C218" s="1">
        <v>40754</v>
      </c>
      <c r="D218">
        <v>3</v>
      </c>
      <c r="E218">
        <v>0</v>
      </c>
      <c r="F218">
        <v>7</v>
      </c>
      <c r="G218">
        <v>6</v>
      </c>
      <c r="H218">
        <v>1</v>
      </c>
      <c r="I218">
        <v>1559</v>
      </c>
      <c r="J218">
        <v>2916</v>
      </c>
      <c r="K218" s="8">
        <v>4475</v>
      </c>
      <c r="L218" s="12">
        <v>36.426850000000002</v>
      </c>
      <c r="M218" s="12">
        <v>46.583300000000001</v>
      </c>
      <c r="N218" s="12">
        <v>11.291979</v>
      </c>
      <c r="O218" s="13">
        <f t="shared" si="42"/>
        <v>-1.5160416406035262E-2</v>
      </c>
      <c r="P218" s="6">
        <f t="shared" si="43"/>
        <v>1.5608444431012531</v>
      </c>
      <c r="Q218" s="6">
        <f t="shared" si="44"/>
        <v>-1.1386158531026545</v>
      </c>
      <c r="R218" s="6">
        <f t="shared" si="45"/>
        <v>-0.28341733774487032</v>
      </c>
      <c r="S218">
        <f t="shared" si="46"/>
        <v>0</v>
      </c>
      <c r="T218">
        <f t="shared" si="47"/>
        <v>0</v>
      </c>
      <c r="U218">
        <f t="shared" si="48"/>
        <v>0</v>
      </c>
      <c r="V218">
        <f t="shared" si="49"/>
        <v>0</v>
      </c>
      <c r="W218">
        <f t="shared" si="50"/>
        <v>0</v>
      </c>
      <c r="X218">
        <f t="shared" si="51"/>
        <v>0</v>
      </c>
      <c r="Y218">
        <f t="shared" si="52"/>
        <v>0</v>
      </c>
      <c r="Z218">
        <f t="shared" si="53"/>
        <v>1</v>
      </c>
      <c r="AA218">
        <f t="shared" si="54"/>
        <v>0</v>
      </c>
    </row>
    <row r="219" spans="2:27" x14ac:dyDescent="0.3">
      <c r="B219">
        <v>212</v>
      </c>
      <c r="C219" s="1">
        <v>40755</v>
      </c>
      <c r="D219">
        <v>3</v>
      </c>
      <c r="E219">
        <v>0</v>
      </c>
      <c r="F219">
        <v>7</v>
      </c>
      <c r="G219">
        <v>0</v>
      </c>
      <c r="H219">
        <v>1</v>
      </c>
      <c r="I219">
        <v>1524</v>
      </c>
      <c r="J219">
        <v>2778</v>
      </c>
      <c r="K219" s="8">
        <v>4302</v>
      </c>
      <c r="L219" s="12">
        <v>36.489800000000002</v>
      </c>
      <c r="M219" s="12">
        <v>48.083300000000001</v>
      </c>
      <c r="N219" s="12">
        <v>11.042471000000001</v>
      </c>
      <c r="O219" s="13">
        <f t="shared" si="42"/>
        <v>-0.10452518474557231</v>
      </c>
      <c r="P219" s="6">
        <f t="shared" si="43"/>
        <v>1.568575499332723</v>
      </c>
      <c r="Q219" s="6">
        <f t="shared" si="44"/>
        <v>-1.0332281832452699</v>
      </c>
      <c r="R219" s="6">
        <f t="shared" si="45"/>
        <v>-0.3315031726101173</v>
      </c>
      <c r="S219">
        <f t="shared" si="46"/>
        <v>0</v>
      </c>
      <c r="T219">
        <f t="shared" si="47"/>
        <v>0</v>
      </c>
      <c r="U219">
        <f t="shared" si="48"/>
        <v>0</v>
      </c>
      <c r="V219">
        <f t="shared" si="49"/>
        <v>0</v>
      </c>
      <c r="W219">
        <f t="shared" si="50"/>
        <v>0</v>
      </c>
      <c r="X219">
        <f t="shared" si="51"/>
        <v>0</v>
      </c>
      <c r="Y219">
        <f t="shared" si="52"/>
        <v>0</v>
      </c>
      <c r="Z219">
        <f t="shared" si="53"/>
        <v>1</v>
      </c>
      <c r="AA219">
        <f t="shared" si="54"/>
        <v>0</v>
      </c>
    </row>
    <row r="220" spans="2:27" x14ac:dyDescent="0.3">
      <c r="B220">
        <v>213</v>
      </c>
      <c r="C220" s="1">
        <v>40756</v>
      </c>
      <c r="D220">
        <v>3</v>
      </c>
      <c r="E220">
        <v>0</v>
      </c>
      <c r="F220">
        <v>8</v>
      </c>
      <c r="G220">
        <v>1</v>
      </c>
      <c r="H220">
        <v>1</v>
      </c>
      <c r="I220">
        <v>729</v>
      </c>
      <c r="J220">
        <v>3537</v>
      </c>
      <c r="K220" s="8">
        <v>4266</v>
      </c>
      <c r="L220" s="12">
        <v>35.1646</v>
      </c>
      <c r="M220" s="12">
        <v>55.083300000000001</v>
      </c>
      <c r="N220" s="12">
        <v>10.500038999999999</v>
      </c>
      <c r="O220" s="13">
        <f t="shared" si="42"/>
        <v>-0.12312132150986903</v>
      </c>
      <c r="P220" s="6">
        <f t="shared" si="43"/>
        <v>1.4058241773637998</v>
      </c>
      <c r="Q220" s="6">
        <f t="shared" si="44"/>
        <v>-0.5414190572441423</v>
      </c>
      <c r="R220" s="6">
        <f t="shared" si="45"/>
        <v>-0.43604208750513407</v>
      </c>
      <c r="S220">
        <f t="shared" si="46"/>
        <v>1</v>
      </c>
      <c r="T220">
        <f t="shared" si="47"/>
        <v>0</v>
      </c>
      <c r="U220">
        <f t="shared" si="48"/>
        <v>0</v>
      </c>
      <c r="V220">
        <f t="shared" si="49"/>
        <v>0</v>
      </c>
      <c r="W220">
        <f t="shared" si="50"/>
        <v>0</v>
      </c>
      <c r="X220">
        <f t="shared" si="51"/>
        <v>0</v>
      </c>
      <c r="Y220">
        <f t="shared" si="52"/>
        <v>0</v>
      </c>
      <c r="Z220">
        <f t="shared" si="53"/>
        <v>1</v>
      </c>
      <c r="AA220">
        <f t="shared" si="54"/>
        <v>0</v>
      </c>
    </row>
    <row r="221" spans="2:27" x14ac:dyDescent="0.3">
      <c r="B221">
        <v>214</v>
      </c>
      <c r="C221" s="1">
        <v>40757</v>
      </c>
      <c r="D221">
        <v>3</v>
      </c>
      <c r="E221">
        <v>0</v>
      </c>
      <c r="F221">
        <v>8</v>
      </c>
      <c r="G221">
        <v>2</v>
      </c>
      <c r="H221">
        <v>1</v>
      </c>
      <c r="I221">
        <v>801</v>
      </c>
      <c r="J221">
        <v>4044</v>
      </c>
      <c r="K221" s="8">
        <v>4845</v>
      </c>
      <c r="L221" s="12">
        <v>35.353549999999998</v>
      </c>
      <c r="M221" s="12">
        <v>49.125</v>
      </c>
      <c r="N221" s="12">
        <v>13.79195</v>
      </c>
      <c r="O221" s="13">
        <f t="shared" si="42"/>
        <v>0.17596654478256998</v>
      </c>
      <c r="P221" s="6">
        <f t="shared" si="43"/>
        <v>1.429029627323072</v>
      </c>
      <c r="Q221" s="6">
        <f t="shared" si="44"/>
        <v>-0.96003995945164511</v>
      </c>
      <c r="R221" s="6">
        <f t="shared" si="45"/>
        <v>0.19838361723014836</v>
      </c>
      <c r="S221">
        <f t="shared" si="46"/>
        <v>0</v>
      </c>
      <c r="T221">
        <f t="shared" si="47"/>
        <v>1</v>
      </c>
      <c r="U221">
        <f t="shared" si="48"/>
        <v>0</v>
      </c>
      <c r="V221">
        <f t="shared" si="49"/>
        <v>0</v>
      </c>
      <c r="W221">
        <f t="shared" si="50"/>
        <v>0</v>
      </c>
      <c r="X221">
        <f t="shared" si="51"/>
        <v>0</v>
      </c>
      <c r="Y221">
        <f t="shared" si="52"/>
        <v>0</v>
      </c>
      <c r="Z221">
        <f t="shared" si="53"/>
        <v>1</v>
      </c>
      <c r="AA221">
        <f t="shared" si="54"/>
        <v>0</v>
      </c>
    </row>
    <row r="222" spans="2:27" x14ac:dyDescent="0.3">
      <c r="B222">
        <v>215</v>
      </c>
      <c r="C222" s="1">
        <v>40758</v>
      </c>
      <c r="D222">
        <v>3</v>
      </c>
      <c r="E222">
        <v>0</v>
      </c>
      <c r="F222">
        <v>8</v>
      </c>
      <c r="G222">
        <v>3</v>
      </c>
      <c r="H222">
        <v>2</v>
      </c>
      <c r="I222">
        <v>467</v>
      </c>
      <c r="J222">
        <v>3107</v>
      </c>
      <c r="K222" s="8">
        <v>3574</v>
      </c>
      <c r="L222" s="12">
        <v>33.996850000000002</v>
      </c>
      <c r="M222" s="12">
        <v>65.75</v>
      </c>
      <c r="N222" s="12">
        <v>9.0840610000000002</v>
      </c>
      <c r="O222" s="13">
        <f t="shared" si="42"/>
        <v>-0.48058039486801718</v>
      </c>
      <c r="P222" s="6">
        <f t="shared" si="43"/>
        <v>1.2624097069221989</v>
      </c>
      <c r="Q222" s="6">
        <f t="shared" si="44"/>
        <v>0.20800671480103303</v>
      </c>
      <c r="R222" s="6">
        <f t="shared" si="45"/>
        <v>-0.70893307409002504</v>
      </c>
      <c r="S222">
        <f t="shared" si="46"/>
        <v>0</v>
      </c>
      <c r="T222">
        <f t="shared" si="47"/>
        <v>0</v>
      </c>
      <c r="U222">
        <f t="shared" si="48"/>
        <v>1</v>
      </c>
      <c r="V222">
        <f t="shared" si="49"/>
        <v>0</v>
      </c>
      <c r="W222">
        <f t="shared" si="50"/>
        <v>0</v>
      </c>
      <c r="X222">
        <f t="shared" si="51"/>
        <v>0</v>
      </c>
      <c r="Y222">
        <f t="shared" si="52"/>
        <v>0</v>
      </c>
      <c r="Z222">
        <f t="shared" si="53"/>
        <v>1</v>
      </c>
      <c r="AA222">
        <f t="shared" si="54"/>
        <v>0</v>
      </c>
    </row>
    <row r="223" spans="2:27" x14ac:dyDescent="0.3">
      <c r="B223">
        <v>216</v>
      </c>
      <c r="C223" s="1">
        <v>40759</v>
      </c>
      <c r="D223">
        <v>3</v>
      </c>
      <c r="E223">
        <v>0</v>
      </c>
      <c r="F223">
        <v>8</v>
      </c>
      <c r="G223">
        <v>4</v>
      </c>
      <c r="H223">
        <v>2</v>
      </c>
      <c r="I223">
        <v>799</v>
      </c>
      <c r="J223">
        <v>3777</v>
      </c>
      <c r="K223" s="8">
        <v>4576</v>
      </c>
      <c r="L223" s="12">
        <v>33.239400000000003</v>
      </c>
      <c r="M223" s="12">
        <v>75.75</v>
      </c>
      <c r="N223" s="12">
        <v>13.20905</v>
      </c>
      <c r="O223" s="13">
        <f t="shared" si="42"/>
        <v>3.7012078404908326E-2</v>
      </c>
      <c r="P223" s="6">
        <f t="shared" si="43"/>
        <v>1.1693852662148638</v>
      </c>
      <c r="Q223" s="6">
        <f t="shared" si="44"/>
        <v>0.91059118051692967</v>
      </c>
      <c r="R223" s="6">
        <f t="shared" si="45"/>
        <v>8.6045603447213057E-2</v>
      </c>
      <c r="S223">
        <f t="shared" si="46"/>
        <v>0</v>
      </c>
      <c r="T223">
        <f t="shared" si="47"/>
        <v>0</v>
      </c>
      <c r="U223">
        <f t="shared" si="48"/>
        <v>0</v>
      </c>
      <c r="V223">
        <f t="shared" si="49"/>
        <v>1</v>
      </c>
      <c r="W223">
        <f t="shared" si="50"/>
        <v>0</v>
      </c>
      <c r="X223">
        <f t="shared" si="51"/>
        <v>0</v>
      </c>
      <c r="Y223">
        <f t="shared" si="52"/>
        <v>0</v>
      </c>
      <c r="Z223">
        <f t="shared" si="53"/>
        <v>1</v>
      </c>
      <c r="AA223">
        <f t="shared" si="54"/>
        <v>0</v>
      </c>
    </row>
    <row r="224" spans="2:27" x14ac:dyDescent="0.3">
      <c r="B224">
        <v>217</v>
      </c>
      <c r="C224" s="1">
        <v>40760</v>
      </c>
      <c r="D224">
        <v>3</v>
      </c>
      <c r="E224">
        <v>0</v>
      </c>
      <c r="F224">
        <v>8</v>
      </c>
      <c r="G224">
        <v>5</v>
      </c>
      <c r="H224">
        <v>1</v>
      </c>
      <c r="I224">
        <v>1023</v>
      </c>
      <c r="J224">
        <v>3843</v>
      </c>
      <c r="K224" s="8">
        <v>4866</v>
      </c>
      <c r="L224" s="12">
        <v>32.82835</v>
      </c>
      <c r="M224" s="12">
        <v>63.083300000000001</v>
      </c>
      <c r="N224" s="12">
        <v>12.374632</v>
      </c>
      <c r="O224" s="13">
        <f t="shared" si="42"/>
        <v>0.18681429122840973</v>
      </c>
      <c r="P224" s="6">
        <f t="shared" si="43"/>
        <v>1.1189031269941225</v>
      </c>
      <c r="Q224" s="6">
        <f t="shared" si="44"/>
        <v>2.0648515328574975E-2</v>
      </c>
      <c r="R224" s="6">
        <f t="shared" si="45"/>
        <v>-7.4765617662289729E-2</v>
      </c>
      <c r="S224">
        <f t="shared" si="46"/>
        <v>0</v>
      </c>
      <c r="T224">
        <f t="shared" si="47"/>
        <v>0</v>
      </c>
      <c r="U224">
        <f t="shared" si="48"/>
        <v>0</v>
      </c>
      <c r="V224">
        <f t="shared" si="49"/>
        <v>0</v>
      </c>
      <c r="W224">
        <f t="shared" si="50"/>
        <v>1</v>
      </c>
      <c r="X224">
        <f t="shared" si="51"/>
        <v>0</v>
      </c>
      <c r="Y224">
        <f t="shared" si="52"/>
        <v>0</v>
      </c>
      <c r="Z224">
        <f t="shared" si="53"/>
        <v>1</v>
      </c>
      <c r="AA224">
        <f t="shared" si="54"/>
        <v>0</v>
      </c>
    </row>
    <row r="225" spans="2:27" x14ac:dyDescent="0.3">
      <c r="B225">
        <v>218</v>
      </c>
      <c r="C225" s="1">
        <v>40761</v>
      </c>
      <c r="D225">
        <v>3</v>
      </c>
      <c r="E225">
        <v>0</v>
      </c>
      <c r="F225">
        <v>8</v>
      </c>
      <c r="G225">
        <v>6</v>
      </c>
      <c r="H225">
        <v>2</v>
      </c>
      <c r="I225">
        <v>1521</v>
      </c>
      <c r="J225">
        <v>2773</v>
      </c>
      <c r="K225" s="8">
        <v>4294</v>
      </c>
      <c r="L225" s="12">
        <v>33.807699999999997</v>
      </c>
      <c r="M225" s="12">
        <v>75.5</v>
      </c>
      <c r="N225" s="12">
        <v>15.29275</v>
      </c>
      <c r="O225" s="13">
        <f t="shared" si="42"/>
        <v>-0.10865765958208269</v>
      </c>
      <c r="P225" s="6">
        <f t="shared" si="43"/>
        <v>1.239179694433199</v>
      </c>
      <c r="Q225" s="6">
        <f t="shared" si="44"/>
        <v>0.8930265688740322</v>
      </c>
      <c r="R225" s="6">
        <f t="shared" si="45"/>
        <v>0.48762172168276319</v>
      </c>
      <c r="S225">
        <f t="shared" si="46"/>
        <v>0</v>
      </c>
      <c r="T225">
        <f t="shared" si="47"/>
        <v>0</v>
      </c>
      <c r="U225">
        <f t="shared" si="48"/>
        <v>0</v>
      </c>
      <c r="V225">
        <f t="shared" si="49"/>
        <v>0</v>
      </c>
      <c r="W225">
        <f t="shared" si="50"/>
        <v>0</v>
      </c>
      <c r="X225">
        <f t="shared" si="51"/>
        <v>0</v>
      </c>
      <c r="Y225">
        <f t="shared" si="52"/>
        <v>0</v>
      </c>
      <c r="Z225">
        <f t="shared" si="53"/>
        <v>1</v>
      </c>
      <c r="AA225">
        <f t="shared" si="54"/>
        <v>0</v>
      </c>
    </row>
    <row r="226" spans="2:27" x14ac:dyDescent="0.3">
      <c r="B226">
        <v>219</v>
      </c>
      <c r="C226" s="1">
        <v>40762</v>
      </c>
      <c r="D226">
        <v>3</v>
      </c>
      <c r="E226">
        <v>0</v>
      </c>
      <c r="F226">
        <v>8</v>
      </c>
      <c r="G226">
        <v>0</v>
      </c>
      <c r="H226">
        <v>1</v>
      </c>
      <c r="I226">
        <v>1298</v>
      </c>
      <c r="J226">
        <v>2487</v>
      </c>
      <c r="K226" s="8">
        <v>3785</v>
      </c>
      <c r="L226" s="12">
        <v>35.764600000000002</v>
      </c>
      <c r="M226" s="12">
        <v>75.291700000000006</v>
      </c>
      <c r="N226" s="12">
        <v>13.499629000000001</v>
      </c>
      <c r="O226" s="13">
        <f t="shared" si="42"/>
        <v>-0.37158637105505582</v>
      </c>
      <c r="P226" s="6">
        <f t="shared" si="43"/>
        <v>1.4795117665438133</v>
      </c>
      <c r="Q226" s="6">
        <f t="shared" si="44"/>
        <v>0.87839173445317054</v>
      </c>
      <c r="R226" s="6">
        <f t="shared" si="45"/>
        <v>0.14204674893877534</v>
      </c>
      <c r="S226">
        <f t="shared" si="46"/>
        <v>0</v>
      </c>
      <c r="T226">
        <f t="shared" si="47"/>
        <v>0</v>
      </c>
      <c r="U226">
        <f t="shared" si="48"/>
        <v>0</v>
      </c>
      <c r="V226">
        <f t="shared" si="49"/>
        <v>0</v>
      </c>
      <c r="W226">
        <f t="shared" si="50"/>
        <v>0</v>
      </c>
      <c r="X226">
        <f t="shared" si="51"/>
        <v>0</v>
      </c>
      <c r="Y226">
        <f t="shared" si="52"/>
        <v>0</v>
      </c>
      <c r="Z226">
        <f t="shared" si="53"/>
        <v>1</v>
      </c>
      <c r="AA226">
        <f t="shared" si="54"/>
        <v>0</v>
      </c>
    </row>
    <row r="227" spans="2:27" x14ac:dyDescent="0.3">
      <c r="B227">
        <v>220</v>
      </c>
      <c r="C227" s="1">
        <v>40763</v>
      </c>
      <c r="D227">
        <v>3</v>
      </c>
      <c r="E227">
        <v>0</v>
      </c>
      <c r="F227">
        <v>8</v>
      </c>
      <c r="G227">
        <v>1</v>
      </c>
      <c r="H227">
        <v>1</v>
      </c>
      <c r="I227">
        <v>846</v>
      </c>
      <c r="J227">
        <v>3480</v>
      </c>
      <c r="K227" s="8">
        <v>4326</v>
      </c>
      <c r="L227" s="12">
        <v>35.164149999999999</v>
      </c>
      <c r="M227" s="12">
        <v>59.208300000000001</v>
      </c>
      <c r="N227" s="12">
        <v>12.875724999999999</v>
      </c>
      <c r="O227" s="13">
        <f t="shared" si="42"/>
        <v>-9.2127760236041148E-2</v>
      </c>
      <c r="P227" s="6">
        <f t="shared" si="43"/>
        <v>1.4057689116719148</v>
      </c>
      <c r="Q227" s="6">
        <f t="shared" si="44"/>
        <v>-0.25160296513633496</v>
      </c>
      <c r="R227" s="6">
        <f t="shared" si="45"/>
        <v>2.1806336944902343E-2</v>
      </c>
      <c r="S227">
        <f t="shared" si="46"/>
        <v>1</v>
      </c>
      <c r="T227">
        <f t="shared" si="47"/>
        <v>0</v>
      </c>
      <c r="U227">
        <f t="shared" si="48"/>
        <v>0</v>
      </c>
      <c r="V227">
        <f t="shared" si="49"/>
        <v>0</v>
      </c>
      <c r="W227">
        <f t="shared" si="50"/>
        <v>0</v>
      </c>
      <c r="X227">
        <f t="shared" si="51"/>
        <v>0</v>
      </c>
      <c r="Y227">
        <f t="shared" si="52"/>
        <v>0</v>
      </c>
      <c r="Z227">
        <f t="shared" si="53"/>
        <v>1</v>
      </c>
      <c r="AA227">
        <f t="shared" si="54"/>
        <v>0</v>
      </c>
    </row>
    <row r="228" spans="2:27" x14ac:dyDescent="0.3">
      <c r="B228">
        <v>221</v>
      </c>
      <c r="C228" s="1">
        <v>40764</v>
      </c>
      <c r="D228">
        <v>3</v>
      </c>
      <c r="E228">
        <v>0</v>
      </c>
      <c r="F228">
        <v>8</v>
      </c>
      <c r="G228">
        <v>2</v>
      </c>
      <c r="H228">
        <v>1</v>
      </c>
      <c r="I228">
        <v>907</v>
      </c>
      <c r="J228">
        <v>3695</v>
      </c>
      <c r="K228" s="8">
        <v>4602</v>
      </c>
      <c r="L228" s="12">
        <v>36.206049999999998</v>
      </c>
      <c r="M228" s="12">
        <v>57.041699999999999</v>
      </c>
      <c r="N228" s="12">
        <v>10.125107</v>
      </c>
      <c r="O228" s="13">
        <f t="shared" si="42"/>
        <v>5.0442621623567073E-2</v>
      </c>
      <c r="P228" s="6">
        <f t="shared" si="43"/>
        <v>1.5337274102830079</v>
      </c>
      <c r="Q228" s="6">
        <f t="shared" si="44"/>
        <v>-0.40382491547834132</v>
      </c>
      <c r="R228" s="6">
        <f t="shared" si="45"/>
        <v>-0.50829996395677823</v>
      </c>
      <c r="S228">
        <f t="shared" si="46"/>
        <v>0</v>
      </c>
      <c r="T228">
        <f t="shared" si="47"/>
        <v>1</v>
      </c>
      <c r="U228">
        <f t="shared" si="48"/>
        <v>0</v>
      </c>
      <c r="V228">
        <f t="shared" si="49"/>
        <v>0</v>
      </c>
      <c r="W228">
        <f t="shared" si="50"/>
        <v>0</v>
      </c>
      <c r="X228">
        <f t="shared" si="51"/>
        <v>0</v>
      </c>
      <c r="Y228">
        <f t="shared" si="52"/>
        <v>0</v>
      </c>
      <c r="Z228">
        <f t="shared" si="53"/>
        <v>1</v>
      </c>
      <c r="AA228">
        <f t="shared" si="54"/>
        <v>0</v>
      </c>
    </row>
    <row r="229" spans="2:27" x14ac:dyDescent="0.3">
      <c r="B229">
        <v>222</v>
      </c>
      <c r="C229" s="1">
        <v>40765</v>
      </c>
      <c r="D229">
        <v>3</v>
      </c>
      <c r="E229">
        <v>0</v>
      </c>
      <c r="F229">
        <v>8</v>
      </c>
      <c r="G229">
        <v>3</v>
      </c>
      <c r="H229">
        <v>1</v>
      </c>
      <c r="I229">
        <v>884</v>
      </c>
      <c r="J229">
        <v>3896</v>
      </c>
      <c r="K229" s="8">
        <v>4780</v>
      </c>
      <c r="L229" s="12">
        <v>34.24915</v>
      </c>
      <c r="M229" s="12">
        <v>42.416699999999999</v>
      </c>
      <c r="N229" s="12">
        <v>13.417286000000001</v>
      </c>
      <c r="O229" s="13">
        <f t="shared" si="42"/>
        <v>0.1423901867359231</v>
      </c>
      <c r="P229" s="6">
        <f t="shared" si="43"/>
        <v>1.2933953381723944</v>
      </c>
      <c r="Q229" s="6">
        <f t="shared" si="44"/>
        <v>-1.4313546965878401</v>
      </c>
      <c r="R229" s="6">
        <f t="shared" si="45"/>
        <v>0.12617739044001361</v>
      </c>
      <c r="S229">
        <f t="shared" si="46"/>
        <v>0</v>
      </c>
      <c r="T229">
        <f t="shared" si="47"/>
        <v>0</v>
      </c>
      <c r="U229">
        <f t="shared" si="48"/>
        <v>1</v>
      </c>
      <c r="V229">
        <f t="shared" si="49"/>
        <v>0</v>
      </c>
      <c r="W229">
        <f t="shared" si="50"/>
        <v>0</v>
      </c>
      <c r="X229">
        <f t="shared" si="51"/>
        <v>0</v>
      </c>
      <c r="Y229">
        <f t="shared" si="52"/>
        <v>0</v>
      </c>
      <c r="Z229">
        <f t="shared" si="53"/>
        <v>1</v>
      </c>
      <c r="AA229">
        <f t="shared" si="54"/>
        <v>0</v>
      </c>
    </row>
    <row r="230" spans="2:27" x14ac:dyDescent="0.3">
      <c r="B230">
        <v>223</v>
      </c>
      <c r="C230" s="1">
        <v>40766</v>
      </c>
      <c r="D230">
        <v>3</v>
      </c>
      <c r="E230">
        <v>0</v>
      </c>
      <c r="F230">
        <v>8</v>
      </c>
      <c r="G230">
        <v>4</v>
      </c>
      <c r="H230">
        <v>1</v>
      </c>
      <c r="I230">
        <v>812</v>
      </c>
      <c r="J230">
        <v>3980</v>
      </c>
      <c r="K230" s="8">
        <v>4792</v>
      </c>
      <c r="L230" s="12">
        <v>32.576050000000002</v>
      </c>
      <c r="M230" s="12">
        <v>42.375</v>
      </c>
      <c r="N230" s="12">
        <v>11.041332000000001</v>
      </c>
      <c r="O230" s="13">
        <f t="shared" si="42"/>
        <v>0.14858889899068869</v>
      </c>
      <c r="P230" s="6">
        <f t="shared" si="43"/>
        <v>1.087917495743927</v>
      </c>
      <c r="Q230" s="6">
        <f t="shared" si="44"/>
        <v>-1.4342844738098752</v>
      </c>
      <c r="R230" s="6">
        <f t="shared" si="45"/>
        <v>-0.33172268367153224</v>
      </c>
      <c r="S230">
        <f t="shared" si="46"/>
        <v>0</v>
      </c>
      <c r="T230">
        <f t="shared" si="47"/>
        <v>0</v>
      </c>
      <c r="U230">
        <f t="shared" si="48"/>
        <v>0</v>
      </c>
      <c r="V230">
        <f t="shared" si="49"/>
        <v>1</v>
      </c>
      <c r="W230">
        <f t="shared" si="50"/>
        <v>0</v>
      </c>
      <c r="X230">
        <f t="shared" si="51"/>
        <v>0</v>
      </c>
      <c r="Y230">
        <f t="shared" si="52"/>
        <v>0</v>
      </c>
      <c r="Z230">
        <f t="shared" si="53"/>
        <v>1</v>
      </c>
      <c r="AA230">
        <f t="shared" si="54"/>
        <v>0</v>
      </c>
    </row>
    <row r="231" spans="2:27" x14ac:dyDescent="0.3">
      <c r="B231">
        <v>224</v>
      </c>
      <c r="C231" s="1">
        <v>40767</v>
      </c>
      <c r="D231">
        <v>3</v>
      </c>
      <c r="E231">
        <v>0</v>
      </c>
      <c r="F231">
        <v>8</v>
      </c>
      <c r="G231">
        <v>5</v>
      </c>
      <c r="H231">
        <v>1</v>
      </c>
      <c r="I231">
        <v>1051</v>
      </c>
      <c r="J231">
        <v>3854</v>
      </c>
      <c r="K231" s="8">
        <v>4905</v>
      </c>
      <c r="L231" s="12">
        <v>32.702100000000002</v>
      </c>
      <c r="M231" s="12">
        <v>41.5</v>
      </c>
      <c r="N231" s="12">
        <v>8.4166070000000008</v>
      </c>
      <c r="O231" s="13">
        <f t="shared" si="42"/>
        <v>0.20696010605639784</v>
      </c>
      <c r="P231" s="6">
        <f t="shared" si="43"/>
        <v>1.1033980301041615</v>
      </c>
      <c r="Q231" s="6">
        <f t="shared" si="44"/>
        <v>-1.4957606145600162</v>
      </c>
      <c r="R231" s="6">
        <f t="shared" si="45"/>
        <v>-0.83756655607917441</v>
      </c>
      <c r="S231">
        <f t="shared" si="46"/>
        <v>0</v>
      </c>
      <c r="T231">
        <f t="shared" si="47"/>
        <v>0</v>
      </c>
      <c r="U231">
        <f t="shared" si="48"/>
        <v>0</v>
      </c>
      <c r="V231">
        <f t="shared" si="49"/>
        <v>0</v>
      </c>
      <c r="W231">
        <f t="shared" si="50"/>
        <v>1</v>
      </c>
      <c r="X231">
        <f t="shared" si="51"/>
        <v>0</v>
      </c>
      <c r="Y231">
        <f t="shared" si="52"/>
        <v>0</v>
      </c>
      <c r="Z231">
        <f t="shared" si="53"/>
        <v>1</v>
      </c>
      <c r="AA231">
        <f t="shared" si="54"/>
        <v>0</v>
      </c>
    </row>
    <row r="232" spans="2:27" x14ac:dyDescent="0.3">
      <c r="B232">
        <v>225</v>
      </c>
      <c r="C232" s="1">
        <v>40768</v>
      </c>
      <c r="D232">
        <v>3</v>
      </c>
      <c r="E232">
        <v>0</v>
      </c>
      <c r="F232">
        <v>8</v>
      </c>
      <c r="G232">
        <v>6</v>
      </c>
      <c r="H232">
        <v>2</v>
      </c>
      <c r="I232">
        <v>1504</v>
      </c>
      <c r="J232">
        <v>2646</v>
      </c>
      <c r="K232" s="8">
        <v>4150</v>
      </c>
      <c r="L232" s="12">
        <v>32.292900000000003</v>
      </c>
      <c r="M232" s="12">
        <v>72.958299999999994</v>
      </c>
      <c r="N232" s="12">
        <v>14.167418</v>
      </c>
      <c r="O232" s="13">
        <f t="shared" si="42"/>
        <v>-0.18304220663926959</v>
      </c>
      <c r="P232" s="6">
        <f t="shared" si="43"/>
        <v>1.0531430942833926</v>
      </c>
      <c r="Q232" s="6">
        <f t="shared" si="44"/>
        <v>0.71445067522302241</v>
      </c>
      <c r="R232" s="6">
        <f t="shared" si="45"/>
        <v>0.27074479300481141</v>
      </c>
      <c r="S232">
        <f t="shared" si="46"/>
        <v>0</v>
      </c>
      <c r="T232">
        <f t="shared" si="47"/>
        <v>0</v>
      </c>
      <c r="U232">
        <f t="shared" si="48"/>
        <v>0</v>
      </c>
      <c r="V232">
        <f t="shared" si="49"/>
        <v>0</v>
      </c>
      <c r="W232">
        <f t="shared" si="50"/>
        <v>0</v>
      </c>
      <c r="X232">
        <f t="shared" si="51"/>
        <v>0</v>
      </c>
      <c r="Y232">
        <f t="shared" si="52"/>
        <v>0</v>
      </c>
      <c r="Z232">
        <f t="shared" si="53"/>
        <v>1</v>
      </c>
      <c r="AA232">
        <f t="shared" si="54"/>
        <v>0</v>
      </c>
    </row>
    <row r="233" spans="2:27" x14ac:dyDescent="0.3">
      <c r="B233">
        <v>226</v>
      </c>
      <c r="C233" s="1">
        <v>40769</v>
      </c>
      <c r="D233">
        <v>3</v>
      </c>
      <c r="E233">
        <v>0</v>
      </c>
      <c r="F233">
        <v>8</v>
      </c>
      <c r="G233">
        <v>0</v>
      </c>
      <c r="H233">
        <v>2</v>
      </c>
      <c r="I233">
        <v>1338</v>
      </c>
      <c r="J233">
        <v>2482</v>
      </c>
      <c r="K233" s="8">
        <v>3820</v>
      </c>
      <c r="L233" s="12">
        <v>31.2194</v>
      </c>
      <c r="M233" s="12">
        <v>81.75</v>
      </c>
      <c r="N233" s="12">
        <v>14.916411</v>
      </c>
      <c r="O233" s="13">
        <f t="shared" si="42"/>
        <v>-0.35350679364532289</v>
      </c>
      <c r="P233" s="6">
        <f t="shared" si="43"/>
        <v>0.92130371597548477</v>
      </c>
      <c r="Q233" s="6">
        <f t="shared" si="44"/>
        <v>1.3321418599464676</v>
      </c>
      <c r="R233" s="6">
        <f t="shared" si="45"/>
        <v>0.41509268450819459</v>
      </c>
      <c r="S233">
        <f t="shared" si="46"/>
        <v>0</v>
      </c>
      <c r="T233">
        <f t="shared" si="47"/>
        <v>0</v>
      </c>
      <c r="U233">
        <f t="shared" si="48"/>
        <v>0</v>
      </c>
      <c r="V233">
        <f t="shared" si="49"/>
        <v>0</v>
      </c>
      <c r="W233">
        <f t="shared" si="50"/>
        <v>0</v>
      </c>
      <c r="X233">
        <f t="shared" si="51"/>
        <v>0</v>
      </c>
      <c r="Y233">
        <f t="shared" si="52"/>
        <v>0</v>
      </c>
      <c r="Z233">
        <f t="shared" si="53"/>
        <v>1</v>
      </c>
      <c r="AA233">
        <f t="shared" si="54"/>
        <v>0</v>
      </c>
    </row>
    <row r="234" spans="2:27" x14ac:dyDescent="0.3">
      <c r="B234">
        <v>227</v>
      </c>
      <c r="C234" s="1">
        <v>40770</v>
      </c>
      <c r="D234">
        <v>3</v>
      </c>
      <c r="E234">
        <v>0</v>
      </c>
      <c r="F234">
        <v>8</v>
      </c>
      <c r="G234">
        <v>1</v>
      </c>
      <c r="H234">
        <v>1</v>
      </c>
      <c r="I234">
        <v>775</v>
      </c>
      <c r="J234">
        <v>3563</v>
      </c>
      <c r="K234" s="8">
        <v>4338</v>
      </c>
      <c r="L234" s="12">
        <v>30.808350000000001</v>
      </c>
      <c r="M234" s="12">
        <v>71.208299999999994</v>
      </c>
      <c r="N234" s="12">
        <v>13.999917999999999</v>
      </c>
      <c r="O234" s="13">
        <f t="shared" si="42"/>
        <v>-8.5929047981275583E-2</v>
      </c>
      <c r="P234" s="6">
        <f t="shared" si="43"/>
        <v>0.87082157675474403</v>
      </c>
      <c r="Q234" s="6">
        <f t="shared" si="44"/>
        <v>0.59149839372274049</v>
      </c>
      <c r="R234" s="6">
        <f t="shared" si="45"/>
        <v>0.23846375456143912</v>
      </c>
      <c r="S234">
        <f t="shared" si="46"/>
        <v>1</v>
      </c>
      <c r="T234">
        <f t="shared" si="47"/>
        <v>0</v>
      </c>
      <c r="U234">
        <f t="shared" si="48"/>
        <v>0</v>
      </c>
      <c r="V234">
        <f t="shared" si="49"/>
        <v>0</v>
      </c>
      <c r="W234">
        <f t="shared" si="50"/>
        <v>0</v>
      </c>
      <c r="X234">
        <f t="shared" si="51"/>
        <v>0</v>
      </c>
      <c r="Y234">
        <f t="shared" si="52"/>
        <v>0</v>
      </c>
      <c r="Z234">
        <f t="shared" si="53"/>
        <v>1</v>
      </c>
      <c r="AA234">
        <f t="shared" si="54"/>
        <v>0</v>
      </c>
    </row>
    <row r="235" spans="2:27" x14ac:dyDescent="0.3">
      <c r="B235">
        <v>228</v>
      </c>
      <c r="C235" s="1">
        <v>40771</v>
      </c>
      <c r="D235">
        <v>3</v>
      </c>
      <c r="E235">
        <v>0</v>
      </c>
      <c r="F235">
        <v>8</v>
      </c>
      <c r="G235">
        <v>2</v>
      </c>
      <c r="H235">
        <v>1</v>
      </c>
      <c r="I235">
        <v>721</v>
      </c>
      <c r="J235">
        <v>4004</v>
      </c>
      <c r="K235" s="8">
        <v>4725</v>
      </c>
      <c r="L235" s="12">
        <v>32.291849999999997</v>
      </c>
      <c r="M235" s="12">
        <v>57.833300000000001</v>
      </c>
      <c r="N235" s="12">
        <v>15.834042999999999</v>
      </c>
      <c r="O235" s="13">
        <f t="shared" si="42"/>
        <v>0.11397942223491422</v>
      </c>
      <c r="P235" s="6">
        <f t="shared" si="43"/>
        <v>1.0530141410023266</v>
      </c>
      <c r="Q235" s="6">
        <f t="shared" si="44"/>
        <v>-0.34820832917227074</v>
      </c>
      <c r="R235" s="6">
        <f t="shared" si="45"/>
        <v>0.59194112551636469</v>
      </c>
      <c r="S235">
        <f t="shared" si="46"/>
        <v>0</v>
      </c>
      <c r="T235">
        <f t="shared" si="47"/>
        <v>1</v>
      </c>
      <c r="U235">
        <f t="shared" si="48"/>
        <v>0</v>
      </c>
      <c r="V235">
        <f t="shared" si="49"/>
        <v>0</v>
      </c>
      <c r="W235">
        <f t="shared" si="50"/>
        <v>0</v>
      </c>
      <c r="X235">
        <f t="shared" si="51"/>
        <v>0</v>
      </c>
      <c r="Y235">
        <f t="shared" si="52"/>
        <v>0</v>
      </c>
      <c r="Z235">
        <f t="shared" si="53"/>
        <v>1</v>
      </c>
      <c r="AA235">
        <f t="shared" si="54"/>
        <v>0</v>
      </c>
    </row>
    <row r="236" spans="2:27" x14ac:dyDescent="0.3">
      <c r="B236">
        <v>229</v>
      </c>
      <c r="C236" s="1">
        <v>40772</v>
      </c>
      <c r="D236">
        <v>3</v>
      </c>
      <c r="E236">
        <v>0</v>
      </c>
      <c r="F236">
        <v>8</v>
      </c>
      <c r="G236">
        <v>3</v>
      </c>
      <c r="H236">
        <v>1</v>
      </c>
      <c r="I236">
        <v>668</v>
      </c>
      <c r="J236">
        <v>4026</v>
      </c>
      <c r="K236" s="8">
        <v>4694</v>
      </c>
      <c r="L236" s="12">
        <v>33.333550000000002</v>
      </c>
      <c r="M236" s="12">
        <v>57.541699999999999</v>
      </c>
      <c r="N236" s="12">
        <v>9.6256889999999995</v>
      </c>
      <c r="O236" s="13">
        <f t="shared" si="42"/>
        <v>9.7966082243436489E-2</v>
      </c>
      <c r="P236" s="6">
        <f t="shared" si="43"/>
        <v>1.180948077083694</v>
      </c>
      <c r="Q236" s="6">
        <f t="shared" si="44"/>
        <v>-0.36869569219254644</v>
      </c>
      <c r="R236" s="6">
        <f t="shared" si="45"/>
        <v>-0.60454910817953689</v>
      </c>
      <c r="S236">
        <f t="shared" si="46"/>
        <v>0</v>
      </c>
      <c r="T236">
        <f t="shared" si="47"/>
        <v>0</v>
      </c>
      <c r="U236">
        <f t="shared" si="48"/>
        <v>1</v>
      </c>
      <c r="V236">
        <f t="shared" si="49"/>
        <v>0</v>
      </c>
      <c r="W236">
        <f t="shared" si="50"/>
        <v>0</v>
      </c>
      <c r="X236">
        <f t="shared" si="51"/>
        <v>0</v>
      </c>
      <c r="Y236">
        <f t="shared" si="52"/>
        <v>0</v>
      </c>
      <c r="Z236">
        <f t="shared" si="53"/>
        <v>1</v>
      </c>
      <c r="AA236">
        <f t="shared" si="54"/>
        <v>0</v>
      </c>
    </row>
    <row r="237" spans="2:27" x14ac:dyDescent="0.3">
      <c r="B237">
        <v>230</v>
      </c>
      <c r="C237" s="1">
        <v>40773</v>
      </c>
      <c r="D237">
        <v>3</v>
      </c>
      <c r="E237">
        <v>0</v>
      </c>
      <c r="F237">
        <v>8</v>
      </c>
      <c r="G237">
        <v>4</v>
      </c>
      <c r="H237">
        <v>1</v>
      </c>
      <c r="I237">
        <v>639</v>
      </c>
      <c r="J237">
        <v>3166</v>
      </c>
      <c r="K237" s="8">
        <v>3805</v>
      </c>
      <c r="L237" s="12">
        <v>33.112900000000003</v>
      </c>
      <c r="M237" s="12">
        <v>65.458299999999994</v>
      </c>
      <c r="N237" s="12">
        <v>15.624936</v>
      </c>
      <c r="O237" s="13">
        <f t="shared" si="42"/>
        <v>-0.36125518396377987</v>
      </c>
      <c r="P237" s="6">
        <f t="shared" si="43"/>
        <v>1.1538494661627443</v>
      </c>
      <c r="Q237" s="6">
        <f t="shared" si="44"/>
        <v>0.18751232593609993</v>
      </c>
      <c r="R237" s="6">
        <f t="shared" si="45"/>
        <v>0.55164147712365896</v>
      </c>
      <c r="S237">
        <f t="shared" si="46"/>
        <v>0</v>
      </c>
      <c r="T237">
        <f t="shared" si="47"/>
        <v>0</v>
      </c>
      <c r="U237">
        <f t="shared" si="48"/>
        <v>0</v>
      </c>
      <c r="V237">
        <f t="shared" si="49"/>
        <v>1</v>
      </c>
      <c r="W237">
        <f t="shared" si="50"/>
        <v>0</v>
      </c>
      <c r="X237">
        <f t="shared" si="51"/>
        <v>0</v>
      </c>
      <c r="Y237">
        <f t="shared" si="52"/>
        <v>0</v>
      </c>
      <c r="Z237">
        <f t="shared" si="53"/>
        <v>1</v>
      </c>
      <c r="AA237">
        <f t="shared" si="54"/>
        <v>0</v>
      </c>
    </row>
    <row r="238" spans="2:27" x14ac:dyDescent="0.3">
      <c r="B238">
        <v>231</v>
      </c>
      <c r="C238" s="1">
        <v>40774</v>
      </c>
      <c r="D238">
        <v>3</v>
      </c>
      <c r="E238">
        <v>0</v>
      </c>
      <c r="F238">
        <v>8</v>
      </c>
      <c r="G238">
        <v>5</v>
      </c>
      <c r="H238">
        <v>2</v>
      </c>
      <c r="I238">
        <v>797</v>
      </c>
      <c r="J238">
        <v>3356</v>
      </c>
      <c r="K238" s="8">
        <v>4153</v>
      </c>
      <c r="L238" s="12">
        <v>31.661049999999999</v>
      </c>
      <c r="M238" s="12">
        <v>72.291700000000006</v>
      </c>
      <c r="N238" s="12">
        <v>9.3336360000000003</v>
      </c>
      <c r="O238" s="13">
        <f t="shared" si="42"/>
        <v>-0.18149252857557821</v>
      </c>
      <c r="P238" s="6">
        <f t="shared" si="43"/>
        <v>0.97554392224440623</v>
      </c>
      <c r="Q238" s="6">
        <f t="shared" si="44"/>
        <v>0.66761639473840151</v>
      </c>
      <c r="R238" s="6">
        <f t="shared" si="45"/>
        <v>-0.66083432680940046</v>
      </c>
      <c r="S238">
        <f t="shared" si="46"/>
        <v>0</v>
      </c>
      <c r="T238">
        <f t="shared" si="47"/>
        <v>0</v>
      </c>
      <c r="U238">
        <f t="shared" si="48"/>
        <v>0</v>
      </c>
      <c r="V238">
        <f t="shared" si="49"/>
        <v>0</v>
      </c>
      <c r="W238">
        <f t="shared" si="50"/>
        <v>1</v>
      </c>
      <c r="X238">
        <f t="shared" si="51"/>
        <v>0</v>
      </c>
      <c r="Y238">
        <f t="shared" si="52"/>
        <v>0</v>
      </c>
      <c r="Z238">
        <f t="shared" si="53"/>
        <v>1</v>
      </c>
      <c r="AA238">
        <f t="shared" si="54"/>
        <v>0</v>
      </c>
    </row>
    <row r="239" spans="2:27" x14ac:dyDescent="0.3">
      <c r="B239">
        <v>232</v>
      </c>
      <c r="C239" s="1">
        <v>40775</v>
      </c>
      <c r="D239">
        <v>3</v>
      </c>
      <c r="E239">
        <v>0</v>
      </c>
      <c r="F239">
        <v>8</v>
      </c>
      <c r="G239">
        <v>6</v>
      </c>
      <c r="H239">
        <v>1</v>
      </c>
      <c r="I239">
        <v>1914</v>
      </c>
      <c r="J239">
        <v>3277</v>
      </c>
      <c r="K239" s="8">
        <v>5191</v>
      </c>
      <c r="L239" s="12">
        <v>32.449800000000003</v>
      </c>
      <c r="M239" s="12">
        <v>67.416700000000006</v>
      </c>
      <c r="N239" s="12">
        <v>6.9992890000000001</v>
      </c>
      <c r="O239" s="13">
        <f t="shared" si="42"/>
        <v>0.35469608146164405</v>
      </c>
      <c r="P239" s="6">
        <f t="shared" si="43"/>
        <v>1.072412398853966</v>
      </c>
      <c r="Q239" s="6">
        <f t="shared" si="44"/>
        <v>0.32510646770190194</v>
      </c>
      <c r="R239" s="6">
        <f t="shared" si="45"/>
        <v>-1.1107157909716128</v>
      </c>
      <c r="S239">
        <f t="shared" si="46"/>
        <v>0</v>
      </c>
      <c r="T239">
        <f t="shared" si="47"/>
        <v>0</v>
      </c>
      <c r="U239">
        <f t="shared" si="48"/>
        <v>0</v>
      </c>
      <c r="V239">
        <f t="shared" si="49"/>
        <v>0</v>
      </c>
      <c r="W239">
        <f t="shared" si="50"/>
        <v>0</v>
      </c>
      <c r="X239">
        <f t="shared" si="51"/>
        <v>0</v>
      </c>
      <c r="Y239">
        <f t="shared" si="52"/>
        <v>0</v>
      </c>
      <c r="Z239">
        <f t="shared" si="53"/>
        <v>1</v>
      </c>
      <c r="AA239">
        <f t="shared" si="54"/>
        <v>0</v>
      </c>
    </row>
    <row r="240" spans="2:27" x14ac:dyDescent="0.3">
      <c r="B240">
        <v>233</v>
      </c>
      <c r="C240" s="1">
        <v>40776</v>
      </c>
      <c r="D240">
        <v>3</v>
      </c>
      <c r="E240">
        <v>0</v>
      </c>
      <c r="F240">
        <v>8</v>
      </c>
      <c r="G240">
        <v>0</v>
      </c>
      <c r="H240">
        <v>1</v>
      </c>
      <c r="I240">
        <v>1249</v>
      </c>
      <c r="J240">
        <v>2624</v>
      </c>
      <c r="K240" s="8">
        <v>3873</v>
      </c>
      <c r="L240" s="12">
        <v>33.776249999999997</v>
      </c>
      <c r="M240" s="12">
        <v>77</v>
      </c>
      <c r="N240" s="12">
        <v>16.666518</v>
      </c>
      <c r="O240" s="13">
        <f t="shared" si="42"/>
        <v>-0.3261291478534416</v>
      </c>
      <c r="P240" s="6">
        <f t="shared" si="43"/>
        <v>1.23531723663368</v>
      </c>
      <c r="Q240" s="6">
        <f t="shared" si="44"/>
        <v>0.99841423873141666</v>
      </c>
      <c r="R240" s="6">
        <f t="shared" si="45"/>
        <v>0.75237788657992455</v>
      </c>
      <c r="S240">
        <f t="shared" si="46"/>
        <v>0</v>
      </c>
      <c r="T240">
        <f t="shared" si="47"/>
        <v>0</v>
      </c>
      <c r="U240">
        <f t="shared" si="48"/>
        <v>0</v>
      </c>
      <c r="V240">
        <f t="shared" si="49"/>
        <v>0</v>
      </c>
      <c r="W240">
        <f t="shared" si="50"/>
        <v>0</v>
      </c>
      <c r="X240">
        <f t="shared" si="51"/>
        <v>0</v>
      </c>
      <c r="Y240">
        <f t="shared" si="52"/>
        <v>0</v>
      </c>
      <c r="Z240">
        <f t="shared" si="53"/>
        <v>1</v>
      </c>
      <c r="AA240">
        <f t="shared" si="54"/>
        <v>0</v>
      </c>
    </row>
    <row r="241" spans="2:27" x14ac:dyDescent="0.3">
      <c r="B241">
        <v>234</v>
      </c>
      <c r="C241" s="1">
        <v>40777</v>
      </c>
      <c r="D241">
        <v>3</v>
      </c>
      <c r="E241">
        <v>0</v>
      </c>
      <c r="F241">
        <v>8</v>
      </c>
      <c r="G241">
        <v>1</v>
      </c>
      <c r="H241">
        <v>1</v>
      </c>
      <c r="I241">
        <v>833</v>
      </c>
      <c r="J241">
        <v>3925</v>
      </c>
      <c r="K241" s="8">
        <v>4758</v>
      </c>
      <c r="L241" s="12">
        <v>31.912700000000001</v>
      </c>
      <c r="M241" s="12">
        <v>47</v>
      </c>
      <c r="N241" s="12">
        <v>18.542249999999999</v>
      </c>
      <c r="O241" s="13">
        <f t="shared" si="42"/>
        <v>0.13102588093551956</v>
      </c>
      <c r="P241" s="6">
        <f t="shared" si="43"/>
        <v>1.0064497252729905</v>
      </c>
      <c r="Q241" s="6">
        <f t="shared" si="44"/>
        <v>-1.1093391584162731</v>
      </c>
      <c r="R241" s="6">
        <f t="shared" si="45"/>
        <v>1.1138738674841835</v>
      </c>
      <c r="S241">
        <f t="shared" si="46"/>
        <v>1</v>
      </c>
      <c r="T241">
        <f t="shared" si="47"/>
        <v>0</v>
      </c>
      <c r="U241">
        <f t="shared" si="48"/>
        <v>0</v>
      </c>
      <c r="V241">
        <f t="shared" si="49"/>
        <v>0</v>
      </c>
      <c r="W241">
        <f t="shared" si="50"/>
        <v>0</v>
      </c>
      <c r="X241">
        <f t="shared" si="51"/>
        <v>0</v>
      </c>
      <c r="Y241">
        <f t="shared" si="52"/>
        <v>0</v>
      </c>
      <c r="Z241">
        <f t="shared" si="53"/>
        <v>1</v>
      </c>
      <c r="AA241">
        <f t="shared" si="54"/>
        <v>0</v>
      </c>
    </row>
    <row r="242" spans="2:27" x14ac:dyDescent="0.3">
      <c r="B242">
        <v>235</v>
      </c>
      <c r="C242" s="1">
        <v>40778</v>
      </c>
      <c r="D242">
        <v>3</v>
      </c>
      <c r="E242">
        <v>0</v>
      </c>
      <c r="F242">
        <v>8</v>
      </c>
      <c r="G242">
        <v>2</v>
      </c>
      <c r="H242">
        <v>1</v>
      </c>
      <c r="I242">
        <v>1281</v>
      </c>
      <c r="J242">
        <v>4614</v>
      </c>
      <c r="K242" s="8">
        <v>5895</v>
      </c>
      <c r="L242" s="12">
        <v>30.303349999999998</v>
      </c>
      <c r="M242" s="12">
        <v>45.541699999999999</v>
      </c>
      <c r="N242" s="12">
        <v>9.8331210000000002</v>
      </c>
      <c r="O242" s="13">
        <f t="shared" si="42"/>
        <v>0.71835386707455784</v>
      </c>
      <c r="P242" s="6">
        <f t="shared" si="43"/>
        <v>0.80880118919489907</v>
      </c>
      <c r="Q242" s="6">
        <f t="shared" si="44"/>
        <v>-1.2117970510516225</v>
      </c>
      <c r="R242" s="6">
        <f t="shared" si="45"/>
        <v>-0.56457227017126466</v>
      </c>
      <c r="S242">
        <f t="shared" si="46"/>
        <v>0</v>
      </c>
      <c r="T242">
        <f t="shared" si="47"/>
        <v>1</v>
      </c>
      <c r="U242">
        <f t="shared" si="48"/>
        <v>0</v>
      </c>
      <c r="V242">
        <f t="shared" si="49"/>
        <v>0</v>
      </c>
      <c r="W242">
        <f t="shared" si="50"/>
        <v>0</v>
      </c>
      <c r="X242">
        <f t="shared" si="51"/>
        <v>0</v>
      </c>
      <c r="Y242">
        <f t="shared" si="52"/>
        <v>0</v>
      </c>
      <c r="Z242">
        <f t="shared" si="53"/>
        <v>1</v>
      </c>
      <c r="AA242">
        <f t="shared" si="54"/>
        <v>0</v>
      </c>
    </row>
    <row r="243" spans="2:27" x14ac:dyDescent="0.3">
      <c r="B243">
        <v>236</v>
      </c>
      <c r="C243" s="1">
        <v>40779</v>
      </c>
      <c r="D243">
        <v>3</v>
      </c>
      <c r="E243">
        <v>0</v>
      </c>
      <c r="F243">
        <v>8</v>
      </c>
      <c r="G243">
        <v>3</v>
      </c>
      <c r="H243">
        <v>1</v>
      </c>
      <c r="I243">
        <v>949</v>
      </c>
      <c r="J243">
        <v>4181</v>
      </c>
      <c r="K243" s="8">
        <v>5130</v>
      </c>
      <c r="L243" s="12">
        <v>31.534600000000001</v>
      </c>
      <c r="M243" s="12">
        <v>60.5</v>
      </c>
      <c r="N243" s="12">
        <v>16.958235999999999</v>
      </c>
      <c r="O243" s="13">
        <f t="shared" si="42"/>
        <v>0.32318596083325241</v>
      </c>
      <c r="P243" s="6">
        <f t="shared" si="43"/>
        <v>0.96001426282471858</v>
      </c>
      <c r="Q243" s="6">
        <f t="shared" si="44"/>
        <v>-0.16085012969981269</v>
      </c>
      <c r="R243" s="6">
        <f t="shared" si="45"/>
        <v>0.80859854313290147</v>
      </c>
      <c r="S243">
        <f t="shared" si="46"/>
        <v>0</v>
      </c>
      <c r="T243">
        <f t="shared" si="47"/>
        <v>0</v>
      </c>
      <c r="U243">
        <f t="shared" si="48"/>
        <v>1</v>
      </c>
      <c r="V243">
        <f t="shared" si="49"/>
        <v>0</v>
      </c>
      <c r="W243">
        <f t="shared" si="50"/>
        <v>0</v>
      </c>
      <c r="X243">
        <f t="shared" si="51"/>
        <v>0</v>
      </c>
      <c r="Y243">
        <f t="shared" si="52"/>
        <v>0</v>
      </c>
      <c r="Z243">
        <f t="shared" si="53"/>
        <v>1</v>
      </c>
      <c r="AA243">
        <f t="shared" si="54"/>
        <v>0</v>
      </c>
    </row>
    <row r="244" spans="2:27" x14ac:dyDescent="0.3">
      <c r="B244">
        <v>237</v>
      </c>
      <c r="C244" s="1">
        <v>40780</v>
      </c>
      <c r="D244">
        <v>3</v>
      </c>
      <c r="E244">
        <v>0</v>
      </c>
      <c r="F244">
        <v>8</v>
      </c>
      <c r="G244">
        <v>4</v>
      </c>
      <c r="H244">
        <v>2</v>
      </c>
      <c r="I244">
        <v>435</v>
      </c>
      <c r="J244">
        <v>3107</v>
      </c>
      <c r="K244" s="8">
        <v>3542</v>
      </c>
      <c r="L244" s="12">
        <v>32.292700000000004</v>
      </c>
      <c r="M244" s="12">
        <v>77.166700000000006</v>
      </c>
      <c r="N244" s="12">
        <v>14.125811000000001</v>
      </c>
      <c r="O244" s="13">
        <f t="shared" si="42"/>
        <v>-0.49711029421405872</v>
      </c>
      <c r="P244" s="6">
        <f t="shared" si="43"/>
        <v>1.053118531753666</v>
      </c>
      <c r="Q244" s="6">
        <f t="shared" si="44"/>
        <v>1.010126321774901</v>
      </c>
      <c r="R244" s="6">
        <f t="shared" si="45"/>
        <v>0.26272618305547796</v>
      </c>
      <c r="S244">
        <f t="shared" si="46"/>
        <v>0</v>
      </c>
      <c r="T244">
        <f t="shared" si="47"/>
        <v>0</v>
      </c>
      <c r="U244">
        <f t="shared" si="48"/>
        <v>0</v>
      </c>
      <c r="V244">
        <f t="shared" si="49"/>
        <v>1</v>
      </c>
      <c r="W244">
        <f t="shared" si="50"/>
        <v>0</v>
      </c>
      <c r="X244">
        <f t="shared" si="51"/>
        <v>0</v>
      </c>
      <c r="Y244">
        <f t="shared" si="52"/>
        <v>0</v>
      </c>
      <c r="Z244">
        <f t="shared" si="53"/>
        <v>1</v>
      </c>
      <c r="AA244">
        <f t="shared" si="54"/>
        <v>0</v>
      </c>
    </row>
    <row r="245" spans="2:27" x14ac:dyDescent="0.3">
      <c r="B245">
        <v>238</v>
      </c>
      <c r="C245" s="1">
        <v>40781</v>
      </c>
      <c r="D245">
        <v>3</v>
      </c>
      <c r="E245">
        <v>0</v>
      </c>
      <c r="F245">
        <v>8</v>
      </c>
      <c r="G245">
        <v>5</v>
      </c>
      <c r="H245">
        <v>1</v>
      </c>
      <c r="I245">
        <v>768</v>
      </c>
      <c r="J245">
        <v>3893</v>
      </c>
      <c r="K245" s="8">
        <v>4661</v>
      </c>
      <c r="L245" s="12">
        <v>32.986649999999997</v>
      </c>
      <c r="M245" s="12">
        <v>76.125</v>
      </c>
      <c r="N245" s="12">
        <v>5.6254875000000002</v>
      </c>
      <c r="O245" s="13">
        <f t="shared" si="42"/>
        <v>8.0919623542831151E-2</v>
      </c>
      <c r="P245" s="6">
        <f t="shared" si="43"/>
        <v>1.1383443692727824</v>
      </c>
      <c r="Q245" s="6">
        <f t="shared" si="44"/>
        <v>0.93693809798127581</v>
      </c>
      <c r="R245" s="6">
        <f t="shared" si="45"/>
        <v>-1.3754784120764627</v>
      </c>
      <c r="S245">
        <f t="shared" si="46"/>
        <v>0</v>
      </c>
      <c r="T245">
        <f t="shared" si="47"/>
        <v>0</v>
      </c>
      <c r="U245">
        <f t="shared" si="48"/>
        <v>0</v>
      </c>
      <c r="V245">
        <f t="shared" si="49"/>
        <v>0</v>
      </c>
      <c r="W245">
        <f t="shared" si="50"/>
        <v>1</v>
      </c>
      <c r="X245">
        <f t="shared" si="51"/>
        <v>0</v>
      </c>
      <c r="Y245">
        <f t="shared" si="52"/>
        <v>0</v>
      </c>
      <c r="Z245">
        <f t="shared" si="53"/>
        <v>1</v>
      </c>
      <c r="AA245">
        <f t="shared" si="54"/>
        <v>0</v>
      </c>
    </row>
    <row r="246" spans="2:27" x14ac:dyDescent="0.3">
      <c r="B246">
        <v>239</v>
      </c>
      <c r="C246" s="1">
        <v>40782</v>
      </c>
      <c r="D246">
        <v>3</v>
      </c>
      <c r="E246">
        <v>0</v>
      </c>
      <c r="F246">
        <v>8</v>
      </c>
      <c r="G246">
        <v>6</v>
      </c>
      <c r="H246">
        <v>2</v>
      </c>
      <c r="I246">
        <v>226</v>
      </c>
      <c r="J246">
        <v>889</v>
      </c>
      <c r="K246" s="8">
        <v>1115</v>
      </c>
      <c r="L246" s="12">
        <v>31.777799999999999</v>
      </c>
      <c r="M246" s="12">
        <v>85</v>
      </c>
      <c r="N246" s="12">
        <v>25.166339000000001</v>
      </c>
      <c r="O246" s="13">
        <f t="shared" si="42"/>
        <v>-1.7507998477403963</v>
      </c>
      <c r="P246" s="6">
        <f t="shared" si="43"/>
        <v>0.98988229897235047</v>
      </c>
      <c r="Q246" s="6">
        <f t="shared" si="44"/>
        <v>1.5604818113041341</v>
      </c>
      <c r="R246" s="6">
        <f t="shared" si="45"/>
        <v>2.3904856385965352</v>
      </c>
      <c r="S246">
        <f t="shared" si="46"/>
        <v>0</v>
      </c>
      <c r="T246">
        <f t="shared" si="47"/>
        <v>0</v>
      </c>
      <c r="U246">
        <f t="shared" si="48"/>
        <v>0</v>
      </c>
      <c r="V246">
        <f t="shared" si="49"/>
        <v>0</v>
      </c>
      <c r="W246">
        <f t="shared" si="50"/>
        <v>0</v>
      </c>
      <c r="X246">
        <f t="shared" si="51"/>
        <v>0</v>
      </c>
      <c r="Y246">
        <f t="shared" si="52"/>
        <v>0</v>
      </c>
      <c r="Z246">
        <f t="shared" si="53"/>
        <v>1</v>
      </c>
      <c r="AA246">
        <f t="shared" si="54"/>
        <v>0</v>
      </c>
    </row>
    <row r="247" spans="2:27" x14ac:dyDescent="0.3">
      <c r="B247">
        <v>240</v>
      </c>
      <c r="C247" s="1">
        <v>40783</v>
      </c>
      <c r="D247">
        <v>3</v>
      </c>
      <c r="E247">
        <v>0</v>
      </c>
      <c r="F247">
        <v>8</v>
      </c>
      <c r="G247">
        <v>0</v>
      </c>
      <c r="H247">
        <v>1</v>
      </c>
      <c r="I247">
        <v>1415</v>
      </c>
      <c r="J247">
        <v>2919</v>
      </c>
      <c r="K247" s="8">
        <v>4334</v>
      </c>
      <c r="L247" s="12">
        <v>32.397950000000002</v>
      </c>
      <c r="M247" s="12">
        <v>56.176499999999997</v>
      </c>
      <c r="N247" s="12">
        <v>20.412153</v>
      </c>
      <c r="O247" s="13">
        <f t="shared" si="42"/>
        <v>-8.7995285399530776E-2</v>
      </c>
      <c r="P247" s="6">
        <f t="shared" si="43"/>
        <v>1.0660445630223263</v>
      </c>
      <c r="Q247" s="6">
        <f t="shared" si="44"/>
        <v>-0.46461252345208076</v>
      </c>
      <c r="R247" s="6">
        <f t="shared" si="45"/>
        <v>1.4742464682506133</v>
      </c>
      <c r="S247">
        <f t="shared" si="46"/>
        <v>0</v>
      </c>
      <c r="T247">
        <f t="shared" si="47"/>
        <v>0</v>
      </c>
      <c r="U247">
        <f t="shared" si="48"/>
        <v>0</v>
      </c>
      <c r="V247">
        <f t="shared" si="49"/>
        <v>0</v>
      </c>
      <c r="W247">
        <f t="shared" si="50"/>
        <v>0</v>
      </c>
      <c r="X247">
        <f t="shared" si="51"/>
        <v>0</v>
      </c>
      <c r="Y247">
        <f t="shared" si="52"/>
        <v>0</v>
      </c>
      <c r="Z247">
        <f t="shared" si="53"/>
        <v>1</v>
      </c>
      <c r="AA247">
        <f t="shared" si="54"/>
        <v>0</v>
      </c>
    </row>
    <row r="248" spans="2:27" x14ac:dyDescent="0.3">
      <c r="B248">
        <v>241</v>
      </c>
      <c r="C248" s="1">
        <v>40784</v>
      </c>
      <c r="D248">
        <v>3</v>
      </c>
      <c r="E248">
        <v>0</v>
      </c>
      <c r="F248">
        <v>8</v>
      </c>
      <c r="G248">
        <v>1</v>
      </c>
      <c r="H248">
        <v>1</v>
      </c>
      <c r="I248">
        <v>729</v>
      </c>
      <c r="J248">
        <v>3905</v>
      </c>
      <c r="K248" s="8">
        <v>4634</v>
      </c>
      <c r="L248" s="12">
        <v>30.3979</v>
      </c>
      <c r="M248" s="12">
        <v>55.458300000000001</v>
      </c>
      <c r="N248" s="12">
        <v>10.708275</v>
      </c>
      <c r="O248" s="13">
        <f t="shared" si="42"/>
        <v>6.6972520969608609E-2</v>
      </c>
      <c r="P248" s="6">
        <f t="shared" si="43"/>
        <v>0.82041312512318298</v>
      </c>
      <c r="Q248" s="6">
        <f t="shared" si="44"/>
        <v>-0.51507213977979616</v>
      </c>
      <c r="R248" s="6">
        <f t="shared" si="45"/>
        <v>-0.39591030051233356</v>
      </c>
      <c r="S248">
        <f t="shared" si="46"/>
        <v>1</v>
      </c>
      <c r="T248">
        <f t="shared" si="47"/>
        <v>0</v>
      </c>
      <c r="U248">
        <f t="shared" si="48"/>
        <v>0</v>
      </c>
      <c r="V248">
        <f t="shared" si="49"/>
        <v>0</v>
      </c>
      <c r="W248">
        <f t="shared" si="50"/>
        <v>0</v>
      </c>
      <c r="X248">
        <f t="shared" si="51"/>
        <v>0</v>
      </c>
      <c r="Y248">
        <f t="shared" si="52"/>
        <v>0</v>
      </c>
      <c r="Z248">
        <f t="shared" si="53"/>
        <v>1</v>
      </c>
      <c r="AA248">
        <f t="shared" si="54"/>
        <v>0</v>
      </c>
    </row>
    <row r="249" spans="2:27" x14ac:dyDescent="0.3">
      <c r="B249">
        <v>242</v>
      </c>
      <c r="C249" s="1">
        <v>40785</v>
      </c>
      <c r="D249">
        <v>3</v>
      </c>
      <c r="E249">
        <v>0</v>
      </c>
      <c r="F249">
        <v>8</v>
      </c>
      <c r="G249">
        <v>2</v>
      </c>
      <c r="H249">
        <v>1</v>
      </c>
      <c r="I249">
        <v>775</v>
      </c>
      <c r="J249">
        <v>4429</v>
      </c>
      <c r="K249" s="8">
        <v>5204</v>
      </c>
      <c r="L249" s="12">
        <v>29.735199999999999</v>
      </c>
      <c r="M249" s="12">
        <v>54.833300000000001</v>
      </c>
      <c r="N249" s="12">
        <v>8.3755360000000003</v>
      </c>
      <c r="O249" s="13">
        <f t="shared" si="42"/>
        <v>0.36141135307097344</v>
      </c>
      <c r="P249" s="6">
        <f t="shared" si="43"/>
        <v>0.7390251828738581</v>
      </c>
      <c r="Q249" s="6">
        <f t="shared" si="44"/>
        <v>-0.55898366888703976</v>
      </c>
      <c r="R249" s="6">
        <f t="shared" si="45"/>
        <v>-0.84548186670548942</v>
      </c>
      <c r="S249">
        <f t="shared" si="46"/>
        <v>0</v>
      </c>
      <c r="T249">
        <f t="shared" si="47"/>
        <v>1</v>
      </c>
      <c r="U249">
        <f t="shared" si="48"/>
        <v>0</v>
      </c>
      <c r="V249">
        <f t="shared" si="49"/>
        <v>0</v>
      </c>
      <c r="W249">
        <f t="shared" si="50"/>
        <v>0</v>
      </c>
      <c r="X249">
        <f t="shared" si="51"/>
        <v>0</v>
      </c>
      <c r="Y249">
        <f t="shared" si="52"/>
        <v>0</v>
      </c>
      <c r="Z249">
        <f t="shared" si="53"/>
        <v>1</v>
      </c>
      <c r="AA249">
        <f t="shared" si="54"/>
        <v>0</v>
      </c>
    </row>
    <row r="250" spans="2:27" x14ac:dyDescent="0.3">
      <c r="B250">
        <v>243</v>
      </c>
      <c r="C250" s="1">
        <v>40786</v>
      </c>
      <c r="D250">
        <v>3</v>
      </c>
      <c r="E250">
        <v>0</v>
      </c>
      <c r="F250">
        <v>8</v>
      </c>
      <c r="G250">
        <v>3</v>
      </c>
      <c r="H250">
        <v>1</v>
      </c>
      <c r="I250">
        <v>688</v>
      </c>
      <c r="J250">
        <v>4370</v>
      </c>
      <c r="K250" s="8">
        <v>5058</v>
      </c>
      <c r="L250" s="12">
        <v>30.556049999999999</v>
      </c>
      <c r="M250" s="12">
        <v>59.791699999999999</v>
      </c>
      <c r="N250" s="12">
        <v>5.5833310999999997</v>
      </c>
      <c r="O250" s="13">
        <f t="shared" si="42"/>
        <v>0.28599368730465891</v>
      </c>
      <c r="P250" s="6">
        <f t="shared" si="43"/>
        <v>0.8398359455045481</v>
      </c>
      <c r="Q250" s="6">
        <f t="shared" si="44"/>
        <v>-0.21061418740646973</v>
      </c>
      <c r="R250" s="6">
        <f t="shared" si="45"/>
        <v>-1.3836029038318907</v>
      </c>
      <c r="S250">
        <f t="shared" si="46"/>
        <v>0</v>
      </c>
      <c r="T250">
        <f t="shared" si="47"/>
        <v>0</v>
      </c>
      <c r="U250">
        <f t="shared" si="48"/>
        <v>1</v>
      </c>
      <c r="V250">
        <f t="shared" si="49"/>
        <v>0</v>
      </c>
      <c r="W250">
        <f t="shared" si="50"/>
        <v>0</v>
      </c>
      <c r="X250">
        <f t="shared" si="51"/>
        <v>0</v>
      </c>
      <c r="Y250">
        <f t="shared" si="52"/>
        <v>0</v>
      </c>
      <c r="Z250">
        <f t="shared" si="53"/>
        <v>1</v>
      </c>
      <c r="AA250">
        <f t="shared" si="54"/>
        <v>0</v>
      </c>
    </row>
    <row r="251" spans="2:27" x14ac:dyDescent="0.3">
      <c r="B251">
        <v>244</v>
      </c>
      <c r="C251" s="1">
        <v>40787</v>
      </c>
      <c r="D251">
        <v>3</v>
      </c>
      <c r="E251">
        <v>0</v>
      </c>
      <c r="F251">
        <v>9</v>
      </c>
      <c r="G251">
        <v>4</v>
      </c>
      <c r="H251">
        <v>1</v>
      </c>
      <c r="I251">
        <v>783</v>
      </c>
      <c r="J251">
        <v>4332</v>
      </c>
      <c r="K251" s="8">
        <v>5115</v>
      </c>
      <c r="L251" s="12">
        <v>30.74605</v>
      </c>
      <c r="M251" s="12">
        <v>63.916699999999999</v>
      </c>
      <c r="N251" s="12">
        <v>9.5003320000000002</v>
      </c>
      <c r="O251" s="13">
        <f t="shared" si="42"/>
        <v>0.31543757051479543</v>
      </c>
      <c r="P251" s="6">
        <f t="shared" si="43"/>
        <v>0.86317034874488585</v>
      </c>
      <c r="Q251" s="6">
        <f t="shared" si="44"/>
        <v>7.9201904701337617E-2</v>
      </c>
      <c r="R251" s="6">
        <f t="shared" si="45"/>
        <v>-0.62870823735055648</v>
      </c>
      <c r="S251">
        <f t="shared" si="46"/>
        <v>0</v>
      </c>
      <c r="T251">
        <f t="shared" si="47"/>
        <v>0</v>
      </c>
      <c r="U251">
        <f t="shared" si="48"/>
        <v>0</v>
      </c>
      <c r="V251">
        <f t="shared" si="49"/>
        <v>1</v>
      </c>
      <c r="W251">
        <f t="shared" si="50"/>
        <v>0</v>
      </c>
      <c r="X251">
        <f t="shared" si="51"/>
        <v>0</v>
      </c>
      <c r="Y251">
        <f t="shared" si="52"/>
        <v>0</v>
      </c>
      <c r="Z251">
        <f t="shared" si="53"/>
        <v>1</v>
      </c>
      <c r="AA251">
        <f t="shared" si="54"/>
        <v>0</v>
      </c>
    </row>
    <row r="252" spans="2:27" x14ac:dyDescent="0.3">
      <c r="B252">
        <v>245</v>
      </c>
      <c r="C252" s="1">
        <v>40788</v>
      </c>
      <c r="D252">
        <v>3</v>
      </c>
      <c r="E252">
        <v>0</v>
      </c>
      <c r="F252">
        <v>9</v>
      </c>
      <c r="G252">
        <v>5</v>
      </c>
      <c r="H252">
        <v>2</v>
      </c>
      <c r="I252">
        <v>875</v>
      </c>
      <c r="J252">
        <v>3852</v>
      </c>
      <c r="K252" s="8">
        <v>4727</v>
      </c>
      <c r="L252" s="12">
        <v>30.240400000000001</v>
      </c>
      <c r="M252" s="12">
        <v>72.708299999999994</v>
      </c>
      <c r="N252" s="12">
        <v>9.3752429999999993</v>
      </c>
      <c r="O252" s="13">
        <f t="shared" si="42"/>
        <v>0.11501254094404181</v>
      </c>
      <c r="P252" s="6">
        <f t="shared" si="43"/>
        <v>0.80107013296342966</v>
      </c>
      <c r="Q252" s="6">
        <f t="shared" si="44"/>
        <v>0.69688606358012495</v>
      </c>
      <c r="R252" s="6">
        <f t="shared" si="45"/>
        <v>-0.65281571686006701</v>
      </c>
      <c r="S252">
        <f t="shared" si="46"/>
        <v>0</v>
      </c>
      <c r="T252">
        <f t="shared" si="47"/>
        <v>0</v>
      </c>
      <c r="U252">
        <f t="shared" si="48"/>
        <v>0</v>
      </c>
      <c r="V252">
        <f t="shared" si="49"/>
        <v>0</v>
      </c>
      <c r="W252">
        <f t="shared" si="50"/>
        <v>1</v>
      </c>
      <c r="X252">
        <f t="shared" si="51"/>
        <v>0</v>
      </c>
      <c r="Y252">
        <f t="shared" si="52"/>
        <v>0</v>
      </c>
      <c r="Z252">
        <f t="shared" si="53"/>
        <v>1</v>
      </c>
      <c r="AA252">
        <f t="shared" si="54"/>
        <v>0</v>
      </c>
    </row>
    <row r="253" spans="2:27" x14ac:dyDescent="0.3">
      <c r="B253">
        <v>246</v>
      </c>
      <c r="C253" s="1">
        <v>40789</v>
      </c>
      <c r="D253">
        <v>3</v>
      </c>
      <c r="E253">
        <v>0</v>
      </c>
      <c r="F253">
        <v>9</v>
      </c>
      <c r="G253">
        <v>6</v>
      </c>
      <c r="H253">
        <v>1</v>
      </c>
      <c r="I253">
        <v>1935</v>
      </c>
      <c r="J253">
        <v>2549</v>
      </c>
      <c r="K253" s="8">
        <v>4484</v>
      </c>
      <c r="L253" s="12">
        <v>31.66065</v>
      </c>
      <c r="M253" s="12">
        <v>71.666700000000006</v>
      </c>
      <c r="N253" s="12">
        <v>12.416774999999999</v>
      </c>
      <c r="O253" s="13">
        <f t="shared" si="42"/>
        <v>-1.0511382214961082E-2</v>
      </c>
      <c r="P253" s="6">
        <f t="shared" si="43"/>
        <v>0.97549479718495302</v>
      </c>
      <c r="Q253" s="6">
        <f t="shared" si="44"/>
        <v>0.62370486563115801</v>
      </c>
      <c r="R253" s="6">
        <f t="shared" si="45"/>
        <v>-6.6643708389937412E-2</v>
      </c>
      <c r="S253">
        <f t="shared" si="46"/>
        <v>0</v>
      </c>
      <c r="T253">
        <f t="shared" si="47"/>
        <v>0</v>
      </c>
      <c r="U253">
        <f t="shared" si="48"/>
        <v>0</v>
      </c>
      <c r="V253">
        <f t="shared" si="49"/>
        <v>0</v>
      </c>
      <c r="W253">
        <f t="shared" si="50"/>
        <v>0</v>
      </c>
      <c r="X253">
        <f t="shared" si="51"/>
        <v>0</v>
      </c>
      <c r="Y253">
        <f t="shared" si="52"/>
        <v>0</v>
      </c>
      <c r="Z253">
        <f t="shared" si="53"/>
        <v>1</v>
      </c>
      <c r="AA253">
        <f t="shared" si="54"/>
        <v>0</v>
      </c>
    </row>
    <row r="254" spans="2:27" x14ac:dyDescent="0.3">
      <c r="B254">
        <v>247</v>
      </c>
      <c r="C254" s="1">
        <v>40790</v>
      </c>
      <c r="D254">
        <v>3</v>
      </c>
      <c r="E254">
        <v>0</v>
      </c>
      <c r="F254">
        <v>9</v>
      </c>
      <c r="G254">
        <v>0</v>
      </c>
      <c r="H254">
        <v>1</v>
      </c>
      <c r="I254">
        <v>2521</v>
      </c>
      <c r="J254">
        <v>2419</v>
      </c>
      <c r="K254" s="8">
        <v>4940</v>
      </c>
      <c r="L254" s="12">
        <v>33.271450000000002</v>
      </c>
      <c r="M254" s="12">
        <v>74.208299999999994</v>
      </c>
      <c r="N254" s="12">
        <v>13.833289000000001</v>
      </c>
      <c r="O254" s="13">
        <f t="shared" si="42"/>
        <v>0.22503968346613076</v>
      </c>
      <c r="P254" s="6">
        <f t="shared" si="43"/>
        <v>1.1733214116035626</v>
      </c>
      <c r="Q254" s="6">
        <f t="shared" si="44"/>
        <v>0.80227373343750941</v>
      </c>
      <c r="R254" s="6">
        <f t="shared" si="45"/>
        <v>0.20635057751797276</v>
      </c>
      <c r="S254">
        <f t="shared" si="46"/>
        <v>0</v>
      </c>
      <c r="T254">
        <f t="shared" si="47"/>
        <v>0</v>
      </c>
      <c r="U254">
        <f t="shared" si="48"/>
        <v>0</v>
      </c>
      <c r="V254">
        <f t="shared" si="49"/>
        <v>0</v>
      </c>
      <c r="W254">
        <f t="shared" si="50"/>
        <v>0</v>
      </c>
      <c r="X254">
        <f t="shared" si="51"/>
        <v>0</v>
      </c>
      <c r="Y254">
        <f t="shared" si="52"/>
        <v>0</v>
      </c>
      <c r="Z254">
        <f t="shared" si="53"/>
        <v>1</v>
      </c>
      <c r="AA254">
        <f t="shared" si="54"/>
        <v>0</v>
      </c>
    </row>
    <row r="255" spans="2:27" x14ac:dyDescent="0.3">
      <c r="B255">
        <v>248</v>
      </c>
      <c r="C255" s="1">
        <v>40791</v>
      </c>
      <c r="D255">
        <v>3</v>
      </c>
      <c r="E255">
        <v>0</v>
      </c>
      <c r="F255">
        <v>9</v>
      </c>
      <c r="G255">
        <v>1</v>
      </c>
      <c r="H255">
        <v>2</v>
      </c>
      <c r="I255">
        <v>1236</v>
      </c>
      <c r="J255">
        <v>2115</v>
      </c>
      <c r="K255" s="8">
        <v>3351</v>
      </c>
      <c r="L255" s="12">
        <v>31.282299999999999</v>
      </c>
      <c r="M255" s="12">
        <v>79.041700000000006</v>
      </c>
      <c r="N255" s="12">
        <v>14.250632</v>
      </c>
      <c r="O255" s="13">
        <f t="shared" si="42"/>
        <v>-0.59577313093574413</v>
      </c>
      <c r="P255" s="6">
        <f t="shared" si="43"/>
        <v>0.92902863157452276</v>
      </c>
      <c r="Q255" s="6">
        <f t="shared" si="44"/>
        <v>1.1418609090966316</v>
      </c>
      <c r="R255" s="6">
        <f t="shared" si="45"/>
        <v>0.28678201290347871</v>
      </c>
      <c r="S255">
        <f t="shared" si="46"/>
        <v>1</v>
      </c>
      <c r="T255">
        <f t="shared" si="47"/>
        <v>0</v>
      </c>
      <c r="U255">
        <f t="shared" si="48"/>
        <v>0</v>
      </c>
      <c r="V255">
        <f t="shared" si="49"/>
        <v>0</v>
      </c>
      <c r="W255">
        <f t="shared" si="50"/>
        <v>0</v>
      </c>
      <c r="X255">
        <f t="shared" si="51"/>
        <v>0</v>
      </c>
      <c r="Y255">
        <f t="shared" si="52"/>
        <v>0</v>
      </c>
      <c r="Z255">
        <f t="shared" si="53"/>
        <v>1</v>
      </c>
      <c r="AA255">
        <f t="shared" si="54"/>
        <v>0</v>
      </c>
    </row>
    <row r="256" spans="2:27" x14ac:dyDescent="0.3">
      <c r="B256">
        <v>249</v>
      </c>
      <c r="C256" s="1">
        <v>40792</v>
      </c>
      <c r="D256">
        <v>3</v>
      </c>
      <c r="E256">
        <v>0</v>
      </c>
      <c r="F256">
        <v>9</v>
      </c>
      <c r="G256">
        <v>2</v>
      </c>
      <c r="H256">
        <v>3</v>
      </c>
      <c r="I256">
        <v>204</v>
      </c>
      <c r="J256">
        <v>2506</v>
      </c>
      <c r="K256" s="8">
        <v>2710</v>
      </c>
      <c r="L256" s="12">
        <v>25.76</v>
      </c>
      <c r="M256" s="12">
        <v>88.695700000000002</v>
      </c>
      <c r="N256" s="12">
        <v>23.044180999999998</v>
      </c>
      <c r="O256" s="13">
        <f t="shared" si="42"/>
        <v>-0.92688767721113863</v>
      </c>
      <c r="P256" s="6">
        <f t="shared" si="43"/>
        <v>0.25082034202654274</v>
      </c>
      <c r="Q256" s="6">
        <f t="shared" si="44"/>
        <v>1.8201359522987581</v>
      </c>
      <c r="R256" s="6">
        <f t="shared" si="45"/>
        <v>1.9814977939343863</v>
      </c>
      <c r="S256">
        <f t="shared" si="46"/>
        <v>0</v>
      </c>
      <c r="T256">
        <f t="shared" si="47"/>
        <v>1</v>
      </c>
      <c r="U256">
        <f t="shared" si="48"/>
        <v>0</v>
      </c>
      <c r="V256">
        <f t="shared" si="49"/>
        <v>0</v>
      </c>
      <c r="W256">
        <f t="shared" si="50"/>
        <v>0</v>
      </c>
      <c r="X256">
        <f t="shared" si="51"/>
        <v>1</v>
      </c>
      <c r="Y256">
        <f t="shared" si="52"/>
        <v>0</v>
      </c>
      <c r="Z256">
        <f t="shared" si="53"/>
        <v>1</v>
      </c>
      <c r="AA256">
        <f t="shared" si="54"/>
        <v>0</v>
      </c>
    </row>
    <row r="257" spans="2:27" x14ac:dyDescent="0.3">
      <c r="B257">
        <v>250</v>
      </c>
      <c r="C257" s="1">
        <v>40793</v>
      </c>
      <c r="D257">
        <v>3</v>
      </c>
      <c r="E257">
        <v>0</v>
      </c>
      <c r="F257">
        <v>9</v>
      </c>
      <c r="G257">
        <v>3</v>
      </c>
      <c r="H257">
        <v>3</v>
      </c>
      <c r="I257">
        <v>118</v>
      </c>
      <c r="J257">
        <v>1878</v>
      </c>
      <c r="K257" s="8">
        <v>1996</v>
      </c>
      <c r="L257" s="12">
        <v>27.211449999999999</v>
      </c>
      <c r="M257" s="12">
        <v>91.708299999999994</v>
      </c>
      <c r="N257" s="12">
        <v>6.5003935999999998</v>
      </c>
      <c r="O257" s="13">
        <f t="shared" si="42"/>
        <v>-1.2957110563696903</v>
      </c>
      <c r="P257" s="6">
        <f t="shared" si="43"/>
        <v>0.42907676088542662</v>
      </c>
      <c r="Q257" s="6">
        <f t="shared" si="44"/>
        <v>2.0317965484403286</v>
      </c>
      <c r="R257" s="6">
        <f t="shared" si="45"/>
        <v>-1.206864218354428</v>
      </c>
      <c r="S257">
        <f t="shared" si="46"/>
        <v>0</v>
      </c>
      <c r="T257">
        <f t="shared" si="47"/>
        <v>0</v>
      </c>
      <c r="U257">
        <f t="shared" si="48"/>
        <v>1</v>
      </c>
      <c r="V257">
        <f t="shared" si="49"/>
        <v>0</v>
      </c>
      <c r="W257">
        <f t="shared" si="50"/>
        <v>0</v>
      </c>
      <c r="X257">
        <f t="shared" si="51"/>
        <v>1</v>
      </c>
      <c r="Y257">
        <f t="shared" si="52"/>
        <v>0</v>
      </c>
      <c r="Z257">
        <f t="shared" si="53"/>
        <v>1</v>
      </c>
      <c r="AA257">
        <f t="shared" si="54"/>
        <v>0</v>
      </c>
    </row>
    <row r="258" spans="2:27" x14ac:dyDescent="0.3">
      <c r="B258">
        <v>251</v>
      </c>
      <c r="C258" s="1">
        <v>40794</v>
      </c>
      <c r="D258">
        <v>3</v>
      </c>
      <c r="E258">
        <v>0</v>
      </c>
      <c r="F258">
        <v>9</v>
      </c>
      <c r="G258">
        <v>4</v>
      </c>
      <c r="H258">
        <v>3</v>
      </c>
      <c r="I258">
        <v>153</v>
      </c>
      <c r="J258">
        <v>1689</v>
      </c>
      <c r="K258" s="8">
        <v>1842</v>
      </c>
      <c r="L258" s="12">
        <v>27.768049999999999</v>
      </c>
      <c r="M258" s="12">
        <v>93.956500000000005</v>
      </c>
      <c r="N258" s="12">
        <v>12.914116</v>
      </c>
      <c r="O258" s="13">
        <f t="shared" si="42"/>
        <v>-1.3752611969725153</v>
      </c>
      <c r="P258" s="6">
        <f t="shared" si="43"/>
        <v>0.49743428111475235</v>
      </c>
      <c r="Q258" s="6">
        <f t="shared" si="44"/>
        <v>2.1897515880225771</v>
      </c>
      <c r="R258" s="6">
        <f t="shared" si="45"/>
        <v>2.9205150956123388E-2</v>
      </c>
      <c r="S258">
        <f t="shared" si="46"/>
        <v>0</v>
      </c>
      <c r="T258">
        <f t="shared" si="47"/>
        <v>0</v>
      </c>
      <c r="U258">
        <f t="shared" si="48"/>
        <v>0</v>
      </c>
      <c r="V258">
        <f t="shared" si="49"/>
        <v>1</v>
      </c>
      <c r="W258">
        <f t="shared" si="50"/>
        <v>0</v>
      </c>
      <c r="X258">
        <f t="shared" si="51"/>
        <v>1</v>
      </c>
      <c r="Y258">
        <f t="shared" si="52"/>
        <v>0</v>
      </c>
      <c r="Z258">
        <f t="shared" si="53"/>
        <v>1</v>
      </c>
      <c r="AA258">
        <f t="shared" si="54"/>
        <v>0</v>
      </c>
    </row>
    <row r="259" spans="2:27" x14ac:dyDescent="0.3">
      <c r="B259">
        <v>252</v>
      </c>
      <c r="C259" s="1">
        <v>40795</v>
      </c>
      <c r="D259">
        <v>3</v>
      </c>
      <c r="E259">
        <v>0</v>
      </c>
      <c r="F259">
        <v>9</v>
      </c>
      <c r="G259">
        <v>5</v>
      </c>
      <c r="H259">
        <v>2</v>
      </c>
      <c r="I259">
        <v>417</v>
      </c>
      <c r="J259">
        <v>3127</v>
      </c>
      <c r="K259" s="8">
        <v>3544</v>
      </c>
      <c r="L259" s="12">
        <v>28.947299999999998</v>
      </c>
      <c r="M259" s="12">
        <v>89.791700000000006</v>
      </c>
      <c r="N259" s="12">
        <v>8.3333929999999992</v>
      </c>
      <c r="O259" s="13">
        <f t="shared" si="42"/>
        <v>-0.49607717550493113</v>
      </c>
      <c r="P259" s="6">
        <f t="shared" si="43"/>
        <v>0.64226109701563705</v>
      </c>
      <c r="Q259" s="6">
        <f t="shared" si="44"/>
        <v>1.8971392097412205</v>
      </c>
      <c r="R259" s="6">
        <f t="shared" si="45"/>
        <v>-0.85360377597784209</v>
      </c>
      <c r="S259">
        <f t="shared" si="46"/>
        <v>0</v>
      </c>
      <c r="T259">
        <f t="shared" si="47"/>
        <v>0</v>
      </c>
      <c r="U259">
        <f t="shared" si="48"/>
        <v>0</v>
      </c>
      <c r="V259">
        <f t="shared" si="49"/>
        <v>0</v>
      </c>
      <c r="W259">
        <f t="shared" si="50"/>
        <v>1</v>
      </c>
      <c r="X259">
        <f t="shared" si="51"/>
        <v>0</v>
      </c>
      <c r="Y259">
        <f t="shared" si="52"/>
        <v>0</v>
      </c>
      <c r="Z259">
        <f t="shared" si="53"/>
        <v>1</v>
      </c>
      <c r="AA259">
        <f t="shared" si="54"/>
        <v>0</v>
      </c>
    </row>
    <row r="260" spans="2:27" x14ac:dyDescent="0.3">
      <c r="B260">
        <v>253</v>
      </c>
      <c r="C260" s="1">
        <v>40796</v>
      </c>
      <c r="D260">
        <v>3</v>
      </c>
      <c r="E260">
        <v>0</v>
      </c>
      <c r="F260">
        <v>9</v>
      </c>
      <c r="G260">
        <v>6</v>
      </c>
      <c r="H260">
        <v>1</v>
      </c>
      <c r="I260">
        <v>1750</v>
      </c>
      <c r="J260">
        <v>3595</v>
      </c>
      <c r="K260" s="8">
        <v>5345</v>
      </c>
      <c r="L260" s="12">
        <v>30.398099999999999</v>
      </c>
      <c r="M260" s="12">
        <v>75.375</v>
      </c>
      <c r="N260" s="12">
        <v>10.291736</v>
      </c>
      <c r="O260" s="13">
        <f t="shared" si="42"/>
        <v>0.43424622206446895</v>
      </c>
      <c r="P260" s="6">
        <f t="shared" si="43"/>
        <v>0.8204376876529097</v>
      </c>
      <c r="Q260" s="6">
        <f t="shared" si="44"/>
        <v>0.88424426305258352</v>
      </c>
      <c r="R260" s="6">
        <f t="shared" si="45"/>
        <v>-0.47618678691331157</v>
      </c>
      <c r="S260">
        <f t="shared" si="46"/>
        <v>0</v>
      </c>
      <c r="T260">
        <f t="shared" si="47"/>
        <v>0</v>
      </c>
      <c r="U260">
        <f t="shared" si="48"/>
        <v>0</v>
      </c>
      <c r="V260">
        <f t="shared" si="49"/>
        <v>0</v>
      </c>
      <c r="W260">
        <f t="shared" si="50"/>
        <v>0</v>
      </c>
      <c r="X260">
        <f t="shared" si="51"/>
        <v>0</v>
      </c>
      <c r="Y260">
        <f t="shared" si="52"/>
        <v>0</v>
      </c>
      <c r="Z260">
        <f t="shared" si="53"/>
        <v>1</v>
      </c>
      <c r="AA260">
        <f t="shared" si="54"/>
        <v>0</v>
      </c>
    </row>
    <row r="261" spans="2:27" x14ac:dyDescent="0.3">
      <c r="B261">
        <v>254</v>
      </c>
      <c r="C261" s="1">
        <v>40797</v>
      </c>
      <c r="D261">
        <v>3</v>
      </c>
      <c r="E261">
        <v>0</v>
      </c>
      <c r="F261">
        <v>9</v>
      </c>
      <c r="G261">
        <v>0</v>
      </c>
      <c r="H261">
        <v>1</v>
      </c>
      <c r="I261">
        <v>1633</v>
      </c>
      <c r="J261">
        <v>3413</v>
      </c>
      <c r="K261" s="8">
        <v>5046</v>
      </c>
      <c r="L261" s="12">
        <v>30.461449999999999</v>
      </c>
      <c r="M261" s="12">
        <v>71.375</v>
      </c>
      <c r="N261" s="12">
        <v>7.7086180000000004</v>
      </c>
      <c r="O261" s="13">
        <f t="shared" si="42"/>
        <v>0.27979497504989337</v>
      </c>
      <c r="P261" s="6">
        <f t="shared" si="43"/>
        <v>0.82821786894383276</v>
      </c>
      <c r="Q261" s="6">
        <f t="shared" si="44"/>
        <v>0.60321047676622486</v>
      </c>
      <c r="R261" s="6">
        <f t="shared" si="45"/>
        <v>-0.97401204937162011</v>
      </c>
      <c r="S261">
        <f t="shared" si="46"/>
        <v>0</v>
      </c>
      <c r="T261">
        <f t="shared" si="47"/>
        <v>0</v>
      </c>
      <c r="U261">
        <f t="shared" si="48"/>
        <v>0</v>
      </c>
      <c r="V261">
        <f t="shared" si="49"/>
        <v>0</v>
      </c>
      <c r="W261">
        <f t="shared" si="50"/>
        <v>0</v>
      </c>
      <c r="X261">
        <f t="shared" si="51"/>
        <v>0</v>
      </c>
      <c r="Y261">
        <f t="shared" si="52"/>
        <v>0</v>
      </c>
      <c r="Z261">
        <f t="shared" si="53"/>
        <v>1</v>
      </c>
      <c r="AA261">
        <f t="shared" si="54"/>
        <v>0</v>
      </c>
    </row>
    <row r="262" spans="2:27" x14ac:dyDescent="0.3">
      <c r="B262">
        <v>255</v>
      </c>
      <c r="C262" s="1">
        <v>40798</v>
      </c>
      <c r="D262">
        <v>3</v>
      </c>
      <c r="E262">
        <v>0</v>
      </c>
      <c r="F262">
        <v>9</v>
      </c>
      <c r="G262">
        <v>1</v>
      </c>
      <c r="H262">
        <v>1</v>
      </c>
      <c r="I262">
        <v>690</v>
      </c>
      <c r="J262">
        <v>4023</v>
      </c>
      <c r="K262" s="8">
        <v>4713</v>
      </c>
      <c r="L262" s="12">
        <v>30.1065</v>
      </c>
      <c r="M262" s="12">
        <v>69.217399999999998</v>
      </c>
      <c r="N262" s="12">
        <v>5.9571709999999998</v>
      </c>
      <c r="O262" s="13">
        <f t="shared" si="42"/>
        <v>0.10778070998014865</v>
      </c>
      <c r="P262" s="6">
        <f t="shared" si="43"/>
        <v>0.78462551931142321</v>
      </c>
      <c r="Q262" s="6">
        <f t="shared" si="44"/>
        <v>0.45162085244336286</v>
      </c>
      <c r="R262" s="6">
        <f t="shared" si="45"/>
        <v>-1.3115554997508971</v>
      </c>
      <c r="S262">
        <f t="shared" si="46"/>
        <v>1</v>
      </c>
      <c r="T262">
        <f t="shared" si="47"/>
        <v>0</v>
      </c>
      <c r="U262">
        <f t="shared" si="48"/>
        <v>0</v>
      </c>
      <c r="V262">
        <f t="shared" si="49"/>
        <v>0</v>
      </c>
      <c r="W262">
        <f t="shared" si="50"/>
        <v>0</v>
      </c>
      <c r="X262">
        <f t="shared" si="51"/>
        <v>0</v>
      </c>
      <c r="Y262">
        <f t="shared" si="52"/>
        <v>0</v>
      </c>
      <c r="Z262">
        <f t="shared" si="53"/>
        <v>1</v>
      </c>
      <c r="AA262">
        <f t="shared" si="54"/>
        <v>0</v>
      </c>
    </row>
    <row r="263" spans="2:27" x14ac:dyDescent="0.3">
      <c r="B263">
        <v>256</v>
      </c>
      <c r="C263" s="1">
        <v>40799</v>
      </c>
      <c r="D263">
        <v>3</v>
      </c>
      <c r="E263">
        <v>0</v>
      </c>
      <c r="F263">
        <v>9</v>
      </c>
      <c r="G263">
        <v>2</v>
      </c>
      <c r="H263">
        <v>1</v>
      </c>
      <c r="I263">
        <v>701</v>
      </c>
      <c r="J263">
        <v>4062</v>
      </c>
      <c r="K263" s="8">
        <v>4763</v>
      </c>
      <c r="L263" s="12">
        <v>30.177700000000002</v>
      </c>
      <c r="M263" s="12">
        <v>71.25</v>
      </c>
      <c r="N263" s="12">
        <v>9.5008680000000005</v>
      </c>
      <c r="O263" s="13">
        <f t="shared" si="42"/>
        <v>0.13360867770833854</v>
      </c>
      <c r="P263" s="6">
        <f t="shared" si="43"/>
        <v>0.79336977989411828</v>
      </c>
      <c r="Q263" s="6">
        <f t="shared" si="44"/>
        <v>0.59442817094477618</v>
      </c>
      <c r="R263" s="6">
        <f t="shared" si="45"/>
        <v>-0.62860493802753759</v>
      </c>
      <c r="S263">
        <f t="shared" si="46"/>
        <v>0</v>
      </c>
      <c r="T263">
        <f t="shared" si="47"/>
        <v>1</v>
      </c>
      <c r="U263">
        <f t="shared" si="48"/>
        <v>0</v>
      </c>
      <c r="V263">
        <f t="shared" si="49"/>
        <v>0</v>
      </c>
      <c r="W263">
        <f t="shared" si="50"/>
        <v>0</v>
      </c>
      <c r="X263">
        <f t="shared" si="51"/>
        <v>0</v>
      </c>
      <c r="Y263">
        <f t="shared" si="52"/>
        <v>0</v>
      </c>
      <c r="Z263">
        <f t="shared" si="53"/>
        <v>1</v>
      </c>
      <c r="AA263">
        <f t="shared" si="54"/>
        <v>0</v>
      </c>
    </row>
    <row r="264" spans="2:27" x14ac:dyDescent="0.3">
      <c r="B264">
        <v>257</v>
      </c>
      <c r="C264" s="1">
        <v>40800</v>
      </c>
      <c r="D264">
        <v>3</v>
      </c>
      <c r="E264">
        <v>0</v>
      </c>
      <c r="F264">
        <v>9</v>
      </c>
      <c r="G264">
        <v>3</v>
      </c>
      <c r="H264">
        <v>1</v>
      </c>
      <c r="I264">
        <v>647</v>
      </c>
      <c r="J264">
        <v>4138</v>
      </c>
      <c r="K264" s="8">
        <v>4785</v>
      </c>
      <c r="L264" s="12">
        <v>31.344999999999999</v>
      </c>
      <c r="M264" s="12">
        <v>69.708299999999994</v>
      </c>
      <c r="N264" s="12">
        <v>11.209099999999999</v>
      </c>
      <c r="O264" s="13">
        <f t="shared" si="42"/>
        <v>0.1449729835087421</v>
      </c>
      <c r="P264" s="6">
        <f t="shared" si="43"/>
        <v>0.93672898464383414</v>
      </c>
      <c r="Q264" s="6">
        <f t="shared" si="44"/>
        <v>0.48611072386535598</v>
      </c>
      <c r="R264" s="6">
        <f t="shared" si="45"/>
        <v>-0.29938999556665091</v>
      </c>
      <c r="S264">
        <f t="shared" si="46"/>
        <v>0</v>
      </c>
      <c r="T264">
        <f t="shared" si="47"/>
        <v>0</v>
      </c>
      <c r="U264">
        <f t="shared" si="48"/>
        <v>1</v>
      </c>
      <c r="V264">
        <f t="shared" si="49"/>
        <v>0</v>
      </c>
      <c r="W264">
        <f t="shared" si="50"/>
        <v>0</v>
      </c>
      <c r="X264">
        <f t="shared" si="51"/>
        <v>0</v>
      </c>
      <c r="Y264">
        <f t="shared" si="52"/>
        <v>0</v>
      </c>
      <c r="Z264">
        <f t="shared" si="53"/>
        <v>1</v>
      </c>
      <c r="AA264">
        <f t="shared" si="54"/>
        <v>0</v>
      </c>
    </row>
    <row r="265" spans="2:27" x14ac:dyDescent="0.3">
      <c r="B265">
        <v>258</v>
      </c>
      <c r="C265" s="1">
        <v>40801</v>
      </c>
      <c r="D265">
        <v>3</v>
      </c>
      <c r="E265">
        <v>0</v>
      </c>
      <c r="F265">
        <v>9</v>
      </c>
      <c r="G265">
        <v>4</v>
      </c>
      <c r="H265">
        <v>2</v>
      </c>
      <c r="I265">
        <v>428</v>
      </c>
      <c r="J265">
        <v>3231</v>
      </c>
      <c r="K265" s="8">
        <v>3659</v>
      </c>
      <c r="L265" s="12">
        <v>27.68355</v>
      </c>
      <c r="M265" s="12">
        <v>70.916700000000006</v>
      </c>
      <c r="N265" s="12">
        <v>18.166782000000001</v>
      </c>
      <c r="O265" s="13">
        <f t="shared" ref="O265:O328" si="55">(K265-K$2)/K$3</f>
        <v>-0.43667284973009435</v>
      </c>
      <c r="P265" s="6">
        <f t="shared" ref="P265:P328" si="56">(L265-L$2)/L$3</f>
        <v>0.487056612305234</v>
      </c>
      <c r="Q265" s="6">
        <f t="shared" ref="Q265:Q328" si="57">(M265-M$2)/M$3</f>
        <v>0.57101103070246573</v>
      </c>
      <c r="R265" s="6">
        <f t="shared" ref="R265:R328" si="58">(N265-N$2)/N$3</f>
        <v>1.0415126917095208</v>
      </c>
      <c r="S265">
        <f t="shared" ref="S265:S328" si="59">IF($G265=1,1,0)</f>
        <v>0</v>
      </c>
      <c r="T265">
        <f t="shared" ref="T265:T328" si="60">IF($G265=2,1,0)</f>
        <v>0</v>
      </c>
      <c r="U265">
        <f t="shared" ref="U265:U328" si="61">IF($G265=3,1,0)</f>
        <v>0</v>
      </c>
      <c r="V265">
        <f t="shared" ref="V265:V328" si="62">IF($G265=4,1,0)</f>
        <v>1</v>
      </c>
      <c r="W265">
        <f t="shared" ref="W265:W328" si="63">IF($G265=5,1,0)</f>
        <v>0</v>
      </c>
      <c r="X265">
        <f t="shared" ref="X265:X328" si="64">IF($H265=3,1,0)</f>
        <v>0</v>
      </c>
      <c r="Y265">
        <f t="shared" ref="Y265:Y328" si="65">IF($D265=2,1,0)</f>
        <v>0</v>
      </c>
      <c r="Z265">
        <f t="shared" ref="Z265:Z328" si="66">IF($D265=3,1,0)</f>
        <v>1</v>
      </c>
      <c r="AA265">
        <f t="shared" ref="AA265:AA328" si="67">IF($D265=4,1,0)</f>
        <v>0</v>
      </c>
    </row>
    <row r="266" spans="2:27" x14ac:dyDescent="0.3">
      <c r="B266">
        <v>259</v>
      </c>
      <c r="C266" s="1">
        <v>40802</v>
      </c>
      <c r="D266">
        <v>3</v>
      </c>
      <c r="E266">
        <v>0</v>
      </c>
      <c r="F266">
        <v>9</v>
      </c>
      <c r="G266">
        <v>5</v>
      </c>
      <c r="H266">
        <v>2</v>
      </c>
      <c r="I266">
        <v>742</v>
      </c>
      <c r="J266">
        <v>4018</v>
      </c>
      <c r="K266" s="8">
        <v>4760</v>
      </c>
      <c r="L266" s="12">
        <v>23.07375</v>
      </c>
      <c r="M266" s="12">
        <v>59.041699999999999</v>
      </c>
      <c r="N266" s="12">
        <v>11.000261</v>
      </c>
      <c r="O266" s="13">
        <f t="shared" si="55"/>
        <v>0.13205899964464715</v>
      </c>
      <c r="P266" s="6">
        <f t="shared" si="56"/>
        <v>-7.9085135364809211E-2</v>
      </c>
      <c r="Q266" s="6">
        <f t="shared" si="57"/>
        <v>-0.26330802233516198</v>
      </c>
      <c r="R266" s="6">
        <f t="shared" si="58"/>
        <v>-0.33963799429784725</v>
      </c>
      <c r="S266">
        <f t="shared" si="59"/>
        <v>0</v>
      </c>
      <c r="T266">
        <f t="shared" si="60"/>
        <v>0</v>
      </c>
      <c r="U266">
        <f t="shared" si="61"/>
        <v>0</v>
      </c>
      <c r="V266">
        <f t="shared" si="62"/>
        <v>0</v>
      </c>
      <c r="W266">
        <f t="shared" si="63"/>
        <v>1</v>
      </c>
      <c r="X266">
        <f t="shared" si="64"/>
        <v>0</v>
      </c>
      <c r="Y266">
        <f t="shared" si="65"/>
        <v>0</v>
      </c>
      <c r="Z266">
        <f t="shared" si="66"/>
        <v>1</v>
      </c>
      <c r="AA266">
        <f t="shared" si="67"/>
        <v>0</v>
      </c>
    </row>
    <row r="267" spans="2:27" x14ac:dyDescent="0.3">
      <c r="B267">
        <v>260</v>
      </c>
      <c r="C267" s="1">
        <v>40803</v>
      </c>
      <c r="D267">
        <v>3</v>
      </c>
      <c r="E267">
        <v>0</v>
      </c>
      <c r="F267">
        <v>9</v>
      </c>
      <c r="G267">
        <v>6</v>
      </c>
      <c r="H267">
        <v>2</v>
      </c>
      <c r="I267">
        <v>1434</v>
      </c>
      <c r="J267">
        <v>3077</v>
      </c>
      <c r="K267" s="8">
        <v>4511</v>
      </c>
      <c r="L267" s="12">
        <v>23.925599999999999</v>
      </c>
      <c r="M267" s="12">
        <v>71.833299999999994</v>
      </c>
      <c r="N267" s="12">
        <v>12.708225000000001</v>
      </c>
      <c r="O267" s="13">
        <f t="shared" si="55"/>
        <v>3.4357203582614632E-3</v>
      </c>
      <c r="P267" s="6">
        <f t="shared" si="56"/>
        <v>2.5532819373514724E-2</v>
      </c>
      <c r="Q267" s="6">
        <f t="shared" si="57"/>
        <v>0.63540992282998399</v>
      </c>
      <c r="R267" s="6">
        <f t="shared" si="58"/>
        <v>-1.0474701498469586E-2</v>
      </c>
      <c r="S267">
        <f t="shared" si="59"/>
        <v>0</v>
      </c>
      <c r="T267">
        <f t="shared" si="60"/>
        <v>0</v>
      </c>
      <c r="U267">
        <f t="shared" si="61"/>
        <v>0</v>
      </c>
      <c r="V267">
        <f t="shared" si="62"/>
        <v>0</v>
      </c>
      <c r="W267">
        <f t="shared" si="63"/>
        <v>0</v>
      </c>
      <c r="X267">
        <f t="shared" si="64"/>
        <v>0</v>
      </c>
      <c r="Y267">
        <f t="shared" si="65"/>
        <v>0</v>
      </c>
      <c r="Z267">
        <f t="shared" si="66"/>
        <v>1</v>
      </c>
      <c r="AA267">
        <f t="shared" si="67"/>
        <v>0</v>
      </c>
    </row>
    <row r="268" spans="2:27" x14ac:dyDescent="0.3">
      <c r="B268">
        <v>261</v>
      </c>
      <c r="C268" s="1">
        <v>40804</v>
      </c>
      <c r="D268">
        <v>3</v>
      </c>
      <c r="E268">
        <v>0</v>
      </c>
      <c r="F268">
        <v>9</v>
      </c>
      <c r="G268">
        <v>0</v>
      </c>
      <c r="H268">
        <v>1</v>
      </c>
      <c r="I268">
        <v>1353</v>
      </c>
      <c r="J268">
        <v>2921</v>
      </c>
      <c r="K268" s="8">
        <v>4274</v>
      </c>
      <c r="L268" s="12">
        <v>24.52685</v>
      </c>
      <c r="M268" s="12">
        <v>69.5</v>
      </c>
      <c r="N268" s="12">
        <v>11.958361</v>
      </c>
      <c r="O268" s="13">
        <f t="shared" si="55"/>
        <v>-0.11898884667335864</v>
      </c>
      <c r="P268" s="6">
        <f t="shared" si="56"/>
        <v>9.9373924364319882E-2</v>
      </c>
      <c r="Q268" s="6">
        <f t="shared" si="57"/>
        <v>0.47147588944449426</v>
      </c>
      <c r="R268" s="6">
        <f t="shared" si="58"/>
        <v>-0.15499045440175832</v>
      </c>
      <c r="S268">
        <f t="shared" si="59"/>
        <v>0</v>
      </c>
      <c r="T268">
        <f t="shared" si="60"/>
        <v>0</v>
      </c>
      <c r="U268">
        <f t="shared" si="61"/>
        <v>0</v>
      </c>
      <c r="V268">
        <f t="shared" si="62"/>
        <v>0</v>
      </c>
      <c r="W268">
        <f t="shared" si="63"/>
        <v>0</v>
      </c>
      <c r="X268">
        <f t="shared" si="64"/>
        <v>0</v>
      </c>
      <c r="Y268">
        <f t="shared" si="65"/>
        <v>0</v>
      </c>
      <c r="Z268">
        <f t="shared" si="66"/>
        <v>1</v>
      </c>
      <c r="AA268">
        <f t="shared" si="67"/>
        <v>0</v>
      </c>
    </row>
    <row r="269" spans="2:27" x14ac:dyDescent="0.3">
      <c r="B269">
        <v>262</v>
      </c>
      <c r="C269" s="1">
        <v>40805</v>
      </c>
      <c r="D269">
        <v>3</v>
      </c>
      <c r="E269">
        <v>0</v>
      </c>
      <c r="F269">
        <v>9</v>
      </c>
      <c r="G269">
        <v>1</v>
      </c>
      <c r="H269">
        <v>2</v>
      </c>
      <c r="I269">
        <v>691</v>
      </c>
      <c r="J269">
        <v>3848</v>
      </c>
      <c r="K269" s="8">
        <v>4539</v>
      </c>
      <c r="L269" s="12">
        <v>26.483750000000001</v>
      </c>
      <c r="M269" s="12">
        <v>69</v>
      </c>
      <c r="N269" s="12">
        <v>10.166714000000001</v>
      </c>
      <c r="O269" s="13">
        <f t="shared" si="55"/>
        <v>1.7899382286047805E-2</v>
      </c>
      <c r="P269" s="6">
        <f t="shared" si="56"/>
        <v>0.33970599647493382</v>
      </c>
      <c r="Q269" s="6">
        <f t="shared" si="57"/>
        <v>0.43634666615869944</v>
      </c>
      <c r="R269" s="6">
        <f t="shared" si="58"/>
        <v>-0.50028135400744445</v>
      </c>
      <c r="S269">
        <f t="shared" si="59"/>
        <v>1</v>
      </c>
      <c r="T269">
        <f t="shared" si="60"/>
        <v>0</v>
      </c>
      <c r="U269">
        <f t="shared" si="61"/>
        <v>0</v>
      </c>
      <c r="V269">
        <f t="shared" si="62"/>
        <v>0</v>
      </c>
      <c r="W269">
        <f t="shared" si="63"/>
        <v>0</v>
      </c>
      <c r="X269">
        <f t="shared" si="64"/>
        <v>0</v>
      </c>
      <c r="Y269">
        <f t="shared" si="65"/>
        <v>0</v>
      </c>
      <c r="Z269">
        <f t="shared" si="66"/>
        <v>1</v>
      </c>
      <c r="AA269">
        <f t="shared" si="67"/>
        <v>0</v>
      </c>
    </row>
    <row r="270" spans="2:27" x14ac:dyDescent="0.3">
      <c r="B270">
        <v>263</v>
      </c>
      <c r="C270" s="1">
        <v>40806</v>
      </c>
      <c r="D270">
        <v>3</v>
      </c>
      <c r="E270">
        <v>0</v>
      </c>
      <c r="F270">
        <v>9</v>
      </c>
      <c r="G270">
        <v>2</v>
      </c>
      <c r="H270">
        <v>2</v>
      </c>
      <c r="I270">
        <v>438</v>
      </c>
      <c r="J270">
        <v>3203</v>
      </c>
      <c r="K270" s="8">
        <v>3641</v>
      </c>
      <c r="L270" s="12">
        <v>26.610849999999999</v>
      </c>
      <c r="M270" s="12">
        <v>88.125</v>
      </c>
      <c r="N270" s="12">
        <v>9.0419180000000008</v>
      </c>
      <c r="O270" s="13">
        <f t="shared" si="55"/>
        <v>-0.44597091811224276</v>
      </c>
      <c r="P270" s="6">
        <f t="shared" si="56"/>
        <v>0.35531548411623315</v>
      </c>
      <c r="Q270" s="6">
        <f t="shared" si="57"/>
        <v>1.7800394568403517</v>
      </c>
      <c r="R270" s="6">
        <f t="shared" si="58"/>
        <v>-0.71705498336237738</v>
      </c>
      <c r="S270">
        <f t="shared" si="59"/>
        <v>0</v>
      </c>
      <c r="T270">
        <f t="shared" si="60"/>
        <v>1</v>
      </c>
      <c r="U270">
        <f t="shared" si="61"/>
        <v>0</v>
      </c>
      <c r="V270">
        <f t="shared" si="62"/>
        <v>0</v>
      </c>
      <c r="W270">
        <f t="shared" si="63"/>
        <v>0</v>
      </c>
      <c r="X270">
        <f t="shared" si="64"/>
        <v>0</v>
      </c>
      <c r="Y270">
        <f t="shared" si="65"/>
        <v>0</v>
      </c>
      <c r="Z270">
        <f t="shared" si="66"/>
        <v>1</v>
      </c>
      <c r="AA270">
        <f t="shared" si="67"/>
        <v>0</v>
      </c>
    </row>
    <row r="271" spans="2:27" x14ac:dyDescent="0.3">
      <c r="B271">
        <v>264</v>
      </c>
      <c r="C271" s="1">
        <v>40807</v>
      </c>
      <c r="D271">
        <v>3</v>
      </c>
      <c r="E271">
        <v>0</v>
      </c>
      <c r="F271">
        <v>9</v>
      </c>
      <c r="G271">
        <v>3</v>
      </c>
      <c r="H271">
        <v>2</v>
      </c>
      <c r="I271">
        <v>539</v>
      </c>
      <c r="J271">
        <v>3813</v>
      </c>
      <c r="K271" s="8">
        <v>4352</v>
      </c>
      <c r="L271" s="12">
        <v>27.52665</v>
      </c>
      <c r="M271" s="12">
        <v>90</v>
      </c>
      <c r="N271" s="12">
        <v>6.4590813999999996</v>
      </c>
      <c r="O271" s="13">
        <f t="shared" si="55"/>
        <v>-7.8697217017382415E-2</v>
      </c>
      <c r="P271" s="6">
        <f t="shared" si="56"/>
        <v>0.46778730773466043</v>
      </c>
      <c r="Q271" s="6">
        <f t="shared" si="57"/>
        <v>1.9117740441620823</v>
      </c>
      <c r="R271" s="6">
        <f t="shared" si="58"/>
        <v>-1.2148260136761013</v>
      </c>
      <c r="S271">
        <f t="shared" si="59"/>
        <v>0</v>
      </c>
      <c r="T271">
        <f t="shared" si="60"/>
        <v>0</v>
      </c>
      <c r="U271">
        <f t="shared" si="61"/>
        <v>1</v>
      </c>
      <c r="V271">
        <f t="shared" si="62"/>
        <v>0</v>
      </c>
      <c r="W271">
        <f t="shared" si="63"/>
        <v>0</v>
      </c>
      <c r="X271">
        <f t="shared" si="64"/>
        <v>0</v>
      </c>
      <c r="Y271">
        <f t="shared" si="65"/>
        <v>0</v>
      </c>
      <c r="Z271">
        <f t="shared" si="66"/>
        <v>1</v>
      </c>
      <c r="AA271">
        <f t="shared" si="67"/>
        <v>0</v>
      </c>
    </row>
    <row r="272" spans="2:27" x14ac:dyDescent="0.3">
      <c r="B272">
        <v>265</v>
      </c>
      <c r="C272" s="1">
        <v>40808</v>
      </c>
      <c r="D272">
        <v>3</v>
      </c>
      <c r="E272">
        <v>0</v>
      </c>
      <c r="F272">
        <v>9</v>
      </c>
      <c r="G272">
        <v>4</v>
      </c>
      <c r="H272">
        <v>2</v>
      </c>
      <c r="I272">
        <v>555</v>
      </c>
      <c r="J272">
        <v>4240</v>
      </c>
      <c r="K272" s="8">
        <v>4795</v>
      </c>
      <c r="L272" s="12">
        <v>27.748149999999999</v>
      </c>
      <c r="M272" s="12">
        <v>90.208299999999994</v>
      </c>
      <c r="N272" s="12">
        <v>8.5843749999999996</v>
      </c>
      <c r="O272" s="13">
        <f t="shared" si="55"/>
        <v>0.15013857705438008</v>
      </c>
      <c r="P272" s="6">
        <f t="shared" si="56"/>
        <v>0.4949903094069486</v>
      </c>
      <c r="Q272" s="6">
        <f t="shared" si="57"/>
        <v>1.9264088785829441</v>
      </c>
      <c r="R272" s="6">
        <f t="shared" si="58"/>
        <v>-0.80523386797429308</v>
      </c>
      <c r="S272">
        <f t="shared" si="59"/>
        <v>0</v>
      </c>
      <c r="T272">
        <f t="shared" si="60"/>
        <v>0</v>
      </c>
      <c r="U272">
        <f t="shared" si="61"/>
        <v>0</v>
      </c>
      <c r="V272">
        <f t="shared" si="62"/>
        <v>1</v>
      </c>
      <c r="W272">
        <f t="shared" si="63"/>
        <v>0</v>
      </c>
      <c r="X272">
        <f t="shared" si="64"/>
        <v>0</v>
      </c>
      <c r="Y272">
        <f t="shared" si="65"/>
        <v>0</v>
      </c>
      <c r="Z272">
        <f t="shared" si="66"/>
        <v>1</v>
      </c>
      <c r="AA272">
        <f t="shared" si="67"/>
        <v>0</v>
      </c>
    </row>
    <row r="273" spans="2:27" x14ac:dyDescent="0.3">
      <c r="B273">
        <v>266</v>
      </c>
      <c r="C273" s="1">
        <v>40809</v>
      </c>
      <c r="D273">
        <v>4</v>
      </c>
      <c r="E273">
        <v>0</v>
      </c>
      <c r="F273">
        <v>9</v>
      </c>
      <c r="G273">
        <v>5</v>
      </c>
      <c r="H273">
        <v>2</v>
      </c>
      <c r="I273">
        <v>258</v>
      </c>
      <c r="J273">
        <v>2137</v>
      </c>
      <c r="K273" s="8">
        <v>2395</v>
      </c>
      <c r="L273" s="12">
        <v>26.106249999999999</v>
      </c>
      <c r="M273" s="12">
        <v>97.25</v>
      </c>
      <c r="N273" s="12">
        <v>5.2505689000000002</v>
      </c>
      <c r="O273" s="13">
        <f t="shared" si="55"/>
        <v>-1.089603873898735</v>
      </c>
      <c r="P273" s="6">
        <f t="shared" si="56"/>
        <v>0.29334422161584189</v>
      </c>
      <c r="Q273" s="6">
        <f t="shared" si="57"/>
        <v>2.4211477818061073</v>
      </c>
      <c r="R273" s="6">
        <f t="shared" si="58"/>
        <v>-1.4477337060450315</v>
      </c>
      <c r="S273">
        <f t="shared" si="59"/>
        <v>0</v>
      </c>
      <c r="T273">
        <f t="shared" si="60"/>
        <v>0</v>
      </c>
      <c r="U273">
        <f t="shared" si="61"/>
        <v>0</v>
      </c>
      <c r="V273">
        <f t="shared" si="62"/>
        <v>0</v>
      </c>
      <c r="W273">
        <f t="shared" si="63"/>
        <v>1</v>
      </c>
      <c r="X273">
        <f t="shared" si="64"/>
        <v>0</v>
      </c>
      <c r="Y273">
        <f t="shared" si="65"/>
        <v>0</v>
      </c>
      <c r="Z273">
        <f t="shared" si="66"/>
        <v>0</v>
      </c>
      <c r="AA273">
        <f t="shared" si="67"/>
        <v>1</v>
      </c>
    </row>
    <row r="274" spans="2:27" x14ac:dyDescent="0.3">
      <c r="B274">
        <v>267</v>
      </c>
      <c r="C274" s="1">
        <v>40810</v>
      </c>
      <c r="D274">
        <v>4</v>
      </c>
      <c r="E274">
        <v>0</v>
      </c>
      <c r="F274">
        <v>9</v>
      </c>
      <c r="G274">
        <v>6</v>
      </c>
      <c r="H274">
        <v>2</v>
      </c>
      <c r="I274">
        <v>1776</v>
      </c>
      <c r="J274">
        <v>3647</v>
      </c>
      <c r="K274" s="8">
        <v>5423</v>
      </c>
      <c r="L274" s="12">
        <v>28.220600000000001</v>
      </c>
      <c r="M274" s="12">
        <v>86.25</v>
      </c>
      <c r="N274" s="12">
        <v>5.2516810999999999</v>
      </c>
      <c r="O274" s="13">
        <f t="shared" si="55"/>
        <v>0.47453785172044516</v>
      </c>
      <c r="P274" s="6">
        <f t="shared" si="56"/>
        <v>0.55301314525377776</v>
      </c>
      <c r="Q274" s="6">
        <f t="shared" si="57"/>
        <v>1.6483048695186211</v>
      </c>
      <c r="R274" s="6">
        <f t="shared" si="58"/>
        <v>-1.4475193599497675</v>
      </c>
      <c r="S274">
        <f t="shared" si="59"/>
        <v>0</v>
      </c>
      <c r="T274">
        <f t="shared" si="60"/>
        <v>0</v>
      </c>
      <c r="U274">
        <f t="shared" si="61"/>
        <v>0</v>
      </c>
      <c r="V274">
        <f t="shared" si="62"/>
        <v>0</v>
      </c>
      <c r="W274">
        <f t="shared" si="63"/>
        <v>0</v>
      </c>
      <c r="X274">
        <f t="shared" si="64"/>
        <v>0</v>
      </c>
      <c r="Y274">
        <f t="shared" si="65"/>
        <v>0</v>
      </c>
      <c r="Z274">
        <f t="shared" si="66"/>
        <v>0</v>
      </c>
      <c r="AA274">
        <f t="shared" si="67"/>
        <v>1</v>
      </c>
    </row>
    <row r="275" spans="2:27" x14ac:dyDescent="0.3">
      <c r="B275">
        <v>268</v>
      </c>
      <c r="C275" s="1">
        <v>40811</v>
      </c>
      <c r="D275">
        <v>4</v>
      </c>
      <c r="E275">
        <v>0</v>
      </c>
      <c r="F275">
        <v>9</v>
      </c>
      <c r="G275">
        <v>0</v>
      </c>
      <c r="H275">
        <v>2</v>
      </c>
      <c r="I275">
        <v>1544</v>
      </c>
      <c r="J275">
        <v>3466</v>
      </c>
      <c r="K275" s="8">
        <v>5010</v>
      </c>
      <c r="L275" s="12">
        <v>28.63185</v>
      </c>
      <c r="M275" s="12">
        <v>84.5</v>
      </c>
      <c r="N275" s="12">
        <v>3.3754064000000001</v>
      </c>
      <c r="O275" s="13">
        <f t="shared" si="55"/>
        <v>0.26119883828559665</v>
      </c>
      <c r="P275" s="6">
        <f t="shared" si="56"/>
        <v>0.60351984700424521</v>
      </c>
      <c r="Q275" s="6">
        <f t="shared" si="57"/>
        <v>1.5253525880183392</v>
      </c>
      <c r="R275" s="6">
        <f t="shared" si="58"/>
        <v>-1.8091199314185833</v>
      </c>
      <c r="S275">
        <f t="shared" si="59"/>
        <v>0</v>
      </c>
      <c r="T275">
        <f t="shared" si="60"/>
        <v>0</v>
      </c>
      <c r="U275">
        <f t="shared" si="61"/>
        <v>0</v>
      </c>
      <c r="V275">
        <f t="shared" si="62"/>
        <v>0</v>
      </c>
      <c r="W275">
        <f t="shared" si="63"/>
        <v>0</v>
      </c>
      <c r="X275">
        <f t="shared" si="64"/>
        <v>0</v>
      </c>
      <c r="Y275">
        <f t="shared" si="65"/>
        <v>0</v>
      </c>
      <c r="Z275">
        <f t="shared" si="66"/>
        <v>0</v>
      </c>
      <c r="AA275">
        <f t="shared" si="67"/>
        <v>1</v>
      </c>
    </row>
    <row r="276" spans="2:27" x14ac:dyDescent="0.3">
      <c r="B276">
        <v>269</v>
      </c>
      <c r="C276" s="1">
        <v>40812</v>
      </c>
      <c r="D276">
        <v>4</v>
      </c>
      <c r="E276">
        <v>0</v>
      </c>
      <c r="F276">
        <v>9</v>
      </c>
      <c r="G276">
        <v>1</v>
      </c>
      <c r="H276">
        <v>2</v>
      </c>
      <c r="I276">
        <v>684</v>
      </c>
      <c r="J276">
        <v>3946</v>
      </c>
      <c r="K276" s="8">
        <v>4630</v>
      </c>
      <c r="L276" s="12">
        <v>29.452100000000002</v>
      </c>
      <c r="M276" s="12">
        <v>84.833299999999994</v>
      </c>
      <c r="N276" s="12">
        <v>7.4169</v>
      </c>
      <c r="O276" s="13">
        <f t="shared" si="55"/>
        <v>6.4906283551353416E-2</v>
      </c>
      <c r="P276" s="6">
        <f t="shared" si="56"/>
        <v>0.70425692204575541</v>
      </c>
      <c r="Q276" s="6">
        <f t="shared" si="57"/>
        <v>1.5487697282606496</v>
      </c>
      <c r="R276" s="6">
        <f t="shared" si="58"/>
        <v>-1.0302327059245973</v>
      </c>
      <c r="S276">
        <f t="shared" si="59"/>
        <v>1</v>
      </c>
      <c r="T276">
        <f t="shared" si="60"/>
        <v>0</v>
      </c>
      <c r="U276">
        <f t="shared" si="61"/>
        <v>0</v>
      </c>
      <c r="V276">
        <f t="shared" si="62"/>
        <v>0</v>
      </c>
      <c r="W276">
        <f t="shared" si="63"/>
        <v>0</v>
      </c>
      <c r="X276">
        <f t="shared" si="64"/>
        <v>0</v>
      </c>
      <c r="Y276">
        <f t="shared" si="65"/>
        <v>0</v>
      </c>
      <c r="Z276">
        <f t="shared" si="66"/>
        <v>0</v>
      </c>
      <c r="AA276">
        <f t="shared" si="67"/>
        <v>1</v>
      </c>
    </row>
    <row r="277" spans="2:27" x14ac:dyDescent="0.3">
      <c r="B277">
        <v>270</v>
      </c>
      <c r="C277" s="1">
        <v>40813</v>
      </c>
      <c r="D277">
        <v>4</v>
      </c>
      <c r="E277">
        <v>0</v>
      </c>
      <c r="F277">
        <v>9</v>
      </c>
      <c r="G277">
        <v>2</v>
      </c>
      <c r="H277">
        <v>2</v>
      </c>
      <c r="I277">
        <v>477</v>
      </c>
      <c r="J277">
        <v>3643</v>
      </c>
      <c r="K277" s="8">
        <v>4120</v>
      </c>
      <c r="L277" s="12">
        <v>28.72625</v>
      </c>
      <c r="M277" s="12">
        <v>88.541700000000006</v>
      </c>
      <c r="N277" s="12">
        <v>7.9174569999999997</v>
      </c>
      <c r="O277" s="13">
        <f t="shared" si="55"/>
        <v>-0.19853898727618352</v>
      </c>
      <c r="P277" s="6">
        <f t="shared" si="56"/>
        <v>0.61511336103523395</v>
      </c>
      <c r="Q277" s="6">
        <f t="shared" si="57"/>
        <v>1.8093161515267335</v>
      </c>
      <c r="R277" s="6">
        <f t="shared" si="58"/>
        <v>-0.93376405064042378</v>
      </c>
      <c r="S277">
        <f t="shared" si="59"/>
        <v>0</v>
      </c>
      <c r="T277">
        <f t="shared" si="60"/>
        <v>1</v>
      </c>
      <c r="U277">
        <f t="shared" si="61"/>
        <v>0</v>
      </c>
      <c r="V277">
        <f t="shared" si="62"/>
        <v>0</v>
      </c>
      <c r="W277">
        <f t="shared" si="63"/>
        <v>0</v>
      </c>
      <c r="X277">
        <f t="shared" si="64"/>
        <v>0</v>
      </c>
      <c r="Y277">
        <f t="shared" si="65"/>
        <v>0</v>
      </c>
      <c r="Z277">
        <f t="shared" si="66"/>
        <v>0</v>
      </c>
      <c r="AA277">
        <f t="shared" si="67"/>
        <v>1</v>
      </c>
    </row>
    <row r="278" spans="2:27" x14ac:dyDescent="0.3">
      <c r="B278">
        <v>271</v>
      </c>
      <c r="C278" s="1">
        <v>40814</v>
      </c>
      <c r="D278">
        <v>4</v>
      </c>
      <c r="E278">
        <v>0</v>
      </c>
      <c r="F278">
        <v>9</v>
      </c>
      <c r="G278">
        <v>3</v>
      </c>
      <c r="H278">
        <v>2</v>
      </c>
      <c r="I278">
        <v>480</v>
      </c>
      <c r="J278">
        <v>3427</v>
      </c>
      <c r="K278" s="8">
        <v>3907</v>
      </c>
      <c r="L278" s="12">
        <v>28.757899999999999</v>
      </c>
      <c r="M278" s="12">
        <v>84.875</v>
      </c>
      <c r="N278" s="12">
        <v>9.9581429999999997</v>
      </c>
      <c r="O278" s="13">
        <f t="shared" si="55"/>
        <v>-0.30856612979827247</v>
      </c>
      <c r="P278" s="6">
        <f t="shared" si="56"/>
        <v>0.61900038136447955</v>
      </c>
      <c r="Q278" s="6">
        <f t="shared" si="57"/>
        <v>1.5516995054826852</v>
      </c>
      <c r="R278" s="6">
        <f t="shared" si="58"/>
        <v>-0.54047770307713172</v>
      </c>
      <c r="S278">
        <f t="shared" si="59"/>
        <v>0</v>
      </c>
      <c r="T278">
        <f t="shared" si="60"/>
        <v>0</v>
      </c>
      <c r="U278">
        <f t="shared" si="61"/>
        <v>1</v>
      </c>
      <c r="V278">
        <f t="shared" si="62"/>
        <v>0</v>
      </c>
      <c r="W278">
        <f t="shared" si="63"/>
        <v>0</v>
      </c>
      <c r="X278">
        <f t="shared" si="64"/>
        <v>0</v>
      </c>
      <c r="Y278">
        <f t="shared" si="65"/>
        <v>0</v>
      </c>
      <c r="Z278">
        <f t="shared" si="66"/>
        <v>0</v>
      </c>
      <c r="AA278">
        <f t="shared" si="67"/>
        <v>1</v>
      </c>
    </row>
    <row r="279" spans="2:27" x14ac:dyDescent="0.3">
      <c r="B279">
        <v>272</v>
      </c>
      <c r="C279" s="1">
        <v>40815</v>
      </c>
      <c r="D279">
        <v>4</v>
      </c>
      <c r="E279">
        <v>0</v>
      </c>
      <c r="F279">
        <v>9</v>
      </c>
      <c r="G279">
        <v>4</v>
      </c>
      <c r="H279">
        <v>1</v>
      </c>
      <c r="I279">
        <v>653</v>
      </c>
      <c r="J279">
        <v>4186</v>
      </c>
      <c r="K279" s="8">
        <v>4839</v>
      </c>
      <c r="L279" s="12">
        <v>28.7256</v>
      </c>
      <c r="M279" s="12">
        <v>69.916700000000006</v>
      </c>
      <c r="N279" s="12">
        <v>11.583161</v>
      </c>
      <c r="O279" s="13">
        <f t="shared" si="55"/>
        <v>0.17286718865518719</v>
      </c>
      <c r="P279" s="6">
        <f t="shared" si="56"/>
        <v>0.61503353281362227</v>
      </c>
      <c r="Q279" s="6">
        <f t="shared" si="57"/>
        <v>0.50075258413087609</v>
      </c>
      <c r="R279" s="6">
        <f t="shared" si="58"/>
        <v>-0.22729998051491193</v>
      </c>
      <c r="S279">
        <f t="shared" si="59"/>
        <v>0</v>
      </c>
      <c r="T279">
        <f t="shared" si="60"/>
        <v>0</v>
      </c>
      <c r="U279">
        <f t="shared" si="61"/>
        <v>0</v>
      </c>
      <c r="V279">
        <f t="shared" si="62"/>
        <v>1</v>
      </c>
      <c r="W279">
        <f t="shared" si="63"/>
        <v>0</v>
      </c>
      <c r="X279">
        <f t="shared" si="64"/>
        <v>0</v>
      </c>
      <c r="Y279">
        <f t="shared" si="65"/>
        <v>0</v>
      </c>
      <c r="Z279">
        <f t="shared" si="66"/>
        <v>0</v>
      </c>
      <c r="AA279">
        <f t="shared" si="67"/>
        <v>1</v>
      </c>
    </row>
    <row r="280" spans="2:27" x14ac:dyDescent="0.3">
      <c r="B280">
        <v>273</v>
      </c>
      <c r="C280" s="1">
        <v>40816</v>
      </c>
      <c r="D280">
        <v>4</v>
      </c>
      <c r="E280">
        <v>0</v>
      </c>
      <c r="F280">
        <v>9</v>
      </c>
      <c r="G280">
        <v>5</v>
      </c>
      <c r="H280">
        <v>1</v>
      </c>
      <c r="I280">
        <v>830</v>
      </c>
      <c r="J280">
        <v>4372</v>
      </c>
      <c r="K280" s="8">
        <v>5202</v>
      </c>
      <c r="L280" s="12">
        <v>27.24145</v>
      </c>
      <c r="M280" s="12">
        <v>64.75</v>
      </c>
      <c r="N280" s="12">
        <v>13.833824999999999</v>
      </c>
      <c r="O280" s="13">
        <f t="shared" si="55"/>
        <v>0.36037823436184585</v>
      </c>
      <c r="P280" s="6">
        <f t="shared" si="56"/>
        <v>0.43276114034442742</v>
      </c>
      <c r="Q280" s="6">
        <f t="shared" si="57"/>
        <v>0.13774826822944336</v>
      </c>
      <c r="R280" s="6">
        <f t="shared" si="58"/>
        <v>0.20645387684099126</v>
      </c>
      <c r="S280">
        <f t="shared" si="59"/>
        <v>0</v>
      </c>
      <c r="T280">
        <f t="shared" si="60"/>
        <v>0</v>
      </c>
      <c r="U280">
        <f t="shared" si="61"/>
        <v>0</v>
      </c>
      <c r="V280">
        <f t="shared" si="62"/>
        <v>0</v>
      </c>
      <c r="W280">
        <f t="shared" si="63"/>
        <v>1</v>
      </c>
      <c r="X280">
        <f t="shared" si="64"/>
        <v>0</v>
      </c>
      <c r="Y280">
        <f t="shared" si="65"/>
        <v>0</v>
      </c>
      <c r="Z280">
        <f t="shared" si="66"/>
        <v>0</v>
      </c>
      <c r="AA280">
        <f t="shared" si="67"/>
        <v>1</v>
      </c>
    </row>
    <row r="281" spans="2:27" x14ac:dyDescent="0.3">
      <c r="B281">
        <v>274</v>
      </c>
      <c r="C281" s="1">
        <v>40817</v>
      </c>
      <c r="D281">
        <v>4</v>
      </c>
      <c r="E281">
        <v>0</v>
      </c>
      <c r="F281">
        <v>10</v>
      </c>
      <c r="G281">
        <v>6</v>
      </c>
      <c r="H281">
        <v>2</v>
      </c>
      <c r="I281">
        <v>480</v>
      </c>
      <c r="J281">
        <v>1949</v>
      </c>
      <c r="K281" s="8">
        <v>2429</v>
      </c>
      <c r="L281" s="12">
        <v>20.643149999999999</v>
      </c>
      <c r="M281" s="12">
        <v>75.375</v>
      </c>
      <c r="N281" s="12">
        <v>19.583832000000001</v>
      </c>
      <c r="O281" s="13">
        <f t="shared" si="55"/>
        <v>-1.0720408558435659</v>
      </c>
      <c r="P281" s="6">
        <f t="shared" si="56"/>
        <v>-0.37759355913304388</v>
      </c>
      <c r="Q281" s="6">
        <f t="shared" si="57"/>
        <v>0.88424426305258352</v>
      </c>
      <c r="R281" s="6">
        <f t="shared" si="58"/>
        <v>1.3146102769404495</v>
      </c>
      <c r="S281">
        <f t="shared" si="59"/>
        <v>0</v>
      </c>
      <c r="T281">
        <f t="shared" si="60"/>
        <v>0</v>
      </c>
      <c r="U281">
        <f t="shared" si="61"/>
        <v>0</v>
      </c>
      <c r="V281">
        <f t="shared" si="62"/>
        <v>0</v>
      </c>
      <c r="W281">
        <f t="shared" si="63"/>
        <v>0</v>
      </c>
      <c r="X281">
        <f t="shared" si="64"/>
        <v>0</v>
      </c>
      <c r="Y281">
        <f t="shared" si="65"/>
        <v>0</v>
      </c>
      <c r="Z281">
        <f t="shared" si="66"/>
        <v>0</v>
      </c>
      <c r="AA281">
        <f t="shared" si="67"/>
        <v>1</v>
      </c>
    </row>
    <row r="282" spans="2:27" x14ac:dyDescent="0.3">
      <c r="B282">
        <v>275</v>
      </c>
      <c r="C282" s="1">
        <v>40818</v>
      </c>
      <c r="D282">
        <v>4</v>
      </c>
      <c r="E282">
        <v>0</v>
      </c>
      <c r="F282">
        <v>10</v>
      </c>
      <c r="G282">
        <v>0</v>
      </c>
      <c r="H282">
        <v>2</v>
      </c>
      <c r="I282">
        <v>616</v>
      </c>
      <c r="J282">
        <v>2302</v>
      </c>
      <c r="K282" s="8">
        <v>2918</v>
      </c>
      <c r="L282" s="12">
        <v>17.26585</v>
      </c>
      <c r="M282" s="12">
        <v>79.166700000000006</v>
      </c>
      <c r="N282" s="12">
        <v>14.874871000000001</v>
      </c>
      <c r="O282" s="13">
        <f t="shared" si="55"/>
        <v>-0.81944333146186865</v>
      </c>
      <c r="P282" s="6">
        <f t="shared" si="56"/>
        <v>-0.79236871736247594</v>
      </c>
      <c r="Q282" s="6">
        <f t="shared" si="57"/>
        <v>1.1506432149180805</v>
      </c>
      <c r="R282" s="6">
        <f t="shared" si="58"/>
        <v>0.4070869869742384</v>
      </c>
      <c r="S282">
        <f t="shared" si="59"/>
        <v>0</v>
      </c>
      <c r="T282">
        <f t="shared" si="60"/>
        <v>0</v>
      </c>
      <c r="U282">
        <f t="shared" si="61"/>
        <v>0</v>
      </c>
      <c r="V282">
        <f t="shared" si="62"/>
        <v>0</v>
      </c>
      <c r="W282">
        <f t="shared" si="63"/>
        <v>0</v>
      </c>
      <c r="X282">
        <f t="shared" si="64"/>
        <v>0</v>
      </c>
      <c r="Y282">
        <f t="shared" si="65"/>
        <v>0</v>
      </c>
      <c r="Z282">
        <f t="shared" si="66"/>
        <v>0</v>
      </c>
      <c r="AA282">
        <f t="shared" si="67"/>
        <v>1</v>
      </c>
    </row>
    <row r="283" spans="2:27" x14ac:dyDescent="0.3">
      <c r="B283">
        <v>276</v>
      </c>
      <c r="C283" s="1">
        <v>40819</v>
      </c>
      <c r="D283">
        <v>4</v>
      </c>
      <c r="E283">
        <v>0</v>
      </c>
      <c r="F283">
        <v>10</v>
      </c>
      <c r="G283">
        <v>1</v>
      </c>
      <c r="H283">
        <v>2</v>
      </c>
      <c r="I283">
        <v>330</v>
      </c>
      <c r="J283">
        <v>3240</v>
      </c>
      <c r="K283" s="8">
        <v>3570</v>
      </c>
      <c r="L283" s="12">
        <v>19.6023</v>
      </c>
      <c r="M283" s="12">
        <v>76.083299999999994</v>
      </c>
      <c r="N283" s="12">
        <v>5.5841685999999999</v>
      </c>
      <c r="O283" s="13">
        <f t="shared" si="55"/>
        <v>-0.48264663228627241</v>
      </c>
      <c r="P283" s="6">
        <f t="shared" si="56"/>
        <v>-0.50542310446307204</v>
      </c>
      <c r="Q283" s="6">
        <f t="shared" si="57"/>
        <v>0.93400832075924001</v>
      </c>
      <c r="R283" s="6">
        <f t="shared" si="58"/>
        <v>-1.3834414986396737</v>
      </c>
      <c r="S283">
        <f t="shared" si="59"/>
        <v>1</v>
      </c>
      <c r="T283">
        <f t="shared" si="60"/>
        <v>0</v>
      </c>
      <c r="U283">
        <f t="shared" si="61"/>
        <v>0</v>
      </c>
      <c r="V283">
        <f t="shared" si="62"/>
        <v>0</v>
      </c>
      <c r="W283">
        <f t="shared" si="63"/>
        <v>0</v>
      </c>
      <c r="X283">
        <f t="shared" si="64"/>
        <v>0</v>
      </c>
      <c r="Y283">
        <f t="shared" si="65"/>
        <v>0</v>
      </c>
      <c r="Z283">
        <f t="shared" si="66"/>
        <v>0</v>
      </c>
      <c r="AA283">
        <f t="shared" si="67"/>
        <v>1</v>
      </c>
    </row>
    <row r="284" spans="2:27" x14ac:dyDescent="0.3">
      <c r="B284">
        <v>277</v>
      </c>
      <c r="C284" s="1">
        <v>40820</v>
      </c>
      <c r="D284">
        <v>4</v>
      </c>
      <c r="E284">
        <v>0</v>
      </c>
      <c r="F284">
        <v>10</v>
      </c>
      <c r="G284">
        <v>2</v>
      </c>
      <c r="H284">
        <v>1</v>
      </c>
      <c r="I284">
        <v>486</v>
      </c>
      <c r="J284">
        <v>3970</v>
      </c>
      <c r="K284" s="8">
        <v>4456</v>
      </c>
      <c r="L284" s="12">
        <v>23.642900000000001</v>
      </c>
      <c r="M284" s="12">
        <v>71</v>
      </c>
      <c r="N284" s="12">
        <v>13.792218</v>
      </c>
      <c r="O284" s="13">
        <f t="shared" si="55"/>
        <v>-2.4975044142747423E-2</v>
      </c>
      <c r="P284" s="6">
        <f t="shared" si="56"/>
        <v>-9.1863163951347408E-3</v>
      </c>
      <c r="Q284" s="6">
        <f t="shared" si="57"/>
        <v>0.57686355930187871</v>
      </c>
      <c r="R284" s="6">
        <f t="shared" si="58"/>
        <v>0.19843526689165777</v>
      </c>
      <c r="S284">
        <f t="shared" si="59"/>
        <v>0</v>
      </c>
      <c r="T284">
        <f t="shared" si="60"/>
        <v>1</v>
      </c>
      <c r="U284">
        <f t="shared" si="61"/>
        <v>0</v>
      </c>
      <c r="V284">
        <f t="shared" si="62"/>
        <v>0</v>
      </c>
      <c r="W284">
        <f t="shared" si="63"/>
        <v>0</v>
      </c>
      <c r="X284">
        <f t="shared" si="64"/>
        <v>0</v>
      </c>
      <c r="Y284">
        <f t="shared" si="65"/>
        <v>0</v>
      </c>
      <c r="Z284">
        <f t="shared" si="66"/>
        <v>0</v>
      </c>
      <c r="AA284">
        <f t="shared" si="67"/>
        <v>1</v>
      </c>
    </row>
    <row r="285" spans="2:27" x14ac:dyDescent="0.3">
      <c r="B285">
        <v>278</v>
      </c>
      <c r="C285" s="1">
        <v>40821</v>
      </c>
      <c r="D285">
        <v>4</v>
      </c>
      <c r="E285">
        <v>0</v>
      </c>
      <c r="F285">
        <v>10</v>
      </c>
      <c r="G285">
        <v>3</v>
      </c>
      <c r="H285">
        <v>1</v>
      </c>
      <c r="I285">
        <v>559</v>
      </c>
      <c r="J285">
        <v>4267</v>
      </c>
      <c r="K285" s="8">
        <v>4826</v>
      </c>
      <c r="L285" s="12">
        <v>26.3569</v>
      </c>
      <c r="M285" s="12">
        <v>64.791700000000006</v>
      </c>
      <c r="N285" s="12">
        <v>11.87575</v>
      </c>
      <c r="O285" s="13">
        <f t="shared" si="55"/>
        <v>0.1661519170458578</v>
      </c>
      <c r="P285" s="6">
        <f t="shared" si="56"/>
        <v>0.32412721199579253</v>
      </c>
      <c r="Q285" s="6">
        <f t="shared" si="57"/>
        <v>0.14067804545147908</v>
      </c>
      <c r="R285" s="6">
        <f t="shared" si="58"/>
        <v>-0.17091146256202946</v>
      </c>
      <c r="S285">
        <f t="shared" si="59"/>
        <v>0</v>
      </c>
      <c r="T285">
        <f t="shared" si="60"/>
        <v>0</v>
      </c>
      <c r="U285">
        <f t="shared" si="61"/>
        <v>1</v>
      </c>
      <c r="V285">
        <f t="shared" si="62"/>
        <v>0</v>
      </c>
      <c r="W285">
        <f t="shared" si="63"/>
        <v>0</v>
      </c>
      <c r="X285">
        <f t="shared" si="64"/>
        <v>0</v>
      </c>
      <c r="Y285">
        <f t="shared" si="65"/>
        <v>0</v>
      </c>
      <c r="Z285">
        <f t="shared" si="66"/>
        <v>0</v>
      </c>
      <c r="AA285">
        <f t="shared" si="67"/>
        <v>1</v>
      </c>
    </row>
    <row r="286" spans="2:27" x14ac:dyDescent="0.3">
      <c r="B286">
        <v>279</v>
      </c>
      <c r="C286" s="1">
        <v>40822</v>
      </c>
      <c r="D286">
        <v>4</v>
      </c>
      <c r="E286">
        <v>0</v>
      </c>
      <c r="F286">
        <v>10</v>
      </c>
      <c r="G286">
        <v>4</v>
      </c>
      <c r="H286">
        <v>1</v>
      </c>
      <c r="I286">
        <v>639</v>
      </c>
      <c r="J286">
        <v>4126</v>
      </c>
      <c r="K286" s="8">
        <v>4765</v>
      </c>
      <c r="L286" s="12">
        <v>24.021249999999998</v>
      </c>
      <c r="M286" s="12">
        <v>62.083300000000001</v>
      </c>
      <c r="N286" s="12">
        <v>9.0419180000000008</v>
      </c>
      <c r="O286" s="13">
        <f t="shared" si="55"/>
        <v>0.13464179641746613</v>
      </c>
      <c r="P286" s="6">
        <f t="shared" si="56"/>
        <v>3.7279849215295091E-2</v>
      </c>
      <c r="Q286" s="6">
        <f t="shared" si="57"/>
        <v>-4.9609931243014688E-2</v>
      </c>
      <c r="R286" s="6">
        <f t="shared" si="58"/>
        <v>-0.71705498336237738</v>
      </c>
      <c r="S286">
        <f t="shared" si="59"/>
        <v>0</v>
      </c>
      <c r="T286">
        <f t="shared" si="60"/>
        <v>0</v>
      </c>
      <c r="U286">
        <f t="shared" si="61"/>
        <v>0</v>
      </c>
      <c r="V286">
        <f t="shared" si="62"/>
        <v>1</v>
      </c>
      <c r="W286">
        <f t="shared" si="63"/>
        <v>0</v>
      </c>
      <c r="X286">
        <f t="shared" si="64"/>
        <v>0</v>
      </c>
      <c r="Y286">
        <f t="shared" si="65"/>
        <v>0</v>
      </c>
      <c r="Z286">
        <f t="shared" si="66"/>
        <v>0</v>
      </c>
      <c r="AA286">
        <f t="shared" si="67"/>
        <v>1</v>
      </c>
    </row>
    <row r="287" spans="2:27" x14ac:dyDescent="0.3">
      <c r="B287">
        <v>280</v>
      </c>
      <c r="C287" s="1">
        <v>40823</v>
      </c>
      <c r="D287">
        <v>4</v>
      </c>
      <c r="E287">
        <v>0</v>
      </c>
      <c r="F287">
        <v>10</v>
      </c>
      <c r="G287">
        <v>5</v>
      </c>
      <c r="H287">
        <v>1</v>
      </c>
      <c r="I287">
        <v>949</v>
      </c>
      <c r="J287">
        <v>4036</v>
      </c>
      <c r="K287" s="8">
        <v>4985</v>
      </c>
      <c r="L287" s="12">
        <v>25.220199999999998</v>
      </c>
      <c r="M287" s="12">
        <v>68.416700000000006</v>
      </c>
      <c r="N287" s="12">
        <v>1.5002439000000001</v>
      </c>
      <c r="O287" s="13">
        <f t="shared" si="55"/>
        <v>0.24828485442150169</v>
      </c>
      <c r="P287" s="6">
        <f t="shared" si="56"/>
        <v>0.18452607429425694</v>
      </c>
      <c r="Q287" s="6">
        <f t="shared" si="57"/>
        <v>0.39536491427349157</v>
      </c>
      <c r="R287" s="6">
        <f t="shared" si="58"/>
        <v>-2.1705061567921349</v>
      </c>
      <c r="S287">
        <f t="shared" si="59"/>
        <v>0</v>
      </c>
      <c r="T287">
        <f t="shared" si="60"/>
        <v>0</v>
      </c>
      <c r="U287">
        <f t="shared" si="61"/>
        <v>0</v>
      </c>
      <c r="V287">
        <f t="shared" si="62"/>
        <v>0</v>
      </c>
      <c r="W287">
        <f t="shared" si="63"/>
        <v>1</v>
      </c>
      <c r="X287">
        <f t="shared" si="64"/>
        <v>0</v>
      </c>
      <c r="Y287">
        <f t="shared" si="65"/>
        <v>0</v>
      </c>
      <c r="Z287">
        <f t="shared" si="66"/>
        <v>0</v>
      </c>
      <c r="AA287">
        <f t="shared" si="67"/>
        <v>1</v>
      </c>
    </row>
    <row r="288" spans="2:27" x14ac:dyDescent="0.3">
      <c r="B288">
        <v>281</v>
      </c>
      <c r="C288" s="1">
        <v>40824</v>
      </c>
      <c r="D288">
        <v>4</v>
      </c>
      <c r="E288">
        <v>0</v>
      </c>
      <c r="F288">
        <v>10</v>
      </c>
      <c r="G288">
        <v>6</v>
      </c>
      <c r="H288">
        <v>1</v>
      </c>
      <c r="I288">
        <v>2235</v>
      </c>
      <c r="J288">
        <v>3174</v>
      </c>
      <c r="K288" s="8">
        <v>5409</v>
      </c>
      <c r="L288" s="12">
        <v>25.662099999999999</v>
      </c>
      <c r="M288" s="12">
        <v>70.125</v>
      </c>
      <c r="N288" s="12">
        <v>3.0420813999999998</v>
      </c>
      <c r="O288" s="13">
        <f t="shared" si="55"/>
        <v>0.46730602075655203</v>
      </c>
      <c r="P288" s="6">
        <f t="shared" si="56"/>
        <v>0.23879698372533686</v>
      </c>
      <c r="Q288" s="6">
        <f t="shared" si="57"/>
        <v>0.51538741855173775</v>
      </c>
      <c r="R288" s="6">
        <f t="shared" si="58"/>
        <v>-1.8733591979208937</v>
      </c>
      <c r="S288">
        <f t="shared" si="59"/>
        <v>0</v>
      </c>
      <c r="T288">
        <f t="shared" si="60"/>
        <v>0</v>
      </c>
      <c r="U288">
        <f t="shared" si="61"/>
        <v>0</v>
      </c>
      <c r="V288">
        <f t="shared" si="62"/>
        <v>0</v>
      </c>
      <c r="W288">
        <f t="shared" si="63"/>
        <v>0</v>
      </c>
      <c r="X288">
        <f t="shared" si="64"/>
        <v>0</v>
      </c>
      <c r="Y288">
        <f t="shared" si="65"/>
        <v>0</v>
      </c>
      <c r="Z288">
        <f t="shared" si="66"/>
        <v>0</v>
      </c>
      <c r="AA288">
        <f t="shared" si="67"/>
        <v>1</v>
      </c>
    </row>
    <row r="289" spans="2:27" x14ac:dyDescent="0.3">
      <c r="B289">
        <v>282</v>
      </c>
      <c r="C289" s="1">
        <v>40825</v>
      </c>
      <c r="D289">
        <v>4</v>
      </c>
      <c r="E289">
        <v>0</v>
      </c>
      <c r="F289">
        <v>10</v>
      </c>
      <c r="G289">
        <v>0</v>
      </c>
      <c r="H289">
        <v>1</v>
      </c>
      <c r="I289">
        <v>2397</v>
      </c>
      <c r="J289">
        <v>3114</v>
      </c>
      <c r="K289" s="8">
        <v>5511</v>
      </c>
      <c r="L289" s="12">
        <v>26.199149999999999</v>
      </c>
      <c r="M289" s="12">
        <v>72.75</v>
      </c>
      <c r="N289" s="12">
        <v>4.25115</v>
      </c>
      <c r="O289" s="13">
        <f t="shared" si="55"/>
        <v>0.51999507492205943</v>
      </c>
      <c r="P289" s="6">
        <f t="shared" si="56"/>
        <v>0.30475351667388062</v>
      </c>
      <c r="Q289" s="6">
        <f t="shared" si="57"/>
        <v>0.69981584080216064</v>
      </c>
      <c r="R289" s="6">
        <f t="shared" si="58"/>
        <v>-1.6403443325043316</v>
      </c>
      <c r="S289">
        <f t="shared" si="59"/>
        <v>0</v>
      </c>
      <c r="T289">
        <f t="shared" si="60"/>
        <v>0</v>
      </c>
      <c r="U289">
        <f t="shared" si="61"/>
        <v>0</v>
      </c>
      <c r="V289">
        <f t="shared" si="62"/>
        <v>0</v>
      </c>
      <c r="W289">
        <f t="shared" si="63"/>
        <v>0</v>
      </c>
      <c r="X289">
        <f t="shared" si="64"/>
        <v>0</v>
      </c>
      <c r="Y289">
        <f t="shared" si="65"/>
        <v>0</v>
      </c>
      <c r="Z289">
        <f t="shared" si="66"/>
        <v>0</v>
      </c>
      <c r="AA289">
        <f t="shared" si="67"/>
        <v>1</v>
      </c>
    </row>
    <row r="290" spans="2:27" x14ac:dyDescent="0.3">
      <c r="B290">
        <v>283</v>
      </c>
      <c r="C290" s="1">
        <v>40826</v>
      </c>
      <c r="D290">
        <v>4</v>
      </c>
      <c r="E290">
        <v>0</v>
      </c>
      <c r="F290">
        <v>10</v>
      </c>
      <c r="G290">
        <v>1</v>
      </c>
      <c r="H290">
        <v>1</v>
      </c>
      <c r="I290">
        <v>1514</v>
      </c>
      <c r="J290">
        <v>3603</v>
      </c>
      <c r="K290" s="8">
        <v>5117</v>
      </c>
      <c r="L290" s="12">
        <v>27.146249999999998</v>
      </c>
      <c r="M290" s="12">
        <v>73.375</v>
      </c>
      <c r="N290" s="12">
        <v>2.8343813999999998</v>
      </c>
      <c r="O290" s="13">
        <f t="shared" si="55"/>
        <v>0.31647068922392302</v>
      </c>
      <c r="P290" s="6">
        <f t="shared" si="56"/>
        <v>0.42106937619453172</v>
      </c>
      <c r="Q290" s="6">
        <f t="shared" si="57"/>
        <v>0.74372736990940425</v>
      </c>
      <c r="R290" s="6">
        <f t="shared" si="58"/>
        <v>-1.9133876855906755</v>
      </c>
      <c r="S290">
        <f t="shared" si="59"/>
        <v>1</v>
      </c>
      <c r="T290">
        <f t="shared" si="60"/>
        <v>0</v>
      </c>
      <c r="U290">
        <f t="shared" si="61"/>
        <v>0</v>
      </c>
      <c r="V290">
        <f t="shared" si="62"/>
        <v>0</v>
      </c>
      <c r="W290">
        <f t="shared" si="63"/>
        <v>0</v>
      </c>
      <c r="X290">
        <f t="shared" si="64"/>
        <v>0</v>
      </c>
      <c r="Y290">
        <f t="shared" si="65"/>
        <v>0</v>
      </c>
      <c r="Z290">
        <f t="shared" si="66"/>
        <v>0</v>
      </c>
      <c r="AA290">
        <f t="shared" si="67"/>
        <v>1</v>
      </c>
    </row>
    <row r="291" spans="2:27" x14ac:dyDescent="0.3">
      <c r="B291">
        <v>284</v>
      </c>
      <c r="C291" s="1">
        <v>40827</v>
      </c>
      <c r="D291">
        <v>4</v>
      </c>
      <c r="E291">
        <v>0</v>
      </c>
      <c r="F291">
        <v>10</v>
      </c>
      <c r="G291">
        <v>2</v>
      </c>
      <c r="H291">
        <v>2</v>
      </c>
      <c r="I291">
        <v>667</v>
      </c>
      <c r="J291">
        <v>3896</v>
      </c>
      <c r="K291" s="8">
        <v>4563</v>
      </c>
      <c r="L291" s="12">
        <v>27.3048</v>
      </c>
      <c r="M291" s="12">
        <v>80.875</v>
      </c>
      <c r="N291" s="12">
        <v>9.5838140000000003</v>
      </c>
      <c r="O291" s="13">
        <f t="shared" si="55"/>
        <v>3.0296806795578956E-2</v>
      </c>
      <c r="P291" s="6">
        <f t="shared" si="56"/>
        <v>0.44054132163535048</v>
      </c>
      <c r="Q291" s="6">
        <f t="shared" si="57"/>
        <v>1.2706657191963266</v>
      </c>
      <c r="R291" s="6">
        <f t="shared" si="58"/>
        <v>-0.61261936779037973</v>
      </c>
      <c r="S291">
        <f t="shared" si="59"/>
        <v>0</v>
      </c>
      <c r="T291">
        <f t="shared" si="60"/>
        <v>1</v>
      </c>
      <c r="U291">
        <f t="shared" si="61"/>
        <v>0</v>
      </c>
      <c r="V291">
        <f t="shared" si="62"/>
        <v>0</v>
      </c>
      <c r="W291">
        <f t="shared" si="63"/>
        <v>0</v>
      </c>
      <c r="X291">
        <f t="shared" si="64"/>
        <v>0</v>
      </c>
      <c r="Y291">
        <f t="shared" si="65"/>
        <v>0</v>
      </c>
      <c r="Z291">
        <f t="shared" si="66"/>
        <v>0</v>
      </c>
      <c r="AA291">
        <f t="shared" si="67"/>
        <v>1</v>
      </c>
    </row>
    <row r="292" spans="2:27" x14ac:dyDescent="0.3">
      <c r="B292">
        <v>285</v>
      </c>
      <c r="C292" s="1">
        <v>40828</v>
      </c>
      <c r="D292">
        <v>4</v>
      </c>
      <c r="E292">
        <v>0</v>
      </c>
      <c r="F292">
        <v>10</v>
      </c>
      <c r="G292">
        <v>3</v>
      </c>
      <c r="H292">
        <v>3</v>
      </c>
      <c r="I292">
        <v>217</v>
      </c>
      <c r="J292">
        <v>2199</v>
      </c>
      <c r="K292" s="8">
        <v>2416</v>
      </c>
      <c r="L292" s="12">
        <v>25.885850000000001</v>
      </c>
      <c r="M292" s="12">
        <v>90.625</v>
      </c>
      <c r="N292" s="12">
        <v>16.626049999999999</v>
      </c>
      <c r="O292" s="13">
        <f t="shared" si="55"/>
        <v>-1.0787561274528952</v>
      </c>
      <c r="P292" s="6">
        <f t="shared" si="56"/>
        <v>0.26627631385705053</v>
      </c>
      <c r="Q292" s="6">
        <f t="shared" si="57"/>
        <v>1.9556855732693259</v>
      </c>
      <c r="R292" s="6">
        <f t="shared" si="58"/>
        <v>0.74457878769200569</v>
      </c>
      <c r="S292">
        <f t="shared" si="59"/>
        <v>0</v>
      </c>
      <c r="T292">
        <f t="shared" si="60"/>
        <v>0</v>
      </c>
      <c r="U292">
        <f t="shared" si="61"/>
        <v>1</v>
      </c>
      <c r="V292">
        <f t="shared" si="62"/>
        <v>0</v>
      </c>
      <c r="W292">
        <f t="shared" si="63"/>
        <v>0</v>
      </c>
      <c r="X292">
        <f t="shared" si="64"/>
        <v>1</v>
      </c>
      <c r="Y292">
        <f t="shared" si="65"/>
        <v>0</v>
      </c>
      <c r="Z292">
        <f t="shared" si="66"/>
        <v>0</v>
      </c>
      <c r="AA292">
        <f t="shared" si="67"/>
        <v>1</v>
      </c>
    </row>
    <row r="293" spans="2:27" x14ac:dyDescent="0.3">
      <c r="B293">
        <v>286</v>
      </c>
      <c r="C293" s="1">
        <v>40829</v>
      </c>
      <c r="D293">
        <v>4</v>
      </c>
      <c r="E293">
        <v>0</v>
      </c>
      <c r="F293">
        <v>10</v>
      </c>
      <c r="G293">
        <v>4</v>
      </c>
      <c r="H293">
        <v>2</v>
      </c>
      <c r="I293">
        <v>290</v>
      </c>
      <c r="J293">
        <v>2623</v>
      </c>
      <c r="K293" s="8">
        <v>2913</v>
      </c>
      <c r="L293" s="12">
        <v>27.590199999999999</v>
      </c>
      <c r="M293" s="12">
        <v>89.666700000000006</v>
      </c>
      <c r="N293" s="12">
        <v>9.4997290000000003</v>
      </c>
      <c r="O293" s="13">
        <f t="shared" si="55"/>
        <v>-0.82202612823468768</v>
      </c>
      <c r="P293" s="6">
        <f t="shared" si="56"/>
        <v>0.47559205155531009</v>
      </c>
      <c r="Q293" s="6">
        <f t="shared" si="57"/>
        <v>1.8883569039197718</v>
      </c>
      <c r="R293" s="6">
        <f t="shared" si="58"/>
        <v>-0.62882444908895263</v>
      </c>
      <c r="S293">
        <f t="shared" si="59"/>
        <v>0</v>
      </c>
      <c r="T293">
        <f t="shared" si="60"/>
        <v>0</v>
      </c>
      <c r="U293">
        <f t="shared" si="61"/>
        <v>0</v>
      </c>
      <c r="V293">
        <f t="shared" si="62"/>
        <v>1</v>
      </c>
      <c r="W293">
        <f t="shared" si="63"/>
        <v>0</v>
      </c>
      <c r="X293">
        <f t="shared" si="64"/>
        <v>0</v>
      </c>
      <c r="Y293">
        <f t="shared" si="65"/>
        <v>0</v>
      </c>
      <c r="Z293">
        <f t="shared" si="66"/>
        <v>0</v>
      </c>
      <c r="AA293">
        <f t="shared" si="67"/>
        <v>1</v>
      </c>
    </row>
    <row r="294" spans="2:27" x14ac:dyDescent="0.3">
      <c r="B294">
        <v>287</v>
      </c>
      <c r="C294" s="1">
        <v>40830</v>
      </c>
      <c r="D294">
        <v>4</v>
      </c>
      <c r="E294">
        <v>0</v>
      </c>
      <c r="F294">
        <v>10</v>
      </c>
      <c r="G294">
        <v>5</v>
      </c>
      <c r="H294">
        <v>2</v>
      </c>
      <c r="I294">
        <v>529</v>
      </c>
      <c r="J294">
        <v>3115</v>
      </c>
      <c r="K294" s="8">
        <v>3644</v>
      </c>
      <c r="L294" s="12">
        <v>26.483750000000001</v>
      </c>
      <c r="M294" s="12">
        <v>71.625</v>
      </c>
      <c r="N294" s="12">
        <v>15.000161</v>
      </c>
      <c r="O294" s="13">
        <f t="shared" si="55"/>
        <v>-0.44442124004855132</v>
      </c>
      <c r="P294" s="6">
        <f t="shared" si="56"/>
        <v>0.33970599647493382</v>
      </c>
      <c r="Q294" s="6">
        <f t="shared" si="57"/>
        <v>0.62077508840912232</v>
      </c>
      <c r="R294" s="6">
        <f t="shared" si="58"/>
        <v>0.43123320372988072</v>
      </c>
      <c r="S294">
        <f t="shared" si="59"/>
        <v>0</v>
      </c>
      <c r="T294">
        <f t="shared" si="60"/>
        <v>0</v>
      </c>
      <c r="U294">
        <f t="shared" si="61"/>
        <v>0</v>
      </c>
      <c r="V294">
        <f t="shared" si="62"/>
        <v>0</v>
      </c>
      <c r="W294">
        <f t="shared" si="63"/>
        <v>1</v>
      </c>
      <c r="X294">
        <f t="shared" si="64"/>
        <v>0</v>
      </c>
      <c r="Y294">
        <f t="shared" si="65"/>
        <v>0</v>
      </c>
      <c r="Z294">
        <f t="shared" si="66"/>
        <v>0</v>
      </c>
      <c r="AA294">
        <f t="shared" si="67"/>
        <v>1</v>
      </c>
    </row>
    <row r="295" spans="2:27" x14ac:dyDescent="0.3">
      <c r="B295">
        <v>288</v>
      </c>
      <c r="C295" s="1">
        <v>40831</v>
      </c>
      <c r="D295">
        <v>4</v>
      </c>
      <c r="E295">
        <v>0</v>
      </c>
      <c r="F295">
        <v>10</v>
      </c>
      <c r="G295">
        <v>6</v>
      </c>
      <c r="H295">
        <v>1</v>
      </c>
      <c r="I295">
        <v>1899</v>
      </c>
      <c r="J295">
        <v>3318</v>
      </c>
      <c r="K295" s="8">
        <v>5217</v>
      </c>
      <c r="L295" s="12">
        <v>24.936250000000001</v>
      </c>
      <c r="M295" s="12">
        <v>48.333300000000001</v>
      </c>
      <c r="N295" s="12">
        <v>17.291561000000002</v>
      </c>
      <c r="O295" s="13">
        <f t="shared" si="55"/>
        <v>0.36812662468030283</v>
      </c>
      <c r="P295" s="6">
        <f t="shared" si="56"/>
        <v>0.14965342271481591</v>
      </c>
      <c r="Q295" s="6">
        <f t="shared" si="57"/>
        <v>-1.0156635716023725</v>
      </c>
      <c r="R295" s="6">
        <f t="shared" si="58"/>
        <v>0.87283780963521251</v>
      </c>
      <c r="S295">
        <f t="shared" si="59"/>
        <v>0</v>
      </c>
      <c r="T295">
        <f t="shared" si="60"/>
        <v>0</v>
      </c>
      <c r="U295">
        <f t="shared" si="61"/>
        <v>0</v>
      </c>
      <c r="V295">
        <f t="shared" si="62"/>
        <v>0</v>
      </c>
      <c r="W295">
        <f t="shared" si="63"/>
        <v>0</v>
      </c>
      <c r="X295">
        <f t="shared" si="64"/>
        <v>0</v>
      </c>
      <c r="Y295">
        <f t="shared" si="65"/>
        <v>0</v>
      </c>
      <c r="Z295">
        <f t="shared" si="66"/>
        <v>0</v>
      </c>
      <c r="AA295">
        <f t="shared" si="67"/>
        <v>1</v>
      </c>
    </row>
    <row r="296" spans="2:27" x14ac:dyDescent="0.3">
      <c r="B296">
        <v>289</v>
      </c>
      <c r="C296" s="1">
        <v>40832</v>
      </c>
      <c r="D296">
        <v>4</v>
      </c>
      <c r="E296">
        <v>0</v>
      </c>
      <c r="F296">
        <v>10</v>
      </c>
      <c r="G296">
        <v>0</v>
      </c>
      <c r="H296">
        <v>1</v>
      </c>
      <c r="I296">
        <v>1748</v>
      </c>
      <c r="J296">
        <v>3293</v>
      </c>
      <c r="K296" s="8">
        <v>5041</v>
      </c>
      <c r="L296" s="12">
        <v>25.157699999999998</v>
      </c>
      <c r="M296" s="12">
        <v>48.666699999999999</v>
      </c>
      <c r="N296" s="12">
        <v>18.875039000000001</v>
      </c>
      <c r="O296" s="13">
        <f t="shared" si="55"/>
        <v>0.27721217827707439</v>
      </c>
      <c r="P296" s="6">
        <f t="shared" si="56"/>
        <v>0.17685028375467218</v>
      </c>
      <c r="Q296" s="6">
        <f t="shared" si="57"/>
        <v>-0.99223940551540468</v>
      </c>
      <c r="R296" s="6">
        <f t="shared" si="58"/>
        <v>1.1780098346634758</v>
      </c>
      <c r="S296">
        <f t="shared" si="59"/>
        <v>0</v>
      </c>
      <c r="T296">
        <f t="shared" si="60"/>
        <v>0</v>
      </c>
      <c r="U296">
        <f t="shared" si="61"/>
        <v>0</v>
      </c>
      <c r="V296">
        <f t="shared" si="62"/>
        <v>0</v>
      </c>
      <c r="W296">
        <f t="shared" si="63"/>
        <v>0</v>
      </c>
      <c r="X296">
        <f t="shared" si="64"/>
        <v>0</v>
      </c>
      <c r="Y296">
        <f t="shared" si="65"/>
        <v>0</v>
      </c>
      <c r="Z296">
        <f t="shared" si="66"/>
        <v>0</v>
      </c>
      <c r="AA296">
        <f t="shared" si="67"/>
        <v>1</v>
      </c>
    </row>
    <row r="297" spans="2:27" x14ac:dyDescent="0.3">
      <c r="B297">
        <v>290</v>
      </c>
      <c r="C297" s="1">
        <v>40833</v>
      </c>
      <c r="D297">
        <v>4</v>
      </c>
      <c r="E297">
        <v>0</v>
      </c>
      <c r="F297">
        <v>10</v>
      </c>
      <c r="G297">
        <v>1</v>
      </c>
      <c r="H297">
        <v>1</v>
      </c>
      <c r="I297">
        <v>713</v>
      </c>
      <c r="J297">
        <v>3857</v>
      </c>
      <c r="K297" s="8">
        <v>4570</v>
      </c>
      <c r="L297" s="12">
        <v>25.536249999999999</v>
      </c>
      <c r="M297" s="12">
        <v>57.958300000000001</v>
      </c>
      <c r="N297" s="12">
        <v>11.750393000000001</v>
      </c>
      <c r="O297" s="13">
        <f t="shared" si="55"/>
        <v>3.3912722277525544E-2</v>
      </c>
      <c r="P297" s="6">
        <f t="shared" si="56"/>
        <v>0.22334101189482908</v>
      </c>
      <c r="Q297" s="6">
        <f t="shared" si="57"/>
        <v>-0.33942602335082206</v>
      </c>
      <c r="R297" s="6">
        <f t="shared" si="58"/>
        <v>-0.19507059173304908</v>
      </c>
      <c r="S297">
        <f t="shared" si="59"/>
        <v>1</v>
      </c>
      <c r="T297">
        <f t="shared" si="60"/>
        <v>0</v>
      </c>
      <c r="U297">
        <f t="shared" si="61"/>
        <v>0</v>
      </c>
      <c r="V297">
        <f t="shared" si="62"/>
        <v>0</v>
      </c>
      <c r="W297">
        <f t="shared" si="63"/>
        <v>0</v>
      </c>
      <c r="X297">
        <f t="shared" si="64"/>
        <v>0</v>
      </c>
      <c r="Y297">
        <f t="shared" si="65"/>
        <v>0</v>
      </c>
      <c r="Z297">
        <f t="shared" si="66"/>
        <v>0</v>
      </c>
      <c r="AA297">
        <f t="shared" si="67"/>
        <v>1</v>
      </c>
    </row>
    <row r="298" spans="2:27" x14ac:dyDescent="0.3">
      <c r="B298">
        <v>291</v>
      </c>
      <c r="C298" s="1">
        <v>40834</v>
      </c>
      <c r="D298">
        <v>4</v>
      </c>
      <c r="E298">
        <v>0</v>
      </c>
      <c r="F298">
        <v>10</v>
      </c>
      <c r="G298">
        <v>2</v>
      </c>
      <c r="H298">
        <v>2</v>
      </c>
      <c r="I298">
        <v>637</v>
      </c>
      <c r="J298">
        <v>4111</v>
      </c>
      <c r="K298" s="8">
        <v>4748</v>
      </c>
      <c r="L298" s="12">
        <v>26.136050000000001</v>
      </c>
      <c r="M298" s="12">
        <v>70.166700000000006</v>
      </c>
      <c r="N298" s="12">
        <v>7.3758290000000004</v>
      </c>
      <c r="O298" s="13">
        <f t="shared" si="55"/>
        <v>0.12586028738988159</v>
      </c>
      <c r="P298" s="6">
        <f t="shared" si="56"/>
        <v>0.29700403854511609</v>
      </c>
      <c r="Q298" s="6">
        <f t="shared" si="57"/>
        <v>0.51831719577377344</v>
      </c>
      <c r="R298" s="6">
        <f t="shared" si="58"/>
        <v>-1.038148016550912</v>
      </c>
      <c r="S298">
        <f t="shared" si="59"/>
        <v>0</v>
      </c>
      <c r="T298">
        <f t="shared" si="60"/>
        <v>1</v>
      </c>
      <c r="U298">
        <f t="shared" si="61"/>
        <v>0</v>
      </c>
      <c r="V298">
        <f t="shared" si="62"/>
        <v>0</v>
      </c>
      <c r="W298">
        <f t="shared" si="63"/>
        <v>0</v>
      </c>
      <c r="X298">
        <f t="shared" si="64"/>
        <v>0</v>
      </c>
      <c r="Y298">
        <f t="shared" si="65"/>
        <v>0</v>
      </c>
      <c r="Z298">
        <f t="shared" si="66"/>
        <v>0</v>
      </c>
      <c r="AA298">
        <f t="shared" si="67"/>
        <v>1</v>
      </c>
    </row>
    <row r="299" spans="2:27" x14ac:dyDescent="0.3">
      <c r="B299">
        <v>292</v>
      </c>
      <c r="C299" s="1">
        <v>40835</v>
      </c>
      <c r="D299">
        <v>4</v>
      </c>
      <c r="E299">
        <v>0</v>
      </c>
      <c r="F299">
        <v>10</v>
      </c>
      <c r="G299">
        <v>3</v>
      </c>
      <c r="H299">
        <v>3</v>
      </c>
      <c r="I299">
        <v>254</v>
      </c>
      <c r="J299">
        <v>2170</v>
      </c>
      <c r="K299" s="8">
        <v>2424</v>
      </c>
      <c r="L299" s="12">
        <v>25.692399999999999</v>
      </c>
      <c r="M299" s="12">
        <v>89.521699999999996</v>
      </c>
      <c r="N299" s="12">
        <v>16.303712999999998</v>
      </c>
      <c r="O299" s="13">
        <f t="shared" si="55"/>
        <v>-1.0746236526163848</v>
      </c>
      <c r="P299" s="6">
        <f t="shared" si="56"/>
        <v>0.24251820697892759</v>
      </c>
      <c r="Q299" s="6">
        <f t="shared" si="57"/>
        <v>1.8781694291668907</v>
      </c>
      <c r="R299" s="6">
        <f t="shared" si="58"/>
        <v>0.68245715731158008</v>
      </c>
      <c r="S299">
        <f t="shared" si="59"/>
        <v>0</v>
      </c>
      <c r="T299">
        <f t="shared" si="60"/>
        <v>0</v>
      </c>
      <c r="U299">
        <f t="shared" si="61"/>
        <v>1</v>
      </c>
      <c r="V299">
        <f t="shared" si="62"/>
        <v>0</v>
      </c>
      <c r="W299">
        <f t="shared" si="63"/>
        <v>0</v>
      </c>
      <c r="X299">
        <f t="shared" si="64"/>
        <v>1</v>
      </c>
      <c r="Y299">
        <f t="shared" si="65"/>
        <v>0</v>
      </c>
      <c r="Z299">
        <f t="shared" si="66"/>
        <v>0</v>
      </c>
      <c r="AA299">
        <f t="shared" si="67"/>
        <v>1</v>
      </c>
    </row>
    <row r="300" spans="2:27" x14ac:dyDescent="0.3">
      <c r="B300">
        <v>293</v>
      </c>
      <c r="C300" s="1">
        <v>40836</v>
      </c>
      <c r="D300">
        <v>4</v>
      </c>
      <c r="E300">
        <v>0</v>
      </c>
      <c r="F300">
        <v>10</v>
      </c>
      <c r="G300">
        <v>4</v>
      </c>
      <c r="H300">
        <v>1</v>
      </c>
      <c r="I300">
        <v>471</v>
      </c>
      <c r="J300">
        <v>3724</v>
      </c>
      <c r="K300" s="8">
        <v>4195</v>
      </c>
      <c r="L300" s="12">
        <v>23.326250000000002</v>
      </c>
      <c r="M300" s="12">
        <v>63.625</v>
      </c>
      <c r="N300" s="12">
        <v>28.292425000000001</v>
      </c>
      <c r="O300" s="13">
        <f t="shared" si="55"/>
        <v>-0.15979703568389869</v>
      </c>
      <c r="P300" s="6">
        <f t="shared" si="56"/>
        <v>-4.8074941584886732E-2</v>
      </c>
      <c r="Q300" s="6">
        <f t="shared" si="57"/>
        <v>5.8707515836405003E-2</v>
      </c>
      <c r="R300" s="6">
        <f t="shared" si="58"/>
        <v>2.9929531152728792</v>
      </c>
      <c r="S300">
        <f t="shared" si="59"/>
        <v>0</v>
      </c>
      <c r="T300">
        <f t="shared" si="60"/>
        <v>0</v>
      </c>
      <c r="U300">
        <f t="shared" si="61"/>
        <v>0</v>
      </c>
      <c r="V300">
        <f t="shared" si="62"/>
        <v>1</v>
      </c>
      <c r="W300">
        <f t="shared" si="63"/>
        <v>0</v>
      </c>
      <c r="X300">
        <f t="shared" si="64"/>
        <v>0</v>
      </c>
      <c r="Y300">
        <f t="shared" si="65"/>
        <v>0</v>
      </c>
      <c r="Z300">
        <f t="shared" si="66"/>
        <v>0</v>
      </c>
      <c r="AA300">
        <f t="shared" si="67"/>
        <v>1</v>
      </c>
    </row>
    <row r="301" spans="2:27" x14ac:dyDescent="0.3">
      <c r="B301">
        <v>294</v>
      </c>
      <c r="C301" s="1">
        <v>40837</v>
      </c>
      <c r="D301">
        <v>4</v>
      </c>
      <c r="E301">
        <v>0</v>
      </c>
      <c r="F301">
        <v>10</v>
      </c>
      <c r="G301">
        <v>5</v>
      </c>
      <c r="H301">
        <v>1</v>
      </c>
      <c r="I301">
        <v>676</v>
      </c>
      <c r="J301">
        <v>3628</v>
      </c>
      <c r="K301" s="8">
        <v>4304</v>
      </c>
      <c r="L301" s="12">
        <v>21.1798</v>
      </c>
      <c r="M301" s="12">
        <v>57.416699999999999</v>
      </c>
      <c r="N301" s="12">
        <v>14.833532</v>
      </c>
      <c r="O301" s="13">
        <f t="shared" si="55"/>
        <v>-0.1034920660364447</v>
      </c>
      <c r="P301" s="6">
        <f t="shared" si="56"/>
        <v>-0.31168615124395332</v>
      </c>
      <c r="Q301" s="6">
        <f t="shared" si="57"/>
        <v>-0.37747799801399518</v>
      </c>
      <c r="R301" s="6">
        <f t="shared" si="58"/>
        <v>0.399120026686414</v>
      </c>
      <c r="S301">
        <f t="shared" si="59"/>
        <v>0</v>
      </c>
      <c r="T301">
        <f t="shared" si="60"/>
        <v>0</v>
      </c>
      <c r="U301">
        <f t="shared" si="61"/>
        <v>0</v>
      </c>
      <c r="V301">
        <f t="shared" si="62"/>
        <v>0</v>
      </c>
      <c r="W301">
        <f t="shared" si="63"/>
        <v>1</v>
      </c>
      <c r="X301">
        <f t="shared" si="64"/>
        <v>0</v>
      </c>
      <c r="Y301">
        <f t="shared" si="65"/>
        <v>0</v>
      </c>
      <c r="Z301">
        <f t="shared" si="66"/>
        <v>0</v>
      </c>
      <c r="AA301">
        <f t="shared" si="67"/>
        <v>1</v>
      </c>
    </row>
    <row r="302" spans="2:27" x14ac:dyDescent="0.3">
      <c r="B302">
        <v>295</v>
      </c>
      <c r="C302" s="1">
        <v>40838</v>
      </c>
      <c r="D302">
        <v>4</v>
      </c>
      <c r="E302">
        <v>0</v>
      </c>
      <c r="F302">
        <v>10</v>
      </c>
      <c r="G302">
        <v>6</v>
      </c>
      <c r="H302">
        <v>1</v>
      </c>
      <c r="I302">
        <v>1499</v>
      </c>
      <c r="J302">
        <v>2809</v>
      </c>
      <c r="K302" s="8">
        <v>4308</v>
      </c>
      <c r="L302" s="12">
        <v>21.2746</v>
      </c>
      <c r="M302" s="12">
        <v>62.916699999999999</v>
      </c>
      <c r="N302" s="12">
        <v>6.2086689000000002</v>
      </c>
      <c r="O302" s="13">
        <f t="shared" si="55"/>
        <v>-0.10142582861818952</v>
      </c>
      <c r="P302" s="6">
        <f t="shared" si="56"/>
        <v>-0.30004351215351127</v>
      </c>
      <c r="Q302" s="6">
        <f t="shared" si="57"/>
        <v>8.9434581297479585E-3</v>
      </c>
      <c r="R302" s="6">
        <f t="shared" si="58"/>
        <v>-1.2630861661489425</v>
      </c>
      <c r="S302">
        <f t="shared" si="59"/>
        <v>0</v>
      </c>
      <c r="T302">
        <f t="shared" si="60"/>
        <v>0</v>
      </c>
      <c r="U302">
        <f t="shared" si="61"/>
        <v>0</v>
      </c>
      <c r="V302">
        <f t="shared" si="62"/>
        <v>0</v>
      </c>
      <c r="W302">
        <f t="shared" si="63"/>
        <v>0</v>
      </c>
      <c r="X302">
        <f t="shared" si="64"/>
        <v>0</v>
      </c>
      <c r="Y302">
        <f t="shared" si="65"/>
        <v>0</v>
      </c>
      <c r="Z302">
        <f t="shared" si="66"/>
        <v>0</v>
      </c>
      <c r="AA302">
        <f t="shared" si="67"/>
        <v>1</v>
      </c>
    </row>
    <row r="303" spans="2:27" x14ac:dyDescent="0.3">
      <c r="B303">
        <v>296</v>
      </c>
      <c r="C303" s="1">
        <v>40839</v>
      </c>
      <c r="D303">
        <v>4</v>
      </c>
      <c r="E303">
        <v>0</v>
      </c>
      <c r="F303">
        <v>10</v>
      </c>
      <c r="G303">
        <v>0</v>
      </c>
      <c r="H303">
        <v>1</v>
      </c>
      <c r="I303">
        <v>1619</v>
      </c>
      <c r="J303">
        <v>2762</v>
      </c>
      <c r="K303" s="8">
        <v>4381</v>
      </c>
      <c r="L303" s="12">
        <v>21.11665</v>
      </c>
      <c r="M303" s="12">
        <v>74.125</v>
      </c>
      <c r="N303" s="12">
        <v>6.6673375000000004</v>
      </c>
      <c r="O303" s="13">
        <f t="shared" si="55"/>
        <v>-6.371699573503227E-2</v>
      </c>
      <c r="P303" s="6">
        <f t="shared" si="56"/>
        <v>-0.31944177000514973</v>
      </c>
      <c r="Q303" s="6">
        <f t="shared" si="57"/>
        <v>0.79642120483809642</v>
      </c>
      <c r="R303" s="6">
        <f t="shared" si="58"/>
        <v>-1.1746903529586876</v>
      </c>
      <c r="S303">
        <f t="shared" si="59"/>
        <v>0</v>
      </c>
      <c r="T303">
        <f t="shared" si="60"/>
        <v>0</v>
      </c>
      <c r="U303">
        <f t="shared" si="61"/>
        <v>0</v>
      </c>
      <c r="V303">
        <f t="shared" si="62"/>
        <v>0</v>
      </c>
      <c r="W303">
        <f t="shared" si="63"/>
        <v>0</v>
      </c>
      <c r="X303">
        <f t="shared" si="64"/>
        <v>0</v>
      </c>
      <c r="Y303">
        <f t="shared" si="65"/>
        <v>0</v>
      </c>
      <c r="Z303">
        <f t="shared" si="66"/>
        <v>0</v>
      </c>
      <c r="AA303">
        <f t="shared" si="67"/>
        <v>1</v>
      </c>
    </row>
    <row r="304" spans="2:27" x14ac:dyDescent="0.3">
      <c r="B304">
        <v>297</v>
      </c>
      <c r="C304" s="1">
        <v>40840</v>
      </c>
      <c r="D304">
        <v>4</v>
      </c>
      <c r="E304">
        <v>0</v>
      </c>
      <c r="F304">
        <v>10</v>
      </c>
      <c r="G304">
        <v>1</v>
      </c>
      <c r="H304">
        <v>1</v>
      </c>
      <c r="I304">
        <v>699</v>
      </c>
      <c r="J304">
        <v>3488</v>
      </c>
      <c r="K304" s="8">
        <v>4187</v>
      </c>
      <c r="L304" s="12">
        <v>22.853349999999999</v>
      </c>
      <c r="M304" s="12">
        <v>77.208299999999994</v>
      </c>
      <c r="N304" s="12">
        <v>7.9590639999999997</v>
      </c>
      <c r="O304" s="13">
        <f t="shared" si="55"/>
        <v>-0.16392951052040908</v>
      </c>
      <c r="P304" s="6">
        <f t="shared" si="56"/>
        <v>-0.10615304312360099</v>
      </c>
      <c r="Q304" s="6">
        <f t="shared" si="57"/>
        <v>1.0130490731522783</v>
      </c>
      <c r="R304" s="6">
        <f t="shared" si="58"/>
        <v>-0.9257454406910901</v>
      </c>
      <c r="S304">
        <f t="shared" si="59"/>
        <v>1</v>
      </c>
      <c r="T304">
        <f t="shared" si="60"/>
        <v>0</v>
      </c>
      <c r="U304">
        <f t="shared" si="61"/>
        <v>0</v>
      </c>
      <c r="V304">
        <f t="shared" si="62"/>
        <v>0</v>
      </c>
      <c r="W304">
        <f t="shared" si="63"/>
        <v>0</v>
      </c>
      <c r="X304">
        <f t="shared" si="64"/>
        <v>0</v>
      </c>
      <c r="Y304">
        <f t="shared" si="65"/>
        <v>0</v>
      </c>
      <c r="Z304">
        <f t="shared" si="66"/>
        <v>0</v>
      </c>
      <c r="AA304">
        <f t="shared" si="67"/>
        <v>1</v>
      </c>
    </row>
    <row r="305" spans="2:27" x14ac:dyDescent="0.3">
      <c r="B305">
        <v>298</v>
      </c>
      <c r="C305" s="1">
        <v>40841</v>
      </c>
      <c r="D305">
        <v>4</v>
      </c>
      <c r="E305">
        <v>0</v>
      </c>
      <c r="F305">
        <v>10</v>
      </c>
      <c r="G305">
        <v>2</v>
      </c>
      <c r="H305">
        <v>1</v>
      </c>
      <c r="I305">
        <v>695</v>
      </c>
      <c r="J305">
        <v>3992</v>
      </c>
      <c r="K305" s="8">
        <v>4687</v>
      </c>
      <c r="L305" s="12">
        <v>23.168749999999999</v>
      </c>
      <c r="M305" s="12">
        <v>62.291699999999999</v>
      </c>
      <c r="N305" s="12">
        <v>11.166086</v>
      </c>
      <c r="O305" s="13">
        <f t="shared" si="55"/>
        <v>9.4350166761489898E-2</v>
      </c>
      <c r="P305" s="6">
        <f t="shared" si="56"/>
        <v>-6.7417933744640557E-2</v>
      </c>
      <c r="Q305" s="6">
        <f t="shared" si="57"/>
        <v>-3.4968070977495581E-2</v>
      </c>
      <c r="R305" s="6">
        <f t="shared" si="58"/>
        <v>-0.3076797662389088</v>
      </c>
      <c r="S305">
        <f t="shared" si="59"/>
        <v>0</v>
      </c>
      <c r="T305">
        <f t="shared" si="60"/>
        <v>1</v>
      </c>
      <c r="U305">
        <f t="shared" si="61"/>
        <v>0</v>
      </c>
      <c r="V305">
        <f t="shared" si="62"/>
        <v>0</v>
      </c>
      <c r="W305">
        <f t="shared" si="63"/>
        <v>0</v>
      </c>
      <c r="X305">
        <f t="shared" si="64"/>
        <v>0</v>
      </c>
      <c r="Y305">
        <f t="shared" si="65"/>
        <v>0</v>
      </c>
      <c r="Z305">
        <f t="shared" si="66"/>
        <v>0</v>
      </c>
      <c r="AA305">
        <f t="shared" si="67"/>
        <v>1</v>
      </c>
    </row>
    <row r="306" spans="2:27" x14ac:dyDescent="0.3">
      <c r="B306">
        <v>299</v>
      </c>
      <c r="C306" s="1">
        <v>40842</v>
      </c>
      <c r="D306">
        <v>4</v>
      </c>
      <c r="E306">
        <v>0</v>
      </c>
      <c r="F306">
        <v>10</v>
      </c>
      <c r="G306">
        <v>3</v>
      </c>
      <c r="H306">
        <v>2</v>
      </c>
      <c r="I306">
        <v>404</v>
      </c>
      <c r="J306">
        <v>3490</v>
      </c>
      <c r="K306" s="8">
        <v>3894</v>
      </c>
      <c r="L306" s="12">
        <v>23.642299999999999</v>
      </c>
      <c r="M306" s="12">
        <v>72.041700000000006</v>
      </c>
      <c r="N306" s="12">
        <v>9.9590139999999998</v>
      </c>
      <c r="O306" s="13">
        <f t="shared" si="55"/>
        <v>-0.31528140140760186</v>
      </c>
      <c r="P306" s="6">
        <f t="shared" si="56"/>
        <v>-9.2600039843150194E-3</v>
      </c>
      <c r="Q306" s="6">
        <f t="shared" si="57"/>
        <v>0.65005178309550415</v>
      </c>
      <c r="R306" s="6">
        <f t="shared" si="58"/>
        <v>-0.54030984167722618</v>
      </c>
      <c r="S306">
        <f t="shared" si="59"/>
        <v>0</v>
      </c>
      <c r="T306">
        <f t="shared" si="60"/>
        <v>0</v>
      </c>
      <c r="U306">
        <f t="shared" si="61"/>
        <v>1</v>
      </c>
      <c r="V306">
        <f t="shared" si="62"/>
        <v>0</v>
      </c>
      <c r="W306">
        <f t="shared" si="63"/>
        <v>0</v>
      </c>
      <c r="X306">
        <f t="shared" si="64"/>
        <v>0</v>
      </c>
      <c r="Y306">
        <f t="shared" si="65"/>
        <v>0</v>
      </c>
      <c r="Z306">
        <f t="shared" si="66"/>
        <v>0</v>
      </c>
      <c r="AA306">
        <f t="shared" si="67"/>
        <v>1</v>
      </c>
    </row>
    <row r="307" spans="2:27" x14ac:dyDescent="0.3">
      <c r="B307">
        <v>300</v>
      </c>
      <c r="C307" s="1">
        <v>40843</v>
      </c>
      <c r="D307">
        <v>4</v>
      </c>
      <c r="E307">
        <v>0</v>
      </c>
      <c r="F307">
        <v>10</v>
      </c>
      <c r="G307">
        <v>4</v>
      </c>
      <c r="H307">
        <v>2</v>
      </c>
      <c r="I307">
        <v>240</v>
      </c>
      <c r="J307">
        <v>2419</v>
      </c>
      <c r="K307" s="8">
        <v>2659</v>
      </c>
      <c r="L307" s="12">
        <v>22.8523</v>
      </c>
      <c r="M307" s="12">
        <v>81.291700000000006</v>
      </c>
      <c r="N307" s="12">
        <v>13.250121</v>
      </c>
      <c r="O307" s="13">
        <f t="shared" si="55"/>
        <v>-0.95323220429389233</v>
      </c>
      <c r="P307" s="6">
        <f t="shared" si="56"/>
        <v>-0.10628199640466593</v>
      </c>
      <c r="Q307" s="6">
        <f t="shared" si="57"/>
        <v>1.2999424138827085</v>
      </c>
      <c r="R307" s="6">
        <f t="shared" si="58"/>
        <v>9.3960914073528023E-2</v>
      </c>
      <c r="S307">
        <f t="shared" si="59"/>
        <v>0</v>
      </c>
      <c r="T307">
        <f t="shared" si="60"/>
        <v>0</v>
      </c>
      <c r="U307">
        <f t="shared" si="61"/>
        <v>0</v>
      </c>
      <c r="V307">
        <f t="shared" si="62"/>
        <v>1</v>
      </c>
      <c r="W307">
        <f t="shared" si="63"/>
        <v>0</v>
      </c>
      <c r="X307">
        <f t="shared" si="64"/>
        <v>0</v>
      </c>
      <c r="Y307">
        <f t="shared" si="65"/>
        <v>0</v>
      </c>
      <c r="Z307">
        <f t="shared" si="66"/>
        <v>0</v>
      </c>
      <c r="AA307">
        <f t="shared" si="67"/>
        <v>1</v>
      </c>
    </row>
    <row r="308" spans="2:27" x14ac:dyDescent="0.3">
      <c r="B308">
        <v>301</v>
      </c>
      <c r="C308" s="1">
        <v>40844</v>
      </c>
      <c r="D308">
        <v>4</v>
      </c>
      <c r="E308">
        <v>0</v>
      </c>
      <c r="F308">
        <v>10</v>
      </c>
      <c r="G308">
        <v>5</v>
      </c>
      <c r="H308">
        <v>2</v>
      </c>
      <c r="I308">
        <v>456</v>
      </c>
      <c r="J308">
        <v>3291</v>
      </c>
      <c r="K308" s="8">
        <v>3747</v>
      </c>
      <c r="L308" s="12">
        <v>15.9406</v>
      </c>
      <c r="M308" s="12">
        <v>58.583300000000001</v>
      </c>
      <c r="N308" s="12">
        <v>15.375093</v>
      </c>
      <c r="O308" s="13">
        <f t="shared" si="55"/>
        <v>-0.39121562652848013</v>
      </c>
      <c r="P308" s="6">
        <f t="shared" si="56"/>
        <v>-0.95512617996383065</v>
      </c>
      <c r="Q308" s="6">
        <f t="shared" si="57"/>
        <v>-0.29551449424357851</v>
      </c>
      <c r="R308" s="6">
        <f t="shared" si="58"/>
        <v>0.50349108018152489</v>
      </c>
      <c r="S308">
        <f t="shared" si="59"/>
        <v>0</v>
      </c>
      <c r="T308">
        <f t="shared" si="60"/>
        <v>0</v>
      </c>
      <c r="U308">
        <f t="shared" si="61"/>
        <v>0</v>
      </c>
      <c r="V308">
        <f t="shared" si="62"/>
        <v>0</v>
      </c>
      <c r="W308">
        <f t="shared" si="63"/>
        <v>1</v>
      </c>
      <c r="X308">
        <f t="shared" si="64"/>
        <v>0</v>
      </c>
      <c r="Y308">
        <f t="shared" si="65"/>
        <v>0</v>
      </c>
      <c r="Z308">
        <f t="shared" si="66"/>
        <v>0</v>
      </c>
      <c r="AA308">
        <f t="shared" si="67"/>
        <v>1</v>
      </c>
    </row>
    <row r="309" spans="2:27" x14ac:dyDescent="0.3">
      <c r="B309">
        <v>302</v>
      </c>
      <c r="C309" s="1">
        <v>40845</v>
      </c>
      <c r="D309">
        <v>4</v>
      </c>
      <c r="E309">
        <v>0</v>
      </c>
      <c r="F309">
        <v>10</v>
      </c>
      <c r="G309">
        <v>6</v>
      </c>
      <c r="H309">
        <v>3</v>
      </c>
      <c r="I309">
        <v>57</v>
      </c>
      <c r="J309">
        <v>570</v>
      </c>
      <c r="K309" s="8">
        <v>627</v>
      </c>
      <c r="L309" s="12">
        <v>11.39565</v>
      </c>
      <c r="M309" s="12">
        <v>88.25</v>
      </c>
      <c r="N309" s="12">
        <v>23.541857</v>
      </c>
      <c r="O309" s="13">
        <f t="shared" si="55"/>
        <v>-2.0028808127675295</v>
      </c>
      <c r="P309" s="6">
        <f t="shared" si="56"/>
        <v>-1.5133035273700006</v>
      </c>
      <c r="Q309" s="6">
        <f t="shared" si="57"/>
        <v>1.7888217626618004</v>
      </c>
      <c r="R309" s="6">
        <f t="shared" si="58"/>
        <v>2.0774112153573343</v>
      </c>
      <c r="S309">
        <f t="shared" si="59"/>
        <v>0</v>
      </c>
      <c r="T309">
        <f t="shared" si="60"/>
        <v>0</v>
      </c>
      <c r="U309">
        <f t="shared" si="61"/>
        <v>0</v>
      </c>
      <c r="V309">
        <f t="shared" si="62"/>
        <v>0</v>
      </c>
      <c r="W309">
        <f t="shared" si="63"/>
        <v>0</v>
      </c>
      <c r="X309">
        <f t="shared" si="64"/>
        <v>1</v>
      </c>
      <c r="Y309">
        <f t="shared" si="65"/>
        <v>0</v>
      </c>
      <c r="Z309">
        <f t="shared" si="66"/>
        <v>0</v>
      </c>
      <c r="AA309">
        <f t="shared" si="67"/>
        <v>1</v>
      </c>
    </row>
    <row r="310" spans="2:27" x14ac:dyDescent="0.3">
      <c r="B310">
        <v>303</v>
      </c>
      <c r="C310" s="1">
        <v>40846</v>
      </c>
      <c r="D310">
        <v>4</v>
      </c>
      <c r="E310">
        <v>0</v>
      </c>
      <c r="F310">
        <v>10</v>
      </c>
      <c r="G310">
        <v>0</v>
      </c>
      <c r="H310">
        <v>1</v>
      </c>
      <c r="I310">
        <v>885</v>
      </c>
      <c r="J310">
        <v>2446</v>
      </c>
      <c r="K310" s="8">
        <v>3331</v>
      </c>
      <c r="L310" s="12">
        <v>16.06645</v>
      </c>
      <c r="M310" s="12">
        <v>62.375</v>
      </c>
      <c r="N310" s="12">
        <v>11.833339</v>
      </c>
      <c r="O310" s="13">
        <f t="shared" si="55"/>
        <v>-0.60610431802702014</v>
      </c>
      <c r="P310" s="6">
        <f t="shared" si="56"/>
        <v>-0.9396702081333228</v>
      </c>
      <c r="Q310" s="6">
        <f t="shared" si="57"/>
        <v>-2.911554237808207E-2</v>
      </c>
      <c r="R310" s="6">
        <f t="shared" si="58"/>
        <v>-0.17908502149589123</v>
      </c>
      <c r="S310">
        <f t="shared" si="59"/>
        <v>0</v>
      </c>
      <c r="T310">
        <f t="shared" si="60"/>
        <v>0</v>
      </c>
      <c r="U310">
        <f t="shared" si="61"/>
        <v>0</v>
      </c>
      <c r="V310">
        <f t="shared" si="62"/>
        <v>0</v>
      </c>
      <c r="W310">
        <f t="shared" si="63"/>
        <v>0</v>
      </c>
      <c r="X310">
        <f t="shared" si="64"/>
        <v>0</v>
      </c>
      <c r="Y310">
        <f t="shared" si="65"/>
        <v>0</v>
      </c>
      <c r="Z310">
        <f t="shared" si="66"/>
        <v>0</v>
      </c>
      <c r="AA310">
        <f t="shared" si="67"/>
        <v>1</v>
      </c>
    </row>
    <row r="311" spans="2:27" x14ac:dyDescent="0.3">
      <c r="B311">
        <v>304</v>
      </c>
      <c r="C311" s="1">
        <v>40847</v>
      </c>
      <c r="D311">
        <v>4</v>
      </c>
      <c r="E311">
        <v>0</v>
      </c>
      <c r="F311">
        <v>10</v>
      </c>
      <c r="G311">
        <v>1</v>
      </c>
      <c r="H311">
        <v>1</v>
      </c>
      <c r="I311">
        <v>362</v>
      </c>
      <c r="J311">
        <v>3307</v>
      </c>
      <c r="K311" s="8">
        <v>3669</v>
      </c>
      <c r="L311" s="12">
        <v>17.803149999999999</v>
      </c>
      <c r="M311" s="12">
        <v>70.333299999999994</v>
      </c>
      <c r="N311" s="12">
        <v>7.1254499999999998</v>
      </c>
      <c r="O311" s="13">
        <f t="shared" si="55"/>
        <v>-0.4315072561844564</v>
      </c>
      <c r="P311" s="6">
        <f t="shared" si="56"/>
        <v>-0.72638148125177404</v>
      </c>
      <c r="Q311" s="6">
        <f t="shared" si="57"/>
        <v>0.53002225297259953</v>
      </c>
      <c r="R311" s="6">
        <f t="shared" si="58"/>
        <v>-1.0864017128160648</v>
      </c>
      <c r="S311">
        <f t="shared" si="59"/>
        <v>1</v>
      </c>
      <c r="T311">
        <f t="shared" si="60"/>
        <v>0</v>
      </c>
      <c r="U311">
        <f t="shared" si="61"/>
        <v>0</v>
      </c>
      <c r="V311">
        <f t="shared" si="62"/>
        <v>0</v>
      </c>
      <c r="W311">
        <f t="shared" si="63"/>
        <v>0</v>
      </c>
      <c r="X311">
        <f t="shared" si="64"/>
        <v>0</v>
      </c>
      <c r="Y311">
        <f t="shared" si="65"/>
        <v>0</v>
      </c>
      <c r="Z311">
        <f t="shared" si="66"/>
        <v>0</v>
      </c>
      <c r="AA311">
        <f t="shared" si="67"/>
        <v>1</v>
      </c>
    </row>
    <row r="312" spans="2:27" x14ac:dyDescent="0.3">
      <c r="B312">
        <v>305</v>
      </c>
      <c r="C312" s="1">
        <v>40848</v>
      </c>
      <c r="D312">
        <v>4</v>
      </c>
      <c r="E312">
        <v>0</v>
      </c>
      <c r="F312">
        <v>11</v>
      </c>
      <c r="G312">
        <v>2</v>
      </c>
      <c r="H312">
        <v>1</v>
      </c>
      <c r="I312">
        <v>410</v>
      </c>
      <c r="J312">
        <v>3658</v>
      </c>
      <c r="K312" s="8">
        <v>4068</v>
      </c>
      <c r="L312" s="12">
        <v>19.854399999999998</v>
      </c>
      <c r="M312" s="12">
        <v>68.375</v>
      </c>
      <c r="N312" s="12">
        <v>9.0832569999999997</v>
      </c>
      <c r="O312" s="13">
        <f t="shared" si="55"/>
        <v>-0.22540007371350101</v>
      </c>
      <c r="P312" s="6">
        <f t="shared" si="56"/>
        <v>-0.47446203574260321</v>
      </c>
      <c r="Q312" s="6">
        <f t="shared" si="57"/>
        <v>0.39243513705145588</v>
      </c>
      <c r="R312" s="6">
        <f t="shared" si="58"/>
        <v>-0.70908802307455332</v>
      </c>
      <c r="S312">
        <f t="shared" si="59"/>
        <v>0</v>
      </c>
      <c r="T312">
        <f t="shared" si="60"/>
        <v>1</v>
      </c>
      <c r="U312">
        <f t="shared" si="61"/>
        <v>0</v>
      </c>
      <c r="V312">
        <f t="shared" si="62"/>
        <v>0</v>
      </c>
      <c r="W312">
        <f t="shared" si="63"/>
        <v>0</v>
      </c>
      <c r="X312">
        <f t="shared" si="64"/>
        <v>0</v>
      </c>
      <c r="Y312">
        <f t="shared" si="65"/>
        <v>0</v>
      </c>
      <c r="Z312">
        <f t="shared" si="66"/>
        <v>0</v>
      </c>
      <c r="AA312">
        <f t="shared" si="67"/>
        <v>1</v>
      </c>
    </row>
    <row r="313" spans="2:27" x14ac:dyDescent="0.3">
      <c r="B313">
        <v>306</v>
      </c>
      <c r="C313" s="1">
        <v>40849</v>
      </c>
      <c r="D313">
        <v>4</v>
      </c>
      <c r="E313">
        <v>0</v>
      </c>
      <c r="F313">
        <v>11</v>
      </c>
      <c r="G313">
        <v>3</v>
      </c>
      <c r="H313">
        <v>1</v>
      </c>
      <c r="I313">
        <v>370</v>
      </c>
      <c r="J313">
        <v>3816</v>
      </c>
      <c r="K313" s="8">
        <v>4186</v>
      </c>
      <c r="L313" s="12">
        <v>19.50665</v>
      </c>
      <c r="M313" s="12">
        <v>71.875</v>
      </c>
      <c r="N313" s="12">
        <v>5.5001439000000003</v>
      </c>
      <c r="O313" s="13">
        <f t="shared" si="55"/>
        <v>-0.16444606987497287</v>
      </c>
      <c r="P313" s="6">
        <f t="shared" si="56"/>
        <v>-0.51717013430485237</v>
      </c>
      <c r="Q313" s="6">
        <f t="shared" si="57"/>
        <v>0.63833970005201968</v>
      </c>
      <c r="R313" s="6">
        <f t="shared" si="58"/>
        <v>-1.399634958764407</v>
      </c>
      <c r="S313">
        <f t="shared" si="59"/>
        <v>0</v>
      </c>
      <c r="T313">
        <f t="shared" si="60"/>
        <v>0</v>
      </c>
      <c r="U313">
        <f t="shared" si="61"/>
        <v>1</v>
      </c>
      <c r="V313">
        <f t="shared" si="62"/>
        <v>0</v>
      </c>
      <c r="W313">
        <f t="shared" si="63"/>
        <v>0</v>
      </c>
      <c r="X313">
        <f t="shared" si="64"/>
        <v>0</v>
      </c>
      <c r="Y313">
        <f t="shared" si="65"/>
        <v>0</v>
      </c>
      <c r="Z313">
        <f t="shared" si="66"/>
        <v>0</v>
      </c>
      <c r="AA313">
        <f t="shared" si="67"/>
        <v>1</v>
      </c>
    </row>
    <row r="314" spans="2:27" x14ac:dyDescent="0.3">
      <c r="B314">
        <v>307</v>
      </c>
      <c r="C314" s="1">
        <v>40850</v>
      </c>
      <c r="D314">
        <v>4</v>
      </c>
      <c r="E314">
        <v>0</v>
      </c>
      <c r="F314">
        <v>11</v>
      </c>
      <c r="G314">
        <v>4</v>
      </c>
      <c r="H314">
        <v>1</v>
      </c>
      <c r="I314">
        <v>318</v>
      </c>
      <c r="J314">
        <v>3656</v>
      </c>
      <c r="K314" s="8">
        <v>3974</v>
      </c>
      <c r="L314" s="12">
        <v>20.296050000000001</v>
      </c>
      <c r="M314" s="12">
        <v>70.208299999999994</v>
      </c>
      <c r="N314" s="12">
        <v>9.1667389999999997</v>
      </c>
      <c r="O314" s="13">
        <f t="shared" si="55"/>
        <v>-0.273956653042498</v>
      </c>
      <c r="P314" s="6">
        <f t="shared" si="56"/>
        <v>-0.42022182947368131</v>
      </c>
      <c r="Q314" s="6">
        <f t="shared" si="57"/>
        <v>0.52123994715115085</v>
      </c>
      <c r="R314" s="6">
        <f t="shared" si="58"/>
        <v>-0.69299915351437658</v>
      </c>
      <c r="S314">
        <f t="shared" si="59"/>
        <v>0</v>
      </c>
      <c r="T314">
        <f t="shared" si="60"/>
        <v>0</v>
      </c>
      <c r="U314">
        <f t="shared" si="61"/>
        <v>0</v>
      </c>
      <c r="V314">
        <f t="shared" si="62"/>
        <v>1</v>
      </c>
      <c r="W314">
        <f t="shared" si="63"/>
        <v>0</v>
      </c>
      <c r="X314">
        <f t="shared" si="64"/>
        <v>0</v>
      </c>
      <c r="Y314">
        <f t="shared" si="65"/>
        <v>0</v>
      </c>
      <c r="Z314">
        <f t="shared" si="66"/>
        <v>0</v>
      </c>
      <c r="AA314">
        <f t="shared" si="67"/>
        <v>1</v>
      </c>
    </row>
    <row r="315" spans="2:27" x14ac:dyDescent="0.3">
      <c r="B315">
        <v>308</v>
      </c>
      <c r="C315" s="1">
        <v>40851</v>
      </c>
      <c r="D315">
        <v>4</v>
      </c>
      <c r="E315">
        <v>0</v>
      </c>
      <c r="F315">
        <v>11</v>
      </c>
      <c r="G315">
        <v>5</v>
      </c>
      <c r="H315">
        <v>2</v>
      </c>
      <c r="I315">
        <v>470</v>
      </c>
      <c r="J315">
        <v>3576</v>
      </c>
      <c r="K315" s="8">
        <v>4046</v>
      </c>
      <c r="L315" s="12">
        <v>20.169599999999999</v>
      </c>
      <c r="M315" s="12">
        <v>62.25</v>
      </c>
      <c r="N315" s="12">
        <v>18.209192999999999</v>
      </c>
      <c r="O315" s="13">
        <f t="shared" si="55"/>
        <v>-0.23676437951390458</v>
      </c>
      <c r="P315" s="6">
        <f t="shared" si="56"/>
        <v>-0.4357514888933694</v>
      </c>
      <c r="Q315" s="6">
        <f t="shared" si="57"/>
        <v>-3.7897848199530779E-2</v>
      </c>
      <c r="R315" s="6">
        <f t="shared" si="58"/>
        <v>1.0496862506433822</v>
      </c>
      <c r="S315">
        <f t="shared" si="59"/>
        <v>0</v>
      </c>
      <c r="T315">
        <f t="shared" si="60"/>
        <v>0</v>
      </c>
      <c r="U315">
        <f t="shared" si="61"/>
        <v>0</v>
      </c>
      <c r="V315">
        <f t="shared" si="62"/>
        <v>0</v>
      </c>
      <c r="W315">
        <f t="shared" si="63"/>
        <v>1</v>
      </c>
      <c r="X315">
        <f t="shared" si="64"/>
        <v>0</v>
      </c>
      <c r="Y315">
        <f t="shared" si="65"/>
        <v>0</v>
      </c>
      <c r="Z315">
        <f t="shared" si="66"/>
        <v>0</v>
      </c>
      <c r="AA315">
        <f t="shared" si="67"/>
        <v>1</v>
      </c>
    </row>
    <row r="316" spans="2:27" x14ac:dyDescent="0.3">
      <c r="B316">
        <v>309</v>
      </c>
      <c r="C316" s="1">
        <v>40852</v>
      </c>
      <c r="D316">
        <v>4</v>
      </c>
      <c r="E316">
        <v>0</v>
      </c>
      <c r="F316">
        <v>11</v>
      </c>
      <c r="G316">
        <v>6</v>
      </c>
      <c r="H316">
        <v>1</v>
      </c>
      <c r="I316">
        <v>1156</v>
      </c>
      <c r="J316">
        <v>2770</v>
      </c>
      <c r="K316" s="8">
        <v>3926</v>
      </c>
      <c r="L316" s="12">
        <v>16.192699999999999</v>
      </c>
      <c r="M316" s="12">
        <v>51.916699999999999</v>
      </c>
      <c r="N316" s="12">
        <v>12.667154</v>
      </c>
      <c r="O316" s="13">
        <f t="shared" si="55"/>
        <v>-0.29875150206156031</v>
      </c>
      <c r="P316" s="6">
        <f t="shared" si="56"/>
        <v>-0.92416511124336187</v>
      </c>
      <c r="Q316" s="6">
        <f t="shared" si="57"/>
        <v>-0.7638994541577383</v>
      </c>
      <c r="R316" s="6">
        <f t="shared" si="58"/>
        <v>-1.8390012124784548E-2</v>
      </c>
      <c r="S316">
        <f t="shared" si="59"/>
        <v>0</v>
      </c>
      <c r="T316">
        <f t="shared" si="60"/>
        <v>0</v>
      </c>
      <c r="U316">
        <f t="shared" si="61"/>
        <v>0</v>
      </c>
      <c r="V316">
        <f t="shared" si="62"/>
        <v>0</v>
      </c>
      <c r="W316">
        <f t="shared" si="63"/>
        <v>0</v>
      </c>
      <c r="X316">
        <f t="shared" si="64"/>
        <v>0</v>
      </c>
      <c r="Y316">
        <f t="shared" si="65"/>
        <v>0</v>
      </c>
      <c r="Z316">
        <f t="shared" si="66"/>
        <v>0</v>
      </c>
      <c r="AA316">
        <f t="shared" si="67"/>
        <v>1</v>
      </c>
    </row>
    <row r="317" spans="2:27" x14ac:dyDescent="0.3">
      <c r="B317">
        <v>310</v>
      </c>
      <c r="C317" s="1">
        <v>40853</v>
      </c>
      <c r="D317">
        <v>4</v>
      </c>
      <c r="E317">
        <v>0</v>
      </c>
      <c r="F317">
        <v>11</v>
      </c>
      <c r="G317">
        <v>0</v>
      </c>
      <c r="H317">
        <v>1</v>
      </c>
      <c r="I317">
        <v>952</v>
      </c>
      <c r="J317">
        <v>2697</v>
      </c>
      <c r="K317" s="8">
        <v>3649</v>
      </c>
      <c r="L317" s="12">
        <v>18.117899999999999</v>
      </c>
      <c r="M317" s="12">
        <v>73.458299999999994</v>
      </c>
      <c r="N317" s="12">
        <v>6.1676314000000003</v>
      </c>
      <c r="O317" s="13">
        <f t="shared" si="55"/>
        <v>-0.44183844327573235</v>
      </c>
      <c r="P317" s="6">
        <f t="shared" si="56"/>
        <v>-0.68772620009442531</v>
      </c>
      <c r="Q317" s="6">
        <f t="shared" si="57"/>
        <v>0.74957989850881723</v>
      </c>
      <c r="R317" s="6">
        <f t="shared" si="58"/>
        <v>-1.2709950205675689</v>
      </c>
      <c r="S317">
        <f t="shared" si="59"/>
        <v>0</v>
      </c>
      <c r="T317">
        <f t="shared" si="60"/>
        <v>0</v>
      </c>
      <c r="U317">
        <f t="shared" si="61"/>
        <v>0</v>
      </c>
      <c r="V317">
        <f t="shared" si="62"/>
        <v>0</v>
      </c>
      <c r="W317">
        <f t="shared" si="63"/>
        <v>0</v>
      </c>
      <c r="X317">
        <f t="shared" si="64"/>
        <v>0</v>
      </c>
      <c r="Y317">
        <f t="shared" si="65"/>
        <v>0</v>
      </c>
      <c r="Z317">
        <f t="shared" si="66"/>
        <v>0</v>
      </c>
      <c r="AA317">
        <f t="shared" si="67"/>
        <v>1</v>
      </c>
    </row>
    <row r="318" spans="2:27" x14ac:dyDescent="0.3">
      <c r="B318">
        <v>311</v>
      </c>
      <c r="C318" s="1">
        <v>40854</v>
      </c>
      <c r="D318">
        <v>4</v>
      </c>
      <c r="E318">
        <v>0</v>
      </c>
      <c r="F318">
        <v>11</v>
      </c>
      <c r="G318">
        <v>1</v>
      </c>
      <c r="H318">
        <v>1</v>
      </c>
      <c r="I318">
        <v>373</v>
      </c>
      <c r="J318">
        <v>3662</v>
      </c>
      <c r="K318" s="8">
        <v>4035</v>
      </c>
      <c r="L318" s="12">
        <v>20.04355</v>
      </c>
      <c r="M318" s="12">
        <v>75.875</v>
      </c>
      <c r="N318" s="12">
        <v>3.8340749999999999</v>
      </c>
      <c r="O318" s="13">
        <f t="shared" si="55"/>
        <v>-0.24244653241410635</v>
      </c>
      <c r="P318" s="6">
        <f t="shared" si="56"/>
        <v>-0.45123202325360379</v>
      </c>
      <c r="Q318" s="6">
        <f t="shared" si="57"/>
        <v>0.91937348633837834</v>
      </c>
      <c r="R318" s="6">
        <f t="shared" si="58"/>
        <v>-1.7207241182283282</v>
      </c>
      <c r="S318">
        <f t="shared" si="59"/>
        <v>1</v>
      </c>
      <c r="T318">
        <f t="shared" si="60"/>
        <v>0</v>
      </c>
      <c r="U318">
        <f t="shared" si="61"/>
        <v>0</v>
      </c>
      <c r="V318">
        <f t="shared" si="62"/>
        <v>0</v>
      </c>
      <c r="W318">
        <f t="shared" si="63"/>
        <v>0</v>
      </c>
      <c r="X318">
        <f t="shared" si="64"/>
        <v>0</v>
      </c>
      <c r="Y318">
        <f t="shared" si="65"/>
        <v>0</v>
      </c>
      <c r="Z318">
        <f t="shared" si="66"/>
        <v>0</v>
      </c>
      <c r="AA318">
        <f t="shared" si="67"/>
        <v>1</v>
      </c>
    </row>
    <row r="319" spans="2:27" x14ac:dyDescent="0.3">
      <c r="B319">
        <v>312</v>
      </c>
      <c r="C319" s="1">
        <v>40855</v>
      </c>
      <c r="D319">
        <v>4</v>
      </c>
      <c r="E319">
        <v>0</v>
      </c>
      <c r="F319">
        <v>11</v>
      </c>
      <c r="G319">
        <v>2</v>
      </c>
      <c r="H319">
        <v>1</v>
      </c>
      <c r="I319">
        <v>376</v>
      </c>
      <c r="J319">
        <v>3829</v>
      </c>
      <c r="K319" s="8">
        <v>4205</v>
      </c>
      <c r="L319" s="12">
        <v>20.612300000000001</v>
      </c>
      <c r="M319" s="12">
        <v>72.166700000000006</v>
      </c>
      <c r="N319" s="12">
        <v>4.6255125000000001</v>
      </c>
      <c r="O319" s="13">
        <f t="shared" si="55"/>
        <v>-0.15463144213826072</v>
      </c>
      <c r="P319" s="6">
        <f t="shared" si="56"/>
        <v>-0.38138232934338256</v>
      </c>
      <c r="Q319" s="6">
        <f t="shared" si="57"/>
        <v>0.65883408891695283</v>
      </c>
      <c r="R319" s="6">
        <f t="shared" si="58"/>
        <v>-1.568196211583395</v>
      </c>
      <c r="S319">
        <f t="shared" si="59"/>
        <v>0</v>
      </c>
      <c r="T319">
        <f t="shared" si="60"/>
        <v>1</v>
      </c>
      <c r="U319">
        <f t="shared" si="61"/>
        <v>0</v>
      </c>
      <c r="V319">
        <f t="shared" si="62"/>
        <v>0</v>
      </c>
      <c r="W319">
        <f t="shared" si="63"/>
        <v>0</v>
      </c>
      <c r="X319">
        <f t="shared" si="64"/>
        <v>0</v>
      </c>
      <c r="Y319">
        <f t="shared" si="65"/>
        <v>0</v>
      </c>
      <c r="Z319">
        <f t="shared" si="66"/>
        <v>0</v>
      </c>
      <c r="AA319">
        <f t="shared" si="67"/>
        <v>1</v>
      </c>
    </row>
    <row r="320" spans="2:27" x14ac:dyDescent="0.3">
      <c r="B320">
        <v>313</v>
      </c>
      <c r="C320" s="1">
        <v>40856</v>
      </c>
      <c r="D320">
        <v>4</v>
      </c>
      <c r="E320">
        <v>0</v>
      </c>
      <c r="F320">
        <v>11</v>
      </c>
      <c r="G320">
        <v>3</v>
      </c>
      <c r="H320">
        <v>1</v>
      </c>
      <c r="I320">
        <v>305</v>
      </c>
      <c r="J320">
        <v>3804</v>
      </c>
      <c r="K320" s="8">
        <v>4109</v>
      </c>
      <c r="L320" s="12">
        <v>20.453949999999999</v>
      </c>
      <c r="M320" s="12">
        <v>75.833299999999994</v>
      </c>
      <c r="N320" s="12">
        <v>4.1671186000000002</v>
      </c>
      <c r="O320" s="13">
        <f t="shared" si="55"/>
        <v>-0.20422114017638532</v>
      </c>
      <c r="P320" s="6">
        <f t="shared" si="56"/>
        <v>-0.40082971225447472</v>
      </c>
      <c r="Q320" s="6">
        <f t="shared" si="57"/>
        <v>0.91644370911634265</v>
      </c>
      <c r="R320" s="6">
        <f t="shared" si="58"/>
        <v>-1.6565390838706024</v>
      </c>
      <c r="S320">
        <f t="shared" si="59"/>
        <v>0</v>
      </c>
      <c r="T320">
        <f t="shared" si="60"/>
        <v>0</v>
      </c>
      <c r="U320">
        <f t="shared" si="61"/>
        <v>1</v>
      </c>
      <c r="V320">
        <f t="shared" si="62"/>
        <v>0</v>
      </c>
      <c r="W320">
        <f t="shared" si="63"/>
        <v>0</v>
      </c>
      <c r="X320">
        <f t="shared" si="64"/>
        <v>0</v>
      </c>
      <c r="Y320">
        <f t="shared" si="65"/>
        <v>0</v>
      </c>
      <c r="Z320">
        <f t="shared" si="66"/>
        <v>0</v>
      </c>
      <c r="AA320">
        <f t="shared" si="67"/>
        <v>1</v>
      </c>
    </row>
    <row r="321" spans="2:27" x14ac:dyDescent="0.3">
      <c r="B321">
        <v>314</v>
      </c>
      <c r="C321" s="1">
        <v>40857</v>
      </c>
      <c r="D321">
        <v>4</v>
      </c>
      <c r="E321">
        <v>0</v>
      </c>
      <c r="F321">
        <v>11</v>
      </c>
      <c r="G321">
        <v>4</v>
      </c>
      <c r="H321">
        <v>2</v>
      </c>
      <c r="I321">
        <v>190</v>
      </c>
      <c r="J321">
        <v>2743</v>
      </c>
      <c r="K321" s="8">
        <v>2933</v>
      </c>
      <c r="L321" s="12">
        <v>18.686050000000002</v>
      </c>
      <c r="M321" s="12">
        <v>81.333299999999994</v>
      </c>
      <c r="N321" s="12">
        <v>12.667489</v>
      </c>
      <c r="O321" s="13">
        <f t="shared" si="55"/>
        <v>-0.81169494114341167</v>
      </c>
      <c r="P321" s="6">
        <f t="shared" si="56"/>
        <v>-0.617950193773384</v>
      </c>
      <c r="Q321" s="6">
        <f t="shared" si="57"/>
        <v>1.3028651652600858</v>
      </c>
      <c r="R321" s="6">
        <f t="shared" si="58"/>
        <v>-1.8325450047897852E-2</v>
      </c>
      <c r="S321">
        <f t="shared" si="59"/>
        <v>0</v>
      </c>
      <c r="T321">
        <f t="shared" si="60"/>
        <v>0</v>
      </c>
      <c r="U321">
        <f t="shared" si="61"/>
        <v>0</v>
      </c>
      <c r="V321">
        <f t="shared" si="62"/>
        <v>1</v>
      </c>
      <c r="W321">
        <f t="shared" si="63"/>
        <v>0</v>
      </c>
      <c r="X321">
        <f t="shared" si="64"/>
        <v>0</v>
      </c>
      <c r="Y321">
        <f t="shared" si="65"/>
        <v>0</v>
      </c>
      <c r="Z321">
        <f t="shared" si="66"/>
        <v>0</v>
      </c>
      <c r="AA321">
        <f t="shared" si="67"/>
        <v>1</v>
      </c>
    </row>
    <row r="322" spans="2:27" x14ac:dyDescent="0.3">
      <c r="B322">
        <v>315</v>
      </c>
      <c r="C322" s="1">
        <v>40858</v>
      </c>
      <c r="D322">
        <v>4</v>
      </c>
      <c r="E322">
        <v>0</v>
      </c>
      <c r="F322">
        <v>11</v>
      </c>
      <c r="G322">
        <v>5</v>
      </c>
      <c r="H322">
        <v>1</v>
      </c>
      <c r="I322">
        <v>440</v>
      </c>
      <c r="J322">
        <v>2928</v>
      </c>
      <c r="K322" s="8">
        <v>3368</v>
      </c>
      <c r="L322" s="12">
        <v>15.34085</v>
      </c>
      <c r="M322" s="12">
        <v>44.625</v>
      </c>
      <c r="N322" s="12">
        <v>21.083224999999999</v>
      </c>
      <c r="O322" s="13">
        <f t="shared" si="55"/>
        <v>-0.58699162190815957</v>
      </c>
      <c r="P322" s="6">
        <f t="shared" si="56"/>
        <v>-1.0287830659816857</v>
      </c>
      <c r="Q322" s="6">
        <f t="shared" si="57"/>
        <v>-1.2762029690237986</v>
      </c>
      <c r="R322" s="6">
        <f t="shared" si="58"/>
        <v>1.6035772206701395</v>
      </c>
      <c r="S322">
        <f t="shared" si="59"/>
        <v>0</v>
      </c>
      <c r="T322">
        <f t="shared" si="60"/>
        <v>0</v>
      </c>
      <c r="U322">
        <f t="shared" si="61"/>
        <v>0</v>
      </c>
      <c r="V322">
        <f t="shared" si="62"/>
        <v>0</v>
      </c>
      <c r="W322">
        <f t="shared" si="63"/>
        <v>1</v>
      </c>
      <c r="X322">
        <f t="shared" si="64"/>
        <v>0</v>
      </c>
      <c r="Y322">
        <f t="shared" si="65"/>
        <v>0</v>
      </c>
      <c r="Z322">
        <f t="shared" si="66"/>
        <v>0</v>
      </c>
      <c r="AA322">
        <f t="shared" si="67"/>
        <v>1</v>
      </c>
    </row>
    <row r="323" spans="2:27" x14ac:dyDescent="0.3">
      <c r="B323">
        <v>316</v>
      </c>
      <c r="C323" s="1">
        <v>40859</v>
      </c>
      <c r="D323">
        <v>4</v>
      </c>
      <c r="E323">
        <v>0</v>
      </c>
      <c r="F323">
        <v>11</v>
      </c>
      <c r="G323">
        <v>6</v>
      </c>
      <c r="H323">
        <v>1</v>
      </c>
      <c r="I323">
        <v>1275</v>
      </c>
      <c r="J323">
        <v>2792</v>
      </c>
      <c r="K323" s="8">
        <v>4067</v>
      </c>
      <c r="L323" s="12">
        <v>17.897099999999998</v>
      </c>
      <c r="M323" s="12">
        <v>55.291699999999999</v>
      </c>
      <c r="N323" s="12">
        <v>14.208154</v>
      </c>
      <c r="O323" s="13">
        <f t="shared" si="55"/>
        <v>-0.22591663306806481</v>
      </c>
      <c r="P323" s="6">
        <f t="shared" si="56"/>
        <v>-0.71484323291267038</v>
      </c>
      <c r="Q323" s="6">
        <f t="shared" si="57"/>
        <v>-0.52677719697862324</v>
      </c>
      <c r="R323" s="6">
        <f t="shared" si="58"/>
        <v>0.27859554155423966</v>
      </c>
      <c r="S323">
        <f t="shared" si="59"/>
        <v>0</v>
      </c>
      <c r="T323">
        <f t="shared" si="60"/>
        <v>0</v>
      </c>
      <c r="U323">
        <f t="shared" si="61"/>
        <v>0</v>
      </c>
      <c r="V323">
        <f t="shared" si="62"/>
        <v>0</v>
      </c>
      <c r="W323">
        <f t="shared" si="63"/>
        <v>0</v>
      </c>
      <c r="X323">
        <f t="shared" si="64"/>
        <v>0</v>
      </c>
      <c r="Y323">
        <f t="shared" si="65"/>
        <v>0</v>
      </c>
      <c r="Z323">
        <f t="shared" si="66"/>
        <v>0</v>
      </c>
      <c r="AA323">
        <f t="shared" si="67"/>
        <v>1</v>
      </c>
    </row>
    <row r="324" spans="2:27" x14ac:dyDescent="0.3">
      <c r="B324">
        <v>317</v>
      </c>
      <c r="C324" s="1">
        <v>40860</v>
      </c>
      <c r="D324">
        <v>4</v>
      </c>
      <c r="E324">
        <v>0</v>
      </c>
      <c r="F324">
        <v>11</v>
      </c>
      <c r="G324">
        <v>0</v>
      </c>
      <c r="H324">
        <v>1</v>
      </c>
      <c r="I324">
        <v>1004</v>
      </c>
      <c r="J324">
        <v>2713</v>
      </c>
      <c r="K324" s="8">
        <v>3717</v>
      </c>
      <c r="L324" s="12">
        <v>21.5275</v>
      </c>
      <c r="M324" s="12">
        <v>45.833300000000001</v>
      </c>
      <c r="N324" s="12">
        <v>18.875306999999999</v>
      </c>
      <c r="O324" s="13">
        <f t="shared" si="55"/>
        <v>-0.40671240716539409</v>
      </c>
      <c r="P324" s="6">
        <f t="shared" si="56"/>
        <v>-0.26898419331413559</v>
      </c>
      <c r="Q324" s="6">
        <f t="shared" si="57"/>
        <v>-1.1913096880313467</v>
      </c>
      <c r="R324" s="6">
        <f t="shared" si="58"/>
        <v>1.1780614843249848</v>
      </c>
      <c r="S324">
        <f t="shared" si="59"/>
        <v>0</v>
      </c>
      <c r="T324">
        <f t="shared" si="60"/>
        <v>0</v>
      </c>
      <c r="U324">
        <f t="shared" si="61"/>
        <v>0</v>
      </c>
      <c r="V324">
        <f t="shared" si="62"/>
        <v>0</v>
      </c>
      <c r="W324">
        <f t="shared" si="63"/>
        <v>0</v>
      </c>
      <c r="X324">
        <f t="shared" si="64"/>
        <v>0</v>
      </c>
      <c r="Y324">
        <f t="shared" si="65"/>
        <v>0</v>
      </c>
      <c r="Z324">
        <f t="shared" si="66"/>
        <v>0</v>
      </c>
      <c r="AA324">
        <f t="shared" si="67"/>
        <v>1</v>
      </c>
    </row>
    <row r="325" spans="2:27" x14ac:dyDescent="0.3">
      <c r="B325">
        <v>318</v>
      </c>
      <c r="C325" s="1">
        <v>40861</v>
      </c>
      <c r="D325">
        <v>4</v>
      </c>
      <c r="E325">
        <v>0</v>
      </c>
      <c r="F325">
        <v>11</v>
      </c>
      <c r="G325">
        <v>1</v>
      </c>
      <c r="H325">
        <v>1</v>
      </c>
      <c r="I325">
        <v>595</v>
      </c>
      <c r="J325">
        <v>3891</v>
      </c>
      <c r="K325" s="8">
        <v>4486</v>
      </c>
      <c r="L325" s="12">
        <v>26.230599999999999</v>
      </c>
      <c r="M325" s="12">
        <v>58.708300000000001</v>
      </c>
      <c r="N325" s="12">
        <v>20.541931999999999</v>
      </c>
      <c r="O325" s="13">
        <f t="shared" si="55"/>
        <v>-9.4782635058334851E-3</v>
      </c>
      <c r="P325" s="6">
        <f t="shared" si="56"/>
        <v>0.30861597447339961</v>
      </c>
      <c r="Q325" s="6">
        <f t="shared" si="57"/>
        <v>-0.28673218842212977</v>
      </c>
      <c r="R325" s="6">
        <f t="shared" si="58"/>
        <v>1.499257816836538</v>
      </c>
      <c r="S325">
        <f t="shared" si="59"/>
        <v>1</v>
      </c>
      <c r="T325">
        <f t="shared" si="60"/>
        <v>0</v>
      </c>
      <c r="U325">
        <f t="shared" si="61"/>
        <v>0</v>
      </c>
      <c r="V325">
        <f t="shared" si="62"/>
        <v>0</v>
      </c>
      <c r="W325">
        <f t="shared" si="63"/>
        <v>0</v>
      </c>
      <c r="X325">
        <f t="shared" si="64"/>
        <v>0</v>
      </c>
      <c r="Y325">
        <f t="shared" si="65"/>
        <v>0</v>
      </c>
      <c r="Z325">
        <f t="shared" si="66"/>
        <v>0</v>
      </c>
      <c r="AA325">
        <f t="shared" si="67"/>
        <v>1</v>
      </c>
    </row>
    <row r="326" spans="2:27" x14ac:dyDescent="0.3">
      <c r="B326">
        <v>319</v>
      </c>
      <c r="C326" s="1">
        <v>40862</v>
      </c>
      <c r="D326">
        <v>4</v>
      </c>
      <c r="E326">
        <v>0</v>
      </c>
      <c r="F326">
        <v>11</v>
      </c>
      <c r="G326">
        <v>2</v>
      </c>
      <c r="H326">
        <v>2</v>
      </c>
      <c r="I326">
        <v>449</v>
      </c>
      <c r="J326">
        <v>3746</v>
      </c>
      <c r="K326" s="8">
        <v>4195</v>
      </c>
      <c r="L326" s="12">
        <v>25.37895</v>
      </c>
      <c r="M326" s="12">
        <v>68.875</v>
      </c>
      <c r="N326" s="12">
        <v>13.375411</v>
      </c>
      <c r="O326" s="13">
        <f t="shared" si="55"/>
        <v>-0.15979703568389869</v>
      </c>
      <c r="P326" s="6">
        <f t="shared" si="56"/>
        <v>0.2040225822648023</v>
      </c>
      <c r="Q326" s="6">
        <f t="shared" si="57"/>
        <v>0.4275643603372507</v>
      </c>
      <c r="R326" s="6">
        <f t="shared" si="58"/>
        <v>0.11810713082917036</v>
      </c>
      <c r="S326">
        <f t="shared" si="59"/>
        <v>0</v>
      </c>
      <c r="T326">
        <f t="shared" si="60"/>
        <v>1</v>
      </c>
      <c r="U326">
        <f t="shared" si="61"/>
        <v>0</v>
      </c>
      <c r="V326">
        <f t="shared" si="62"/>
        <v>0</v>
      </c>
      <c r="W326">
        <f t="shared" si="63"/>
        <v>0</v>
      </c>
      <c r="X326">
        <f t="shared" si="64"/>
        <v>0</v>
      </c>
      <c r="Y326">
        <f t="shared" si="65"/>
        <v>0</v>
      </c>
      <c r="Z326">
        <f t="shared" si="66"/>
        <v>0</v>
      </c>
      <c r="AA326">
        <f t="shared" si="67"/>
        <v>1</v>
      </c>
    </row>
    <row r="327" spans="2:27" x14ac:dyDescent="0.3">
      <c r="B327">
        <v>320</v>
      </c>
      <c r="C327" s="1">
        <v>40863</v>
      </c>
      <c r="D327">
        <v>4</v>
      </c>
      <c r="E327">
        <v>0</v>
      </c>
      <c r="F327">
        <v>11</v>
      </c>
      <c r="G327">
        <v>3</v>
      </c>
      <c r="H327">
        <v>3</v>
      </c>
      <c r="I327">
        <v>145</v>
      </c>
      <c r="J327">
        <v>1672</v>
      </c>
      <c r="K327" s="8">
        <v>1817</v>
      </c>
      <c r="L327" s="12">
        <v>22.599399999999999</v>
      </c>
      <c r="M327" s="12">
        <v>93</v>
      </c>
      <c r="N327" s="12">
        <v>9.1675430000000002</v>
      </c>
      <c r="O327" s="13">
        <f t="shared" si="55"/>
        <v>-1.3881751808366101</v>
      </c>
      <c r="P327" s="6">
        <f t="shared" si="56"/>
        <v>-0.13734131524404164</v>
      </c>
      <c r="Q327" s="6">
        <f t="shared" si="57"/>
        <v>2.1225493838768514</v>
      </c>
      <c r="R327" s="6">
        <f t="shared" si="58"/>
        <v>-0.6928442045298483</v>
      </c>
      <c r="S327">
        <f t="shared" si="59"/>
        <v>0</v>
      </c>
      <c r="T327">
        <f t="shared" si="60"/>
        <v>0</v>
      </c>
      <c r="U327">
        <f t="shared" si="61"/>
        <v>1</v>
      </c>
      <c r="V327">
        <f t="shared" si="62"/>
        <v>0</v>
      </c>
      <c r="W327">
        <f t="shared" si="63"/>
        <v>0</v>
      </c>
      <c r="X327">
        <f t="shared" si="64"/>
        <v>1</v>
      </c>
      <c r="Y327">
        <f t="shared" si="65"/>
        <v>0</v>
      </c>
      <c r="Z327">
        <f t="shared" si="66"/>
        <v>0</v>
      </c>
      <c r="AA327">
        <f t="shared" si="67"/>
        <v>1</v>
      </c>
    </row>
    <row r="328" spans="2:27" x14ac:dyDescent="0.3">
      <c r="B328">
        <v>321</v>
      </c>
      <c r="C328" s="1">
        <v>40864</v>
      </c>
      <c r="D328">
        <v>4</v>
      </c>
      <c r="E328">
        <v>0</v>
      </c>
      <c r="F328">
        <v>11</v>
      </c>
      <c r="G328">
        <v>4</v>
      </c>
      <c r="H328">
        <v>2</v>
      </c>
      <c r="I328">
        <v>139</v>
      </c>
      <c r="J328">
        <v>2914</v>
      </c>
      <c r="K328" s="8">
        <v>3053</v>
      </c>
      <c r="L328" s="12">
        <v>16.161049999999999</v>
      </c>
      <c r="M328" s="12">
        <v>57.583300000000001</v>
      </c>
      <c r="N328" s="12">
        <v>20.459254000000001</v>
      </c>
      <c r="O328" s="13">
        <f t="shared" si="55"/>
        <v>-0.74970781859575597</v>
      </c>
      <c r="P328" s="6">
        <f t="shared" si="56"/>
        <v>-0.92805213157260746</v>
      </c>
      <c r="Q328" s="6">
        <f t="shared" si="57"/>
        <v>-0.36577294081516815</v>
      </c>
      <c r="R328" s="6">
        <f t="shared" si="58"/>
        <v>1.4833238962608899</v>
      </c>
      <c r="S328">
        <f t="shared" si="59"/>
        <v>0</v>
      </c>
      <c r="T328">
        <f t="shared" si="60"/>
        <v>0</v>
      </c>
      <c r="U328">
        <f t="shared" si="61"/>
        <v>0</v>
      </c>
      <c r="V328">
        <f t="shared" si="62"/>
        <v>1</v>
      </c>
      <c r="W328">
        <f t="shared" si="63"/>
        <v>0</v>
      </c>
      <c r="X328">
        <f t="shared" si="64"/>
        <v>0</v>
      </c>
      <c r="Y328">
        <f t="shared" si="65"/>
        <v>0</v>
      </c>
      <c r="Z328">
        <f t="shared" si="66"/>
        <v>0</v>
      </c>
      <c r="AA328">
        <f t="shared" si="67"/>
        <v>1</v>
      </c>
    </row>
    <row r="329" spans="2:27" x14ac:dyDescent="0.3">
      <c r="B329">
        <v>322</v>
      </c>
      <c r="C329" s="1">
        <v>40865</v>
      </c>
      <c r="D329">
        <v>4</v>
      </c>
      <c r="E329">
        <v>0</v>
      </c>
      <c r="F329">
        <v>11</v>
      </c>
      <c r="G329">
        <v>5</v>
      </c>
      <c r="H329">
        <v>1</v>
      </c>
      <c r="I329">
        <v>245</v>
      </c>
      <c r="J329">
        <v>3147</v>
      </c>
      <c r="K329" s="8">
        <v>3392</v>
      </c>
      <c r="L329" s="12">
        <v>13.636049999999999</v>
      </c>
      <c r="M329" s="12">
        <v>41</v>
      </c>
      <c r="N329" s="12">
        <v>11.291710999999999</v>
      </c>
      <c r="O329" s="13">
        <f t="shared" ref="O329:O392" si="68">(K329-K$2)/K$3</f>
        <v>-0.57459419739862838</v>
      </c>
      <c r="P329" s="6">
        <f t="shared" ref="P329:P392" si="69">(L329-L$2)/L$3</f>
        <v>-1.2381540693718307</v>
      </c>
      <c r="Q329" s="6">
        <f t="shared" ref="Q329:Q392" si="70">(M329-M$2)/M$3</f>
        <v>-1.5308898378458111</v>
      </c>
      <c r="R329" s="6">
        <f t="shared" ref="R329:R392" si="71">(N329-N$2)/N$3</f>
        <v>-0.28346898740637977</v>
      </c>
      <c r="S329">
        <f t="shared" ref="S329:S392" si="72">IF($G329=1,1,0)</f>
        <v>0</v>
      </c>
      <c r="T329">
        <f t="shared" ref="T329:T392" si="73">IF($G329=2,1,0)</f>
        <v>0</v>
      </c>
      <c r="U329">
        <f t="shared" ref="U329:U392" si="74">IF($G329=3,1,0)</f>
        <v>0</v>
      </c>
      <c r="V329">
        <f t="shared" ref="V329:V392" si="75">IF($G329=4,1,0)</f>
        <v>0</v>
      </c>
      <c r="W329">
        <f t="shared" ref="W329:W392" si="76">IF($G329=5,1,0)</f>
        <v>1</v>
      </c>
      <c r="X329">
        <f t="shared" ref="X329:X392" si="77">IF($H329=3,1,0)</f>
        <v>0</v>
      </c>
      <c r="Y329">
        <f t="shared" ref="Y329:Y392" si="78">IF($D329=2,1,0)</f>
        <v>0</v>
      </c>
      <c r="Z329">
        <f t="shared" ref="Z329:Z392" si="79">IF($D329=3,1,0)</f>
        <v>0</v>
      </c>
      <c r="AA329">
        <f t="shared" ref="AA329:AA392" si="80">IF($D329=4,1,0)</f>
        <v>1</v>
      </c>
    </row>
    <row r="330" spans="2:27" x14ac:dyDescent="0.3">
      <c r="B330">
        <v>323</v>
      </c>
      <c r="C330" s="1">
        <v>40866</v>
      </c>
      <c r="D330">
        <v>4</v>
      </c>
      <c r="E330">
        <v>0</v>
      </c>
      <c r="F330">
        <v>11</v>
      </c>
      <c r="G330">
        <v>6</v>
      </c>
      <c r="H330">
        <v>1</v>
      </c>
      <c r="I330">
        <v>943</v>
      </c>
      <c r="J330">
        <v>2720</v>
      </c>
      <c r="K330" s="8">
        <v>3663</v>
      </c>
      <c r="L330" s="12">
        <v>16.224150000000002</v>
      </c>
      <c r="M330" s="12">
        <v>50.208300000000001</v>
      </c>
      <c r="N330" s="12">
        <v>15.041232000000001</v>
      </c>
      <c r="O330" s="13">
        <f t="shared" si="68"/>
        <v>-0.43460661231183917</v>
      </c>
      <c r="P330" s="6">
        <f t="shared" si="69"/>
        <v>-0.92030265344384243</v>
      </c>
      <c r="Q330" s="6">
        <f t="shared" si="70"/>
        <v>-0.88392898428064193</v>
      </c>
      <c r="R330" s="6">
        <f t="shared" si="71"/>
        <v>0.43914851435619567</v>
      </c>
      <c r="S330">
        <f t="shared" si="72"/>
        <v>0</v>
      </c>
      <c r="T330">
        <f t="shared" si="73"/>
        <v>0</v>
      </c>
      <c r="U330">
        <f t="shared" si="74"/>
        <v>0</v>
      </c>
      <c r="V330">
        <f t="shared" si="75"/>
        <v>0</v>
      </c>
      <c r="W330">
        <f t="shared" si="76"/>
        <v>0</v>
      </c>
      <c r="X330">
        <f t="shared" si="77"/>
        <v>0</v>
      </c>
      <c r="Y330">
        <f t="shared" si="78"/>
        <v>0</v>
      </c>
      <c r="Z330">
        <f t="shared" si="79"/>
        <v>0</v>
      </c>
      <c r="AA330">
        <f t="shared" si="80"/>
        <v>1</v>
      </c>
    </row>
    <row r="331" spans="2:27" x14ac:dyDescent="0.3">
      <c r="B331">
        <v>324</v>
      </c>
      <c r="C331" s="1">
        <v>40867</v>
      </c>
      <c r="D331">
        <v>4</v>
      </c>
      <c r="E331">
        <v>0</v>
      </c>
      <c r="F331">
        <v>11</v>
      </c>
      <c r="G331">
        <v>0</v>
      </c>
      <c r="H331">
        <v>2</v>
      </c>
      <c r="I331">
        <v>787</v>
      </c>
      <c r="J331">
        <v>2733</v>
      </c>
      <c r="K331" s="8">
        <v>3520</v>
      </c>
      <c r="L331" s="12">
        <v>22.852900000000002</v>
      </c>
      <c r="M331" s="12">
        <v>68.458299999999994</v>
      </c>
      <c r="N331" s="12">
        <v>12.45865</v>
      </c>
      <c r="O331" s="13">
        <f t="shared" si="68"/>
        <v>-0.50847460001446232</v>
      </c>
      <c r="P331" s="6">
        <f t="shared" si="69"/>
        <v>-0.10620830881548565</v>
      </c>
      <c r="Q331" s="6">
        <f t="shared" si="70"/>
        <v>0.39828766565086893</v>
      </c>
      <c r="R331" s="6">
        <f t="shared" si="71"/>
        <v>-5.8573448779094171E-2</v>
      </c>
      <c r="S331">
        <f t="shared" si="72"/>
        <v>0</v>
      </c>
      <c r="T331">
        <f t="shared" si="73"/>
        <v>0</v>
      </c>
      <c r="U331">
        <f t="shared" si="74"/>
        <v>0</v>
      </c>
      <c r="V331">
        <f t="shared" si="75"/>
        <v>0</v>
      </c>
      <c r="W331">
        <f t="shared" si="76"/>
        <v>0</v>
      </c>
      <c r="X331">
        <f t="shared" si="77"/>
        <v>0</v>
      </c>
      <c r="Y331">
        <f t="shared" si="78"/>
        <v>0</v>
      </c>
      <c r="Z331">
        <f t="shared" si="79"/>
        <v>0</v>
      </c>
      <c r="AA331">
        <f t="shared" si="80"/>
        <v>1</v>
      </c>
    </row>
    <row r="332" spans="2:27" x14ac:dyDescent="0.3">
      <c r="B332">
        <v>325</v>
      </c>
      <c r="C332" s="1">
        <v>40868</v>
      </c>
      <c r="D332">
        <v>4</v>
      </c>
      <c r="E332">
        <v>0</v>
      </c>
      <c r="F332">
        <v>11</v>
      </c>
      <c r="G332">
        <v>1</v>
      </c>
      <c r="H332">
        <v>3</v>
      </c>
      <c r="I332">
        <v>220</v>
      </c>
      <c r="J332">
        <v>2545</v>
      </c>
      <c r="K332" s="8">
        <v>2765</v>
      </c>
      <c r="L332" s="12">
        <v>22.2531</v>
      </c>
      <c r="M332" s="12">
        <v>91</v>
      </c>
      <c r="N332" s="12">
        <v>9.2496179999999999</v>
      </c>
      <c r="O332" s="13">
        <f t="shared" si="68"/>
        <v>-0.89847691271012975</v>
      </c>
      <c r="P332" s="6">
        <f t="shared" si="69"/>
        <v>-0.17987133546577264</v>
      </c>
      <c r="Q332" s="6">
        <f t="shared" si="70"/>
        <v>1.9820324907336719</v>
      </c>
      <c r="R332" s="6">
        <f t="shared" si="71"/>
        <v>-0.67702649569259599</v>
      </c>
      <c r="S332">
        <f t="shared" si="72"/>
        <v>1</v>
      </c>
      <c r="T332">
        <f t="shared" si="73"/>
        <v>0</v>
      </c>
      <c r="U332">
        <f t="shared" si="74"/>
        <v>0</v>
      </c>
      <c r="V332">
        <f t="shared" si="75"/>
        <v>0</v>
      </c>
      <c r="W332">
        <f t="shared" si="76"/>
        <v>0</v>
      </c>
      <c r="X332">
        <f t="shared" si="77"/>
        <v>1</v>
      </c>
      <c r="Y332">
        <f t="shared" si="78"/>
        <v>0</v>
      </c>
      <c r="Z332">
        <f t="shared" si="79"/>
        <v>0</v>
      </c>
      <c r="AA332">
        <f t="shared" si="80"/>
        <v>1</v>
      </c>
    </row>
    <row r="333" spans="2:27" x14ac:dyDescent="0.3">
      <c r="B333">
        <v>326</v>
      </c>
      <c r="C333" s="1">
        <v>40869</v>
      </c>
      <c r="D333">
        <v>4</v>
      </c>
      <c r="E333">
        <v>0</v>
      </c>
      <c r="F333">
        <v>11</v>
      </c>
      <c r="G333">
        <v>2</v>
      </c>
      <c r="H333">
        <v>3</v>
      </c>
      <c r="I333">
        <v>69</v>
      </c>
      <c r="J333">
        <v>1538</v>
      </c>
      <c r="K333" s="8">
        <v>1607</v>
      </c>
      <c r="L333" s="12">
        <v>21.084800000000001</v>
      </c>
      <c r="M333" s="12">
        <v>96.25</v>
      </c>
      <c r="N333" s="12">
        <v>7.9590639999999997</v>
      </c>
      <c r="O333" s="13">
        <f t="shared" si="68"/>
        <v>-1.4966526452950077</v>
      </c>
      <c r="P333" s="6">
        <f t="shared" si="69"/>
        <v>-0.32335335286412198</v>
      </c>
      <c r="Q333" s="6">
        <f t="shared" si="70"/>
        <v>2.3508893352345175</v>
      </c>
      <c r="R333" s="6">
        <f t="shared" si="71"/>
        <v>-0.9257454406910901</v>
      </c>
      <c r="S333">
        <f t="shared" si="72"/>
        <v>0</v>
      </c>
      <c r="T333">
        <f t="shared" si="73"/>
        <v>1</v>
      </c>
      <c r="U333">
        <f t="shared" si="74"/>
        <v>0</v>
      </c>
      <c r="V333">
        <f t="shared" si="75"/>
        <v>0</v>
      </c>
      <c r="W333">
        <f t="shared" si="76"/>
        <v>0</v>
      </c>
      <c r="X333">
        <f t="shared" si="77"/>
        <v>1</v>
      </c>
      <c r="Y333">
        <f t="shared" si="78"/>
        <v>0</v>
      </c>
      <c r="Z333">
        <f t="shared" si="79"/>
        <v>0</v>
      </c>
      <c r="AA333">
        <f t="shared" si="80"/>
        <v>1</v>
      </c>
    </row>
    <row r="334" spans="2:27" x14ac:dyDescent="0.3">
      <c r="B334">
        <v>327</v>
      </c>
      <c r="C334" s="1">
        <v>40870</v>
      </c>
      <c r="D334">
        <v>4</v>
      </c>
      <c r="E334">
        <v>0</v>
      </c>
      <c r="F334">
        <v>11</v>
      </c>
      <c r="G334">
        <v>3</v>
      </c>
      <c r="H334">
        <v>2</v>
      </c>
      <c r="I334">
        <v>112</v>
      </c>
      <c r="J334">
        <v>2454</v>
      </c>
      <c r="K334" s="8">
        <v>2566</v>
      </c>
      <c r="L334" s="12">
        <v>21.52685</v>
      </c>
      <c r="M334" s="12">
        <v>75.791700000000006</v>
      </c>
      <c r="N334" s="12">
        <v>22.500274999999998</v>
      </c>
      <c r="O334" s="13">
        <f t="shared" si="68"/>
        <v>-1.0012722242683254</v>
      </c>
      <c r="P334" s="6">
        <f t="shared" si="69"/>
        <v>-0.26906402153574727</v>
      </c>
      <c r="Q334" s="6">
        <f t="shared" si="70"/>
        <v>0.91352095773896536</v>
      </c>
      <c r="R334" s="6">
        <f t="shared" si="71"/>
        <v>1.8766748059010683</v>
      </c>
      <c r="S334">
        <f t="shared" si="72"/>
        <v>0</v>
      </c>
      <c r="T334">
        <f t="shared" si="73"/>
        <v>0</v>
      </c>
      <c r="U334">
        <f t="shared" si="74"/>
        <v>1</v>
      </c>
      <c r="V334">
        <f t="shared" si="75"/>
        <v>0</v>
      </c>
      <c r="W334">
        <f t="shared" si="76"/>
        <v>0</v>
      </c>
      <c r="X334">
        <f t="shared" si="77"/>
        <v>0</v>
      </c>
      <c r="Y334">
        <f t="shared" si="78"/>
        <v>0</v>
      </c>
      <c r="Z334">
        <f t="shared" si="79"/>
        <v>0</v>
      </c>
      <c r="AA334">
        <f t="shared" si="80"/>
        <v>1</v>
      </c>
    </row>
    <row r="335" spans="2:27" x14ac:dyDescent="0.3">
      <c r="B335">
        <v>328</v>
      </c>
      <c r="C335" s="1">
        <v>40871</v>
      </c>
      <c r="D335">
        <v>4</v>
      </c>
      <c r="E335">
        <v>0</v>
      </c>
      <c r="F335">
        <v>11</v>
      </c>
      <c r="G335">
        <v>4</v>
      </c>
      <c r="H335">
        <v>1</v>
      </c>
      <c r="I335">
        <v>560</v>
      </c>
      <c r="J335">
        <v>935</v>
      </c>
      <c r="K335" s="8">
        <v>1495</v>
      </c>
      <c r="L335" s="12">
        <v>18.623550000000002</v>
      </c>
      <c r="M335" s="12">
        <v>54.916699999999999</v>
      </c>
      <c r="N335" s="12">
        <v>11.209368</v>
      </c>
      <c r="O335" s="13">
        <f t="shared" si="68"/>
        <v>-1.5545072930061532</v>
      </c>
      <c r="P335" s="6">
        <f t="shared" si="69"/>
        <v>-0.62562598431296867</v>
      </c>
      <c r="Q335" s="6">
        <f t="shared" si="70"/>
        <v>-0.55312411444296927</v>
      </c>
      <c r="R335" s="6">
        <f t="shared" si="71"/>
        <v>-0.29933834590514147</v>
      </c>
      <c r="S335">
        <f t="shared" si="72"/>
        <v>0</v>
      </c>
      <c r="T335">
        <f t="shared" si="73"/>
        <v>0</v>
      </c>
      <c r="U335">
        <f t="shared" si="74"/>
        <v>0</v>
      </c>
      <c r="V335">
        <f t="shared" si="75"/>
        <v>1</v>
      </c>
      <c r="W335">
        <f t="shared" si="76"/>
        <v>0</v>
      </c>
      <c r="X335">
        <f t="shared" si="77"/>
        <v>0</v>
      </c>
      <c r="Y335">
        <f t="shared" si="78"/>
        <v>0</v>
      </c>
      <c r="Z335">
        <f t="shared" si="79"/>
        <v>0</v>
      </c>
      <c r="AA335">
        <f t="shared" si="80"/>
        <v>1</v>
      </c>
    </row>
    <row r="336" spans="2:27" x14ac:dyDescent="0.3">
      <c r="B336">
        <v>329</v>
      </c>
      <c r="C336" s="1">
        <v>40872</v>
      </c>
      <c r="D336">
        <v>4</v>
      </c>
      <c r="E336">
        <v>0</v>
      </c>
      <c r="F336">
        <v>11</v>
      </c>
      <c r="G336">
        <v>5</v>
      </c>
      <c r="H336">
        <v>1</v>
      </c>
      <c r="I336">
        <v>1095</v>
      </c>
      <c r="J336">
        <v>1697</v>
      </c>
      <c r="K336" s="8">
        <v>2792</v>
      </c>
      <c r="L336" s="12">
        <v>19.033550000000002</v>
      </c>
      <c r="M336" s="12">
        <v>64.375</v>
      </c>
      <c r="N336" s="12">
        <v>6.6260186000000001</v>
      </c>
      <c r="O336" s="13">
        <f t="shared" si="68"/>
        <v>-0.88452981013690724</v>
      </c>
      <c r="P336" s="6">
        <f t="shared" si="69"/>
        <v>-0.57527279837329282</v>
      </c>
      <c r="Q336" s="6">
        <f t="shared" si="70"/>
        <v>0.11140135076509725</v>
      </c>
      <c r="R336" s="6">
        <f t="shared" si="71"/>
        <v>-1.1826534395218988</v>
      </c>
      <c r="S336">
        <f t="shared" si="72"/>
        <v>0</v>
      </c>
      <c r="T336">
        <f t="shared" si="73"/>
        <v>0</v>
      </c>
      <c r="U336">
        <f t="shared" si="74"/>
        <v>0</v>
      </c>
      <c r="V336">
        <f t="shared" si="75"/>
        <v>0</v>
      </c>
      <c r="W336">
        <f t="shared" si="76"/>
        <v>1</v>
      </c>
      <c r="X336">
        <f t="shared" si="77"/>
        <v>0</v>
      </c>
      <c r="Y336">
        <f t="shared" si="78"/>
        <v>0</v>
      </c>
      <c r="Z336">
        <f t="shared" si="79"/>
        <v>0</v>
      </c>
      <c r="AA336">
        <f t="shared" si="80"/>
        <v>1</v>
      </c>
    </row>
    <row r="337" spans="2:27" x14ac:dyDescent="0.3">
      <c r="B337">
        <v>330</v>
      </c>
      <c r="C337" s="1">
        <v>40873</v>
      </c>
      <c r="D337">
        <v>4</v>
      </c>
      <c r="E337">
        <v>0</v>
      </c>
      <c r="F337">
        <v>11</v>
      </c>
      <c r="G337">
        <v>6</v>
      </c>
      <c r="H337">
        <v>1</v>
      </c>
      <c r="I337">
        <v>1249</v>
      </c>
      <c r="J337">
        <v>1819</v>
      </c>
      <c r="K337" s="8">
        <v>3068</v>
      </c>
      <c r="L337" s="12">
        <v>19.254349999999999</v>
      </c>
      <c r="M337" s="12">
        <v>68.166700000000006</v>
      </c>
      <c r="N337" s="12">
        <v>4.5841935999999999</v>
      </c>
      <c r="O337" s="13">
        <f t="shared" si="68"/>
        <v>-0.74195942827729899</v>
      </c>
      <c r="P337" s="6">
        <f t="shared" si="69"/>
        <v>-0.5481557655550483</v>
      </c>
      <c r="Q337" s="6">
        <f t="shared" si="70"/>
        <v>0.37780030263059416</v>
      </c>
      <c r="R337" s="6">
        <f t="shared" si="71"/>
        <v>-1.5761592981466059</v>
      </c>
      <c r="S337">
        <f t="shared" si="72"/>
        <v>0</v>
      </c>
      <c r="T337">
        <f t="shared" si="73"/>
        <v>0</v>
      </c>
      <c r="U337">
        <f t="shared" si="74"/>
        <v>0</v>
      </c>
      <c r="V337">
        <f t="shared" si="75"/>
        <v>0</v>
      </c>
      <c r="W337">
        <f t="shared" si="76"/>
        <v>0</v>
      </c>
      <c r="X337">
        <f t="shared" si="77"/>
        <v>0</v>
      </c>
      <c r="Y337">
        <f t="shared" si="78"/>
        <v>0</v>
      </c>
      <c r="Z337">
        <f t="shared" si="79"/>
        <v>0</v>
      </c>
      <c r="AA337">
        <f t="shared" si="80"/>
        <v>1</v>
      </c>
    </row>
    <row r="338" spans="2:27" x14ac:dyDescent="0.3">
      <c r="B338">
        <v>331</v>
      </c>
      <c r="C338" s="1">
        <v>40874</v>
      </c>
      <c r="D338">
        <v>4</v>
      </c>
      <c r="E338">
        <v>0</v>
      </c>
      <c r="F338">
        <v>11</v>
      </c>
      <c r="G338">
        <v>0</v>
      </c>
      <c r="H338">
        <v>1</v>
      </c>
      <c r="I338">
        <v>810</v>
      </c>
      <c r="J338">
        <v>2261</v>
      </c>
      <c r="K338" s="8">
        <v>3071</v>
      </c>
      <c r="L338" s="12">
        <v>22.79</v>
      </c>
      <c r="M338" s="12">
        <v>69.833299999999994</v>
      </c>
      <c r="N338" s="12">
        <v>13.999917999999999</v>
      </c>
      <c r="O338" s="13">
        <f t="shared" si="68"/>
        <v>-0.74040975021360755</v>
      </c>
      <c r="P338" s="6">
        <f t="shared" si="69"/>
        <v>-0.11393322441452405</v>
      </c>
      <c r="Q338" s="6">
        <f t="shared" si="70"/>
        <v>0.49489302968680471</v>
      </c>
      <c r="R338" s="6">
        <f t="shared" si="71"/>
        <v>0.23846375456143912</v>
      </c>
      <c r="S338">
        <f t="shared" si="72"/>
        <v>0</v>
      </c>
      <c r="T338">
        <f t="shared" si="73"/>
        <v>0</v>
      </c>
      <c r="U338">
        <f t="shared" si="74"/>
        <v>0</v>
      </c>
      <c r="V338">
        <f t="shared" si="75"/>
        <v>0</v>
      </c>
      <c r="W338">
        <f t="shared" si="76"/>
        <v>0</v>
      </c>
      <c r="X338">
        <f t="shared" si="77"/>
        <v>0</v>
      </c>
      <c r="Y338">
        <f t="shared" si="78"/>
        <v>0</v>
      </c>
      <c r="Z338">
        <f t="shared" si="79"/>
        <v>0</v>
      </c>
      <c r="AA338">
        <f t="shared" si="80"/>
        <v>1</v>
      </c>
    </row>
    <row r="339" spans="2:27" x14ac:dyDescent="0.3">
      <c r="B339">
        <v>332</v>
      </c>
      <c r="C339" s="1">
        <v>40875</v>
      </c>
      <c r="D339">
        <v>4</v>
      </c>
      <c r="E339">
        <v>0</v>
      </c>
      <c r="F339">
        <v>11</v>
      </c>
      <c r="G339">
        <v>1</v>
      </c>
      <c r="H339">
        <v>1</v>
      </c>
      <c r="I339">
        <v>253</v>
      </c>
      <c r="J339">
        <v>3614</v>
      </c>
      <c r="K339" s="8">
        <v>3867</v>
      </c>
      <c r="L339" s="12">
        <v>24.5061</v>
      </c>
      <c r="M339" s="12">
        <v>74.304299999999998</v>
      </c>
      <c r="N339" s="12">
        <v>9.5221739999999997</v>
      </c>
      <c r="O339" s="13">
        <f t="shared" si="68"/>
        <v>-0.32922850398082443</v>
      </c>
      <c r="P339" s="6">
        <f t="shared" si="69"/>
        <v>9.6825561905177798E-2</v>
      </c>
      <c r="Q339" s="6">
        <f t="shared" si="70"/>
        <v>0.80901854430838227</v>
      </c>
      <c r="R339" s="6">
        <f t="shared" si="71"/>
        <v>-0.62449878993754082</v>
      </c>
      <c r="S339">
        <f t="shared" si="72"/>
        <v>1</v>
      </c>
      <c r="T339">
        <f t="shared" si="73"/>
        <v>0</v>
      </c>
      <c r="U339">
        <f t="shared" si="74"/>
        <v>0</v>
      </c>
      <c r="V339">
        <f t="shared" si="75"/>
        <v>0</v>
      </c>
      <c r="W339">
        <f t="shared" si="76"/>
        <v>0</v>
      </c>
      <c r="X339">
        <f t="shared" si="77"/>
        <v>0</v>
      </c>
      <c r="Y339">
        <f t="shared" si="78"/>
        <v>0</v>
      </c>
      <c r="Z339">
        <f t="shared" si="79"/>
        <v>0</v>
      </c>
      <c r="AA339">
        <f t="shared" si="80"/>
        <v>1</v>
      </c>
    </row>
    <row r="340" spans="2:27" x14ac:dyDescent="0.3">
      <c r="B340">
        <v>333</v>
      </c>
      <c r="C340" s="1">
        <v>40876</v>
      </c>
      <c r="D340">
        <v>4</v>
      </c>
      <c r="E340">
        <v>0</v>
      </c>
      <c r="F340">
        <v>11</v>
      </c>
      <c r="G340">
        <v>2</v>
      </c>
      <c r="H340">
        <v>2</v>
      </c>
      <c r="I340">
        <v>96</v>
      </c>
      <c r="J340">
        <v>2818</v>
      </c>
      <c r="K340" s="8">
        <v>2914</v>
      </c>
      <c r="L340" s="12">
        <v>22.568750000000001</v>
      </c>
      <c r="M340" s="12">
        <v>83.083299999999994</v>
      </c>
      <c r="N340" s="12">
        <v>17.292164</v>
      </c>
      <c r="O340" s="13">
        <f t="shared" si="68"/>
        <v>-0.82150956888012383</v>
      </c>
      <c r="P340" s="6">
        <f t="shared" si="69"/>
        <v>-0.14110552292465373</v>
      </c>
      <c r="Q340" s="6">
        <f t="shared" si="70"/>
        <v>1.4258174467603677</v>
      </c>
      <c r="R340" s="6">
        <f t="shared" si="71"/>
        <v>0.87295402137360822</v>
      </c>
      <c r="S340">
        <f t="shared" si="72"/>
        <v>0</v>
      </c>
      <c r="T340">
        <f t="shared" si="73"/>
        <v>1</v>
      </c>
      <c r="U340">
        <f t="shared" si="74"/>
        <v>0</v>
      </c>
      <c r="V340">
        <f t="shared" si="75"/>
        <v>0</v>
      </c>
      <c r="W340">
        <f t="shared" si="76"/>
        <v>0</v>
      </c>
      <c r="X340">
        <f t="shared" si="77"/>
        <v>0</v>
      </c>
      <c r="Y340">
        <f t="shared" si="78"/>
        <v>0</v>
      </c>
      <c r="Z340">
        <f t="shared" si="79"/>
        <v>0</v>
      </c>
      <c r="AA340">
        <f t="shared" si="80"/>
        <v>1</v>
      </c>
    </row>
    <row r="341" spans="2:27" x14ac:dyDescent="0.3">
      <c r="B341">
        <v>334</v>
      </c>
      <c r="C341" s="1">
        <v>40877</v>
      </c>
      <c r="D341">
        <v>4</v>
      </c>
      <c r="E341">
        <v>0</v>
      </c>
      <c r="F341">
        <v>11</v>
      </c>
      <c r="G341">
        <v>3</v>
      </c>
      <c r="H341">
        <v>1</v>
      </c>
      <c r="I341">
        <v>188</v>
      </c>
      <c r="J341">
        <v>3425</v>
      </c>
      <c r="K341" s="8">
        <v>3613</v>
      </c>
      <c r="L341" s="12">
        <v>15.56105</v>
      </c>
      <c r="M341" s="12">
        <v>61.333300000000001</v>
      </c>
      <c r="N341" s="12">
        <v>18.167586</v>
      </c>
      <c r="O341" s="13">
        <f t="shared" si="68"/>
        <v>-0.46043458004002907</v>
      </c>
      <c r="P341" s="6">
        <f t="shared" si="69"/>
        <v>-1.0017397207526209</v>
      </c>
      <c r="Q341" s="6">
        <f t="shared" si="70"/>
        <v>-0.10230376617170693</v>
      </c>
      <c r="R341" s="6">
        <f t="shared" si="71"/>
        <v>1.0416676406940488</v>
      </c>
      <c r="S341">
        <f t="shared" si="72"/>
        <v>0</v>
      </c>
      <c r="T341">
        <f t="shared" si="73"/>
        <v>0</v>
      </c>
      <c r="U341">
        <f t="shared" si="74"/>
        <v>1</v>
      </c>
      <c r="V341">
        <f t="shared" si="75"/>
        <v>0</v>
      </c>
      <c r="W341">
        <f t="shared" si="76"/>
        <v>0</v>
      </c>
      <c r="X341">
        <f t="shared" si="77"/>
        <v>0</v>
      </c>
      <c r="Y341">
        <f t="shared" si="78"/>
        <v>0</v>
      </c>
      <c r="Z341">
        <f t="shared" si="79"/>
        <v>0</v>
      </c>
      <c r="AA341">
        <f t="shared" si="80"/>
        <v>1</v>
      </c>
    </row>
    <row r="342" spans="2:27" x14ac:dyDescent="0.3">
      <c r="B342">
        <v>335</v>
      </c>
      <c r="C342" s="1">
        <v>40878</v>
      </c>
      <c r="D342">
        <v>4</v>
      </c>
      <c r="E342">
        <v>0</v>
      </c>
      <c r="F342">
        <v>12</v>
      </c>
      <c r="G342">
        <v>4</v>
      </c>
      <c r="H342">
        <v>1</v>
      </c>
      <c r="I342">
        <v>182</v>
      </c>
      <c r="J342">
        <v>3545</v>
      </c>
      <c r="K342" s="8">
        <v>3727</v>
      </c>
      <c r="L342" s="12">
        <v>15.277699999999999</v>
      </c>
      <c r="M342" s="12">
        <v>52.458300000000001</v>
      </c>
      <c r="N342" s="12">
        <v>14.750586</v>
      </c>
      <c r="O342" s="13">
        <f t="shared" si="68"/>
        <v>-0.40154681361975614</v>
      </c>
      <c r="P342" s="6">
        <f t="shared" si="69"/>
        <v>-1.0365386847428821</v>
      </c>
      <c r="Q342" s="6">
        <f t="shared" si="70"/>
        <v>-0.72584747949456518</v>
      </c>
      <c r="R342" s="6">
        <f t="shared" si="71"/>
        <v>0.38313445644925614</v>
      </c>
      <c r="S342">
        <f t="shared" si="72"/>
        <v>0</v>
      </c>
      <c r="T342">
        <f t="shared" si="73"/>
        <v>0</v>
      </c>
      <c r="U342">
        <f t="shared" si="74"/>
        <v>0</v>
      </c>
      <c r="V342">
        <f t="shared" si="75"/>
        <v>1</v>
      </c>
      <c r="W342">
        <f t="shared" si="76"/>
        <v>0</v>
      </c>
      <c r="X342">
        <f t="shared" si="77"/>
        <v>0</v>
      </c>
      <c r="Y342">
        <f t="shared" si="78"/>
        <v>0</v>
      </c>
      <c r="Z342">
        <f t="shared" si="79"/>
        <v>0</v>
      </c>
      <c r="AA342">
        <f t="shared" si="80"/>
        <v>1</v>
      </c>
    </row>
    <row r="343" spans="2:27" x14ac:dyDescent="0.3">
      <c r="B343">
        <v>336</v>
      </c>
      <c r="C343" s="1">
        <v>40879</v>
      </c>
      <c r="D343">
        <v>4</v>
      </c>
      <c r="E343">
        <v>0</v>
      </c>
      <c r="F343">
        <v>12</v>
      </c>
      <c r="G343">
        <v>5</v>
      </c>
      <c r="H343">
        <v>1</v>
      </c>
      <c r="I343">
        <v>268</v>
      </c>
      <c r="J343">
        <v>3672</v>
      </c>
      <c r="K343" s="8">
        <v>3940</v>
      </c>
      <c r="L343" s="12">
        <v>16.571650000000002</v>
      </c>
      <c r="M343" s="12">
        <v>62.583300000000001</v>
      </c>
      <c r="N343" s="12">
        <v>6.7505179999999996</v>
      </c>
      <c r="O343" s="13">
        <f t="shared" si="68"/>
        <v>-0.29151967109766713</v>
      </c>
      <c r="P343" s="6">
        <f t="shared" si="69"/>
        <v>-0.87762525804375124</v>
      </c>
      <c r="Q343" s="6">
        <f t="shared" si="70"/>
        <v>-1.4480707957219856E-2</v>
      </c>
      <c r="R343" s="6">
        <f t="shared" si="71"/>
        <v>-1.1586595892677092</v>
      </c>
      <c r="S343">
        <f t="shared" si="72"/>
        <v>0</v>
      </c>
      <c r="T343">
        <f t="shared" si="73"/>
        <v>0</v>
      </c>
      <c r="U343">
        <f t="shared" si="74"/>
        <v>0</v>
      </c>
      <c r="V343">
        <f t="shared" si="75"/>
        <v>0</v>
      </c>
      <c r="W343">
        <f t="shared" si="76"/>
        <v>1</v>
      </c>
      <c r="X343">
        <f t="shared" si="77"/>
        <v>0</v>
      </c>
      <c r="Y343">
        <f t="shared" si="78"/>
        <v>0</v>
      </c>
      <c r="Z343">
        <f t="shared" si="79"/>
        <v>0</v>
      </c>
      <c r="AA343">
        <f t="shared" si="80"/>
        <v>1</v>
      </c>
    </row>
    <row r="344" spans="2:27" x14ac:dyDescent="0.3">
      <c r="B344">
        <v>337</v>
      </c>
      <c r="C344" s="1">
        <v>40880</v>
      </c>
      <c r="D344">
        <v>4</v>
      </c>
      <c r="E344">
        <v>0</v>
      </c>
      <c r="F344">
        <v>12</v>
      </c>
      <c r="G344">
        <v>6</v>
      </c>
      <c r="H344">
        <v>1</v>
      </c>
      <c r="I344">
        <v>706</v>
      </c>
      <c r="J344">
        <v>2908</v>
      </c>
      <c r="K344" s="8">
        <v>3614</v>
      </c>
      <c r="L344" s="12">
        <v>15.530200000000001</v>
      </c>
      <c r="M344" s="12">
        <v>61.291699999999999</v>
      </c>
      <c r="N344" s="12">
        <v>6.4174810999999998</v>
      </c>
      <c r="O344" s="13">
        <f t="shared" si="68"/>
        <v>-0.45991802068546528</v>
      </c>
      <c r="P344" s="6">
        <f t="shared" si="69"/>
        <v>-1.0055284909629598</v>
      </c>
      <c r="Q344" s="6">
        <f t="shared" si="70"/>
        <v>-0.10522651754908524</v>
      </c>
      <c r="R344" s="6">
        <f t="shared" si="71"/>
        <v>-1.2228433323838972</v>
      </c>
      <c r="S344">
        <f t="shared" si="72"/>
        <v>0</v>
      </c>
      <c r="T344">
        <f t="shared" si="73"/>
        <v>0</v>
      </c>
      <c r="U344">
        <f t="shared" si="74"/>
        <v>0</v>
      </c>
      <c r="V344">
        <f t="shared" si="75"/>
        <v>0</v>
      </c>
      <c r="W344">
        <f t="shared" si="76"/>
        <v>0</v>
      </c>
      <c r="X344">
        <f t="shared" si="77"/>
        <v>0</v>
      </c>
      <c r="Y344">
        <f t="shared" si="78"/>
        <v>0</v>
      </c>
      <c r="Z344">
        <f t="shared" si="79"/>
        <v>0</v>
      </c>
      <c r="AA344">
        <f t="shared" si="80"/>
        <v>1</v>
      </c>
    </row>
    <row r="345" spans="2:27" x14ac:dyDescent="0.3">
      <c r="B345">
        <v>338</v>
      </c>
      <c r="C345" s="1">
        <v>40881</v>
      </c>
      <c r="D345">
        <v>4</v>
      </c>
      <c r="E345">
        <v>0</v>
      </c>
      <c r="F345">
        <v>12</v>
      </c>
      <c r="G345">
        <v>0</v>
      </c>
      <c r="H345">
        <v>1</v>
      </c>
      <c r="I345">
        <v>634</v>
      </c>
      <c r="J345">
        <v>2851</v>
      </c>
      <c r="K345" s="8">
        <v>3485</v>
      </c>
      <c r="L345" s="12">
        <v>17.454999999999998</v>
      </c>
      <c r="M345" s="12">
        <v>77.583299999999994</v>
      </c>
      <c r="N345" s="12">
        <v>5.6252060999999998</v>
      </c>
      <c r="O345" s="13">
        <f t="shared" si="68"/>
        <v>-0.52655417742419519</v>
      </c>
      <c r="P345" s="6">
        <f t="shared" si="69"/>
        <v>-0.76913870487347691</v>
      </c>
      <c r="Q345" s="6">
        <f t="shared" si="70"/>
        <v>1.0393959906166246</v>
      </c>
      <c r="R345" s="6">
        <f t="shared" si="71"/>
        <v>-1.3755326442210476</v>
      </c>
      <c r="S345">
        <f t="shared" si="72"/>
        <v>0</v>
      </c>
      <c r="T345">
        <f t="shared" si="73"/>
        <v>0</v>
      </c>
      <c r="U345">
        <f t="shared" si="74"/>
        <v>0</v>
      </c>
      <c r="V345">
        <f t="shared" si="75"/>
        <v>0</v>
      </c>
      <c r="W345">
        <f t="shared" si="76"/>
        <v>0</v>
      </c>
      <c r="X345">
        <f t="shared" si="77"/>
        <v>0</v>
      </c>
      <c r="Y345">
        <f t="shared" si="78"/>
        <v>0</v>
      </c>
      <c r="Z345">
        <f t="shared" si="79"/>
        <v>0</v>
      </c>
      <c r="AA345">
        <f t="shared" si="80"/>
        <v>1</v>
      </c>
    </row>
    <row r="346" spans="2:27" x14ac:dyDescent="0.3">
      <c r="B346">
        <v>339</v>
      </c>
      <c r="C346" s="1">
        <v>40882</v>
      </c>
      <c r="D346">
        <v>4</v>
      </c>
      <c r="E346">
        <v>0</v>
      </c>
      <c r="F346">
        <v>12</v>
      </c>
      <c r="G346">
        <v>1</v>
      </c>
      <c r="H346">
        <v>2</v>
      </c>
      <c r="I346">
        <v>233</v>
      </c>
      <c r="J346">
        <v>3578</v>
      </c>
      <c r="K346" s="8">
        <v>3811</v>
      </c>
      <c r="L346" s="12">
        <v>19.696249999999999</v>
      </c>
      <c r="M346" s="12">
        <v>82.708299999999994</v>
      </c>
      <c r="N346" s="12">
        <v>4.1679560999999996</v>
      </c>
      <c r="O346" s="13">
        <f t="shared" si="68"/>
        <v>-0.3581558278363971</v>
      </c>
      <c r="P346" s="6">
        <f t="shared" si="69"/>
        <v>-0.49388485612396832</v>
      </c>
      <c r="Q346" s="6">
        <f t="shared" si="70"/>
        <v>1.3994705292960217</v>
      </c>
      <c r="R346" s="6">
        <f t="shared" si="71"/>
        <v>-1.6563776786783857</v>
      </c>
      <c r="S346">
        <f t="shared" si="72"/>
        <v>1</v>
      </c>
      <c r="T346">
        <f t="shared" si="73"/>
        <v>0</v>
      </c>
      <c r="U346">
        <f t="shared" si="74"/>
        <v>0</v>
      </c>
      <c r="V346">
        <f t="shared" si="75"/>
        <v>0</v>
      </c>
      <c r="W346">
        <f t="shared" si="76"/>
        <v>0</v>
      </c>
      <c r="X346">
        <f t="shared" si="77"/>
        <v>0</v>
      </c>
      <c r="Y346">
        <f t="shared" si="78"/>
        <v>0</v>
      </c>
      <c r="Z346">
        <f t="shared" si="79"/>
        <v>0</v>
      </c>
      <c r="AA346">
        <f t="shared" si="80"/>
        <v>1</v>
      </c>
    </row>
    <row r="347" spans="2:27" x14ac:dyDescent="0.3">
      <c r="B347">
        <v>340</v>
      </c>
      <c r="C347" s="1">
        <v>40883</v>
      </c>
      <c r="D347">
        <v>4</v>
      </c>
      <c r="E347">
        <v>0</v>
      </c>
      <c r="F347">
        <v>12</v>
      </c>
      <c r="G347">
        <v>2</v>
      </c>
      <c r="H347">
        <v>3</v>
      </c>
      <c r="I347">
        <v>126</v>
      </c>
      <c r="J347">
        <v>2468</v>
      </c>
      <c r="K347" s="8">
        <v>2594</v>
      </c>
      <c r="L347" s="12">
        <v>22.82</v>
      </c>
      <c r="M347" s="12">
        <v>94.958299999999994</v>
      </c>
      <c r="N347" s="12">
        <v>15.583061000000001</v>
      </c>
      <c r="O347" s="13">
        <f t="shared" si="68"/>
        <v>-0.98680856234053915</v>
      </c>
      <c r="P347" s="6">
        <f t="shared" si="69"/>
        <v>-0.11024884495552324</v>
      </c>
      <c r="Q347" s="6">
        <f t="shared" si="70"/>
        <v>2.2601364997979947</v>
      </c>
      <c r="R347" s="6">
        <f t="shared" si="71"/>
        <v>0.54357121751281601</v>
      </c>
      <c r="S347">
        <f t="shared" si="72"/>
        <v>0</v>
      </c>
      <c r="T347">
        <f t="shared" si="73"/>
        <v>1</v>
      </c>
      <c r="U347">
        <f t="shared" si="74"/>
        <v>0</v>
      </c>
      <c r="V347">
        <f t="shared" si="75"/>
        <v>0</v>
      </c>
      <c r="W347">
        <f t="shared" si="76"/>
        <v>0</v>
      </c>
      <c r="X347">
        <f t="shared" si="77"/>
        <v>1</v>
      </c>
      <c r="Y347">
        <f t="shared" si="78"/>
        <v>0</v>
      </c>
      <c r="Z347">
        <f t="shared" si="79"/>
        <v>0</v>
      </c>
      <c r="AA347">
        <f t="shared" si="80"/>
        <v>1</v>
      </c>
    </row>
    <row r="348" spans="2:27" x14ac:dyDescent="0.3">
      <c r="B348">
        <v>341</v>
      </c>
      <c r="C348" s="1">
        <v>40884</v>
      </c>
      <c r="D348">
        <v>4</v>
      </c>
      <c r="E348">
        <v>0</v>
      </c>
      <c r="F348">
        <v>12</v>
      </c>
      <c r="G348">
        <v>3</v>
      </c>
      <c r="H348">
        <v>3</v>
      </c>
      <c r="I348">
        <v>50</v>
      </c>
      <c r="J348">
        <v>655</v>
      </c>
      <c r="K348" s="8">
        <v>705</v>
      </c>
      <c r="L348" s="12">
        <v>20.0123</v>
      </c>
      <c r="M348" s="12">
        <v>97.041700000000006</v>
      </c>
      <c r="N348" s="12">
        <v>17.833725000000001</v>
      </c>
      <c r="O348" s="13">
        <f t="shared" si="68"/>
        <v>-1.9625891831115534</v>
      </c>
      <c r="P348" s="6">
        <f t="shared" si="69"/>
        <v>-0.45506991852339618</v>
      </c>
      <c r="Q348" s="6">
        <f t="shared" si="70"/>
        <v>2.4065129473852456</v>
      </c>
      <c r="R348" s="6">
        <f t="shared" si="71"/>
        <v>0.97732507486871956</v>
      </c>
      <c r="S348">
        <f t="shared" si="72"/>
        <v>0</v>
      </c>
      <c r="T348">
        <f t="shared" si="73"/>
        <v>0</v>
      </c>
      <c r="U348">
        <f t="shared" si="74"/>
        <v>1</v>
      </c>
      <c r="V348">
        <f t="shared" si="75"/>
        <v>0</v>
      </c>
      <c r="W348">
        <f t="shared" si="76"/>
        <v>0</v>
      </c>
      <c r="X348">
        <f t="shared" si="77"/>
        <v>1</v>
      </c>
      <c r="Y348">
        <f t="shared" si="78"/>
        <v>0</v>
      </c>
      <c r="Z348">
        <f t="shared" si="79"/>
        <v>0</v>
      </c>
      <c r="AA348">
        <f t="shared" si="80"/>
        <v>1</v>
      </c>
    </row>
    <row r="349" spans="2:27" x14ac:dyDescent="0.3">
      <c r="B349">
        <v>342</v>
      </c>
      <c r="C349" s="1">
        <v>40885</v>
      </c>
      <c r="D349">
        <v>4</v>
      </c>
      <c r="E349">
        <v>0</v>
      </c>
      <c r="F349">
        <v>12</v>
      </c>
      <c r="G349">
        <v>4</v>
      </c>
      <c r="H349">
        <v>1</v>
      </c>
      <c r="I349">
        <v>150</v>
      </c>
      <c r="J349">
        <v>3172</v>
      </c>
      <c r="K349" s="8">
        <v>3322</v>
      </c>
      <c r="L349" s="12">
        <v>12.8469</v>
      </c>
      <c r="M349" s="12">
        <v>58</v>
      </c>
      <c r="N349" s="12">
        <v>16.083886</v>
      </c>
      <c r="O349" s="13">
        <f t="shared" si="68"/>
        <v>-0.61075335221809424</v>
      </c>
      <c r="P349" s="6">
        <f t="shared" si="69"/>
        <v>-1.3350716710408432</v>
      </c>
      <c r="Q349" s="6">
        <f t="shared" si="70"/>
        <v>-0.33649624612878681</v>
      </c>
      <c r="R349" s="6">
        <f t="shared" si="71"/>
        <v>0.64009152245849865</v>
      </c>
      <c r="S349">
        <f t="shared" si="72"/>
        <v>0</v>
      </c>
      <c r="T349">
        <f t="shared" si="73"/>
        <v>0</v>
      </c>
      <c r="U349">
        <f t="shared" si="74"/>
        <v>0</v>
      </c>
      <c r="V349">
        <f t="shared" si="75"/>
        <v>1</v>
      </c>
      <c r="W349">
        <f t="shared" si="76"/>
        <v>0</v>
      </c>
      <c r="X349">
        <f t="shared" si="77"/>
        <v>0</v>
      </c>
      <c r="Y349">
        <f t="shared" si="78"/>
        <v>0</v>
      </c>
      <c r="Z349">
        <f t="shared" si="79"/>
        <v>0</v>
      </c>
      <c r="AA349">
        <f t="shared" si="80"/>
        <v>1</v>
      </c>
    </row>
    <row r="350" spans="2:27" x14ac:dyDescent="0.3">
      <c r="B350">
        <v>343</v>
      </c>
      <c r="C350" s="1">
        <v>40886</v>
      </c>
      <c r="D350">
        <v>4</v>
      </c>
      <c r="E350">
        <v>0</v>
      </c>
      <c r="F350">
        <v>12</v>
      </c>
      <c r="G350">
        <v>5</v>
      </c>
      <c r="H350">
        <v>1</v>
      </c>
      <c r="I350">
        <v>261</v>
      </c>
      <c r="J350">
        <v>3359</v>
      </c>
      <c r="K350" s="8">
        <v>3620</v>
      </c>
      <c r="L350" s="12">
        <v>15.8771</v>
      </c>
      <c r="M350" s="12">
        <v>69.583299999999994</v>
      </c>
      <c r="N350" s="12">
        <v>5.5420189000000004</v>
      </c>
      <c r="O350" s="13">
        <f t="shared" si="68"/>
        <v>-0.45681866455808251</v>
      </c>
      <c r="P350" s="6">
        <f t="shared" si="69"/>
        <v>-0.96292478315204866</v>
      </c>
      <c r="Q350" s="6">
        <f t="shared" si="70"/>
        <v>0.47732841804390724</v>
      </c>
      <c r="R350" s="6">
        <f t="shared" si="71"/>
        <v>-1.391564699153564</v>
      </c>
      <c r="S350">
        <f t="shared" si="72"/>
        <v>0</v>
      </c>
      <c r="T350">
        <f t="shared" si="73"/>
        <v>0</v>
      </c>
      <c r="U350">
        <f t="shared" si="74"/>
        <v>0</v>
      </c>
      <c r="V350">
        <f t="shared" si="75"/>
        <v>0</v>
      </c>
      <c r="W350">
        <f t="shared" si="76"/>
        <v>1</v>
      </c>
      <c r="X350">
        <f t="shared" si="77"/>
        <v>0</v>
      </c>
      <c r="Y350">
        <f t="shared" si="78"/>
        <v>0</v>
      </c>
      <c r="Z350">
        <f t="shared" si="79"/>
        <v>0</v>
      </c>
      <c r="AA350">
        <f t="shared" si="80"/>
        <v>1</v>
      </c>
    </row>
    <row r="351" spans="2:27" x14ac:dyDescent="0.3">
      <c r="B351">
        <v>344</v>
      </c>
      <c r="C351" s="1">
        <v>40887</v>
      </c>
      <c r="D351">
        <v>4</v>
      </c>
      <c r="E351">
        <v>0</v>
      </c>
      <c r="F351">
        <v>12</v>
      </c>
      <c r="G351">
        <v>6</v>
      </c>
      <c r="H351">
        <v>1</v>
      </c>
      <c r="I351">
        <v>502</v>
      </c>
      <c r="J351">
        <v>2688</v>
      </c>
      <c r="K351" s="8">
        <v>3190</v>
      </c>
      <c r="L351" s="12">
        <v>13.320600000000001</v>
      </c>
      <c r="M351" s="12">
        <v>50.75</v>
      </c>
      <c r="N351" s="12">
        <v>15.625807</v>
      </c>
      <c r="O351" s="13">
        <f t="shared" si="68"/>
        <v>-0.67893918702051559</v>
      </c>
      <c r="P351" s="6">
        <f t="shared" si="69"/>
        <v>-1.2768953193832224</v>
      </c>
      <c r="Q351" s="6">
        <f t="shared" si="70"/>
        <v>-0.84586998377281186</v>
      </c>
      <c r="R351" s="6">
        <f t="shared" si="71"/>
        <v>0.55180933852356451</v>
      </c>
      <c r="S351">
        <f t="shared" si="72"/>
        <v>0</v>
      </c>
      <c r="T351">
        <f t="shared" si="73"/>
        <v>0</v>
      </c>
      <c r="U351">
        <f t="shared" si="74"/>
        <v>0</v>
      </c>
      <c r="V351">
        <f t="shared" si="75"/>
        <v>0</v>
      </c>
      <c r="W351">
        <f t="shared" si="76"/>
        <v>0</v>
      </c>
      <c r="X351">
        <f t="shared" si="77"/>
        <v>0</v>
      </c>
      <c r="Y351">
        <f t="shared" si="78"/>
        <v>0</v>
      </c>
      <c r="Z351">
        <f t="shared" si="79"/>
        <v>0</v>
      </c>
      <c r="AA351">
        <f t="shared" si="80"/>
        <v>1</v>
      </c>
    </row>
    <row r="352" spans="2:27" x14ac:dyDescent="0.3">
      <c r="B352">
        <v>345</v>
      </c>
      <c r="C352" s="1">
        <v>40888</v>
      </c>
      <c r="D352">
        <v>4</v>
      </c>
      <c r="E352">
        <v>0</v>
      </c>
      <c r="F352">
        <v>12</v>
      </c>
      <c r="G352">
        <v>0</v>
      </c>
      <c r="H352">
        <v>1</v>
      </c>
      <c r="I352">
        <v>377</v>
      </c>
      <c r="J352">
        <v>2366</v>
      </c>
      <c r="K352" s="8">
        <v>2743</v>
      </c>
      <c r="L352" s="12">
        <v>12.6577</v>
      </c>
      <c r="M352" s="12">
        <v>49</v>
      </c>
      <c r="N352" s="12">
        <v>4.4582939000000001</v>
      </c>
      <c r="O352" s="13">
        <f t="shared" si="68"/>
        <v>-0.90984121851053323</v>
      </c>
      <c r="P352" s="6">
        <f t="shared" si="69"/>
        <v>-1.3583078241622741</v>
      </c>
      <c r="Q352" s="6">
        <f t="shared" si="70"/>
        <v>-0.96882226527309379</v>
      </c>
      <c r="R352" s="6">
        <f t="shared" si="71"/>
        <v>-1.6004230178821819</v>
      </c>
      <c r="S352">
        <f t="shared" si="72"/>
        <v>0</v>
      </c>
      <c r="T352">
        <f t="shared" si="73"/>
        <v>0</v>
      </c>
      <c r="U352">
        <f t="shared" si="74"/>
        <v>0</v>
      </c>
      <c r="V352">
        <f t="shared" si="75"/>
        <v>0</v>
      </c>
      <c r="W352">
        <f t="shared" si="76"/>
        <v>0</v>
      </c>
      <c r="X352">
        <f t="shared" si="77"/>
        <v>0</v>
      </c>
      <c r="Y352">
        <f t="shared" si="78"/>
        <v>0</v>
      </c>
      <c r="Z352">
        <f t="shared" si="79"/>
        <v>0</v>
      </c>
      <c r="AA352">
        <f t="shared" si="80"/>
        <v>1</v>
      </c>
    </row>
    <row r="353" spans="2:27" x14ac:dyDescent="0.3">
      <c r="B353">
        <v>346</v>
      </c>
      <c r="C353" s="1">
        <v>40889</v>
      </c>
      <c r="D353">
        <v>4</v>
      </c>
      <c r="E353">
        <v>0</v>
      </c>
      <c r="F353">
        <v>12</v>
      </c>
      <c r="G353">
        <v>1</v>
      </c>
      <c r="H353">
        <v>1</v>
      </c>
      <c r="I353">
        <v>143</v>
      </c>
      <c r="J353">
        <v>3167</v>
      </c>
      <c r="K353" s="8">
        <v>3310</v>
      </c>
      <c r="L353" s="12">
        <v>13.5098</v>
      </c>
      <c r="M353" s="12">
        <v>67.083299999999994</v>
      </c>
      <c r="N353" s="12">
        <v>4.25115</v>
      </c>
      <c r="O353" s="13">
        <f t="shared" si="68"/>
        <v>-0.61695206447285988</v>
      </c>
      <c r="P353" s="6">
        <f t="shared" si="69"/>
        <v>-1.2536591662617917</v>
      </c>
      <c r="Q353" s="6">
        <f t="shared" si="70"/>
        <v>0.30168230161493309</v>
      </c>
      <c r="R353" s="6">
        <f t="shared" si="71"/>
        <v>-1.6403443325043316</v>
      </c>
      <c r="S353">
        <f t="shared" si="72"/>
        <v>1</v>
      </c>
      <c r="T353">
        <f t="shared" si="73"/>
        <v>0</v>
      </c>
      <c r="U353">
        <f t="shared" si="74"/>
        <v>0</v>
      </c>
      <c r="V353">
        <f t="shared" si="75"/>
        <v>0</v>
      </c>
      <c r="W353">
        <f t="shared" si="76"/>
        <v>0</v>
      </c>
      <c r="X353">
        <f t="shared" si="77"/>
        <v>0</v>
      </c>
      <c r="Y353">
        <f t="shared" si="78"/>
        <v>0</v>
      </c>
      <c r="Z353">
        <f t="shared" si="79"/>
        <v>0</v>
      </c>
      <c r="AA353">
        <f t="shared" si="80"/>
        <v>1</v>
      </c>
    </row>
    <row r="354" spans="2:27" x14ac:dyDescent="0.3">
      <c r="B354">
        <v>347</v>
      </c>
      <c r="C354" s="1">
        <v>40890</v>
      </c>
      <c r="D354">
        <v>4</v>
      </c>
      <c r="E354">
        <v>0</v>
      </c>
      <c r="F354">
        <v>12</v>
      </c>
      <c r="G354">
        <v>2</v>
      </c>
      <c r="H354">
        <v>1</v>
      </c>
      <c r="I354">
        <v>155</v>
      </c>
      <c r="J354">
        <v>3368</v>
      </c>
      <c r="K354" s="8">
        <v>3523</v>
      </c>
      <c r="L354" s="12">
        <v>15.056900000000001</v>
      </c>
      <c r="M354" s="12">
        <v>59</v>
      </c>
      <c r="N354" s="12">
        <v>9.4168500000000002</v>
      </c>
      <c r="O354" s="13">
        <f t="shared" si="68"/>
        <v>-0.50692492195077088</v>
      </c>
      <c r="P354" s="6">
        <f t="shared" si="69"/>
        <v>-1.063655717561127</v>
      </c>
      <c r="Q354" s="6">
        <f t="shared" si="70"/>
        <v>-0.26623779955719717</v>
      </c>
      <c r="R354" s="6">
        <f t="shared" si="71"/>
        <v>-0.64479710691073322</v>
      </c>
      <c r="S354">
        <f t="shared" si="72"/>
        <v>0</v>
      </c>
      <c r="T354">
        <f t="shared" si="73"/>
        <v>1</v>
      </c>
      <c r="U354">
        <f t="shared" si="74"/>
        <v>0</v>
      </c>
      <c r="V354">
        <f t="shared" si="75"/>
        <v>0</v>
      </c>
      <c r="W354">
        <f t="shared" si="76"/>
        <v>0</v>
      </c>
      <c r="X354">
        <f t="shared" si="77"/>
        <v>0</v>
      </c>
      <c r="Y354">
        <f t="shared" si="78"/>
        <v>0</v>
      </c>
      <c r="Z354">
        <f t="shared" si="79"/>
        <v>0</v>
      </c>
      <c r="AA354">
        <f t="shared" si="80"/>
        <v>1</v>
      </c>
    </row>
    <row r="355" spans="2:27" x14ac:dyDescent="0.3">
      <c r="B355">
        <v>348</v>
      </c>
      <c r="C355" s="1">
        <v>40891</v>
      </c>
      <c r="D355">
        <v>4</v>
      </c>
      <c r="E355">
        <v>0</v>
      </c>
      <c r="F355">
        <v>12</v>
      </c>
      <c r="G355">
        <v>3</v>
      </c>
      <c r="H355">
        <v>2</v>
      </c>
      <c r="I355">
        <v>178</v>
      </c>
      <c r="J355">
        <v>3562</v>
      </c>
      <c r="K355" s="8">
        <v>3740</v>
      </c>
      <c r="L355" s="12">
        <v>16.918099999999999</v>
      </c>
      <c r="M355" s="12">
        <v>66.375</v>
      </c>
      <c r="N355" s="12">
        <v>4.0842061000000003</v>
      </c>
      <c r="O355" s="13">
        <f t="shared" si="68"/>
        <v>-0.39483154201042675</v>
      </c>
      <c r="P355" s="6">
        <f t="shared" si="69"/>
        <v>-0.83507681592472549</v>
      </c>
      <c r="Q355" s="6">
        <f t="shared" si="70"/>
        <v>0.25191824390827655</v>
      </c>
      <c r="R355" s="6">
        <f t="shared" si="71"/>
        <v>-1.6725181979000718</v>
      </c>
      <c r="S355">
        <f t="shared" si="72"/>
        <v>0</v>
      </c>
      <c r="T355">
        <f t="shared" si="73"/>
        <v>0</v>
      </c>
      <c r="U355">
        <f t="shared" si="74"/>
        <v>1</v>
      </c>
      <c r="V355">
        <f t="shared" si="75"/>
        <v>0</v>
      </c>
      <c r="W355">
        <f t="shared" si="76"/>
        <v>0</v>
      </c>
      <c r="X355">
        <f t="shared" si="77"/>
        <v>0</v>
      </c>
      <c r="Y355">
        <f t="shared" si="78"/>
        <v>0</v>
      </c>
      <c r="Z355">
        <f t="shared" si="79"/>
        <v>0</v>
      </c>
      <c r="AA355">
        <f t="shared" si="80"/>
        <v>1</v>
      </c>
    </row>
    <row r="356" spans="2:27" x14ac:dyDescent="0.3">
      <c r="B356">
        <v>349</v>
      </c>
      <c r="C356" s="1">
        <v>40892</v>
      </c>
      <c r="D356">
        <v>4</v>
      </c>
      <c r="E356">
        <v>0</v>
      </c>
      <c r="F356">
        <v>12</v>
      </c>
      <c r="G356">
        <v>4</v>
      </c>
      <c r="H356">
        <v>2</v>
      </c>
      <c r="I356">
        <v>181</v>
      </c>
      <c r="J356">
        <v>3528</v>
      </c>
      <c r="K356" s="8">
        <v>3709</v>
      </c>
      <c r="L356" s="12">
        <v>20.61185</v>
      </c>
      <c r="M356" s="12">
        <v>63.416699999999999</v>
      </c>
      <c r="N356" s="12">
        <v>17.958814</v>
      </c>
      <c r="O356" s="13">
        <f t="shared" si="68"/>
        <v>-0.4108448820019045</v>
      </c>
      <c r="P356" s="6">
        <f t="shared" si="69"/>
        <v>-0.38143759503526764</v>
      </c>
      <c r="Q356" s="6">
        <f t="shared" si="70"/>
        <v>4.407268141554279E-2</v>
      </c>
      <c r="R356" s="6">
        <f t="shared" si="71"/>
        <v>1.0014325543782296</v>
      </c>
      <c r="S356">
        <f t="shared" si="72"/>
        <v>0</v>
      </c>
      <c r="T356">
        <f t="shared" si="73"/>
        <v>0</v>
      </c>
      <c r="U356">
        <f t="shared" si="74"/>
        <v>0</v>
      </c>
      <c r="V356">
        <f t="shared" si="75"/>
        <v>1</v>
      </c>
      <c r="W356">
        <f t="shared" si="76"/>
        <v>0</v>
      </c>
      <c r="X356">
        <f t="shared" si="77"/>
        <v>0</v>
      </c>
      <c r="Y356">
        <f t="shared" si="78"/>
        <v>0</v>
      </c>
      <c r="Z356">
        <f t="shared" si="79"/>
        <v>0</v>
      </c>
      <c r="AA356">
        <f t="shared" si="80"/>
        <v>1</v>
      </c>
    </row>
    <row r="357" spans="2:27" x14ac:dyDescent="0.3">
      <c r="B357">
        <v>350</v>
      </c>
      <c r="C357" s="1">
        <v>40893</v>
      </c>
      <c r="D357">
        <v>4</v>
      </c>
      <c r="E357">
        <v>0</v>
      </c>
      <c r="F357">
        <v>12</v>
      </c>
      <c r="G357">
        <v>5</v>
      </c>
      <c r="H357">
        <v>2</v>
      </c>
      <c r="I357">
        <v>178</v>
      </c>
      <c r="J357">
        <v>3399</v>
      </c>
      <c r="K357" s="8">
        <v>3577</v>
      </c>
      <c r="L357" s="12">
        <v>17.991250000000001</v>
      </c>
      <c r="M357" s="12">
        <v>50.041699999999999</v>
      </c>
      <c r="N357" s="12">
        <v>17.458525000000002</v>
      </c>
      <c r="O357" s="13">
        <f t="shared" si="68"/>
        <v>-0.4790307168043258</v>
      </c>
      <c r="P357" s="6">
        <f t="shared" si="69"/>
        <v>-0.70328042204383956</v>
      </c>
      <c r="Q357" s="6">
        <f t="shared" si="70"/>
        <v>-0.8956340414794689</v>
      </c>
      <c r="R357" s="6">
        <f t="shared" si="71"/>
        <v>0.90501554875556589</v>
      </c>
      <c r="S357">
        <f t="shared" si="72"/>
        <v>0</v>
      </c>
      <c r="T357">
        <f t="shared" si="73"/>
        <v>0</v>
      </c>
      <c r="U357">
        <f t="shared" si="74"/>
        <v>0</v>
      </c>
      <c r="V357">
        <f t="shared" si="75"/>
        <v>0</v>
      </c>
      <c r="W357">
        <f t="shared" si="76"/>
        <v>1</v>
      </c>
      <c r="X357">
        <f t="shared" si="77"/>
        <v>0</v>
      </c>
      <c r="Y357">
        <f t="shared" si="78"/>
        <v>0</v>
      </c>
      <c r="Z357">
        <f t="shared" si="79"/>
        <v>0</v>
      </c>
      <c r="AA357">
        <f t="shared" si="80"/>
        <v>1</v>
      </c>
    </row>
    <row r="358" spans="2:27" x14ac:dyDescent="0.3">
      <c r="B358">
        <v>351</v>
      </c>
      <c r="C358" s="1">
        <v>40894</v>
      </c>
      <c r="D358">
        <v>4</v>
      </c>
      <c r="E358">
        <v>0</v>
      </c>
      <c r="F358">
        <v>12</v>
      </c>
      <c r="G358">
        <v>6</v>
      </c>
      <c r="H358">
        <v>2</v>
      </c>
      <c r="I358">
        <v>275</v>
      </c>
      <c r="J358">
        <v>2464</v>
      </c>
      <c r="K358" s="8">
        <v>2739</v>
      </c>
      <c r="L358" s="12">
        <v>12.46855</v>
      </c>
      <c r="M358" s="12">
        <v>56.083300000000001</v>
      </c>
      <c r="N358" s="12">
        <v>16.292189</v>
      </c>
      <c r="O358" s="13">
        <f t="shared" si="68"/>
        <v>-0.91190745592878852</v>
      </c>
      <c r="P358" s="6">
        <f t="shared" si="69"/>
        <v>-1.3815378366512734</v>
      </c>
      <c r="Q358" s="6">
        <f t="shared" si="70"/>
        <v>-0.47116061067255266</v>
      </c>
      <c r="R358" s="6">
        <f t="shared" si="71"/>
        <v>0.68023622186667643</v>
      </c>
      <c r="S358">
        <f t="shared" si="72"/>
        <v>0</v>
      </c>
      <c r="T358">
        <f t="shared" si="73"/>
        <v>0</v>
      </c>
      <c r="U358">
        <f t="shared" si="74"/>
        <v>0</v>
      </c>
      <c r="V358">
        <f t="shared" si="75"/>
        <v>0</v>
      </c>
      <c r="W358">
        <f t="shared" si="76"/>
        <v>0</v>
      </c>
      <c r="X358">
        <f t="shared" si="77"/>
        <v>0</v>
      </c>
      <c r="Y358">
        <f t="shared" si="78"/>
        <v>0</v>
      </c>
      <c r="Z358">
        <f t="shared" si="79"/>
        <v>0</v>
      </c>
      <c r="AA358">
        <f t="shared" si="80"/>
        <v>1</v>
      </c>
    </row>
    <row r="359" spans="2:27" x14ac:dyDescent="0.3">
      <c r="B359">
        <v>352</v>
      </c>
      <c r="C359" s="1">
        <v>40895</v>
      </c>
      <c r="D359">
        <v>4</v>
      </c>
      <c r="E359">
        <v>0</v>
      </c>
      <c r="F359">
        <v>12</v>
      </c>
      <c r="G359">
        <v>0</v>
      </c>
      <c r="H359">
        <v>1</v>
      </c>
      <c r="I359">
        <v>220</v>
      </c>
      <c r="J359">
        <v>2211</v>
      </c>
      <c r="K359" s="8">
        <v>2431</v>
      </c>
      <c r="L359" s="12">
        <v>12.27895</v>
      </c>
      <c r="M359" s="12">
        <v>58.625</v>
      </c>
      <c r="N359" s="12">
        <v>11.375192999999999</v>
      </c>
      <c r="O359" s="13">
        <f t="shared" si="68"/>
        <v>-1.0710077371344382</v>
      </c>
      <c r="P359" s="6">
        <f t="shared" si="69"/>
        <v>-1.4048231148321575</v>
      </c>
      <c r="Q359" s="6">
        <f t="shared" si="70"/>
        <v>-0.29258471702154332</v>
      </c>
      <c r="R359" s="6">
        <f t="shared" si="71"/>
        <v>-0.26738011784620302</v>
      </c>
      <c r="S359">
        <f t="shared" si="72"/>
        <v>0</v>
      </c>
      <c r="T359">
        <f t="shared" si="73"/>
        <v>0</v>
      </c>
      <c r="U359">
        <f t="shared" si="74"/>
        <v>0</v>
      </c>
      <c r="V359">
        <f t="shared" si="75"/>
        <v>0</v>
      </c>
      <c r="W359">
        <f t="shared" si="76"/>
        <v>0</v>
      </c>
      <c r="X359">
        <f t="shared" si="77"/>
        <v>0</v>
      </c>
      <c r="Y359">
        <f t="shared" si="78"/>
        <v>0</v>
      </c>
      <c r="Z359">
        <f t="shared" si="79"/>
        <v>0</v>
      </c>
      <c r="AA359">
        <f t="shared" si="80"/>
        <v>1</v>
      </c>
    </row>
    <row r="360" spans="2:27" x14ac:dyDescent="0.3">
      <c r="B360">
        <v>353</v>
      </c>
      <c r="C360" s="1">
        <v>40896</v>
      </c>
      <c r="D360">
        <v>4</v>
      </c>
      <c r="E360">
        <v>0</v>
      </c>
      <c r="F360">
        <v>12</v>
      </c>
      <c r="G360">
        <v>1</v>
      </c>
      <c r="H360">
        <v>1</v>
      </c>
      <c r="I360">
        <v>260</v>
      </c>
      <c r="J360">
        <v>3143</v>
      </c>
      <c r="K360" s="8">
        <v>3403</v>
      </c>
      <c r="L360" s="12">
        <v>14.04665</v>
      </c>
      <c r="M360" s="12">
        <v>63.75</v>
      </c>
      <c r="N360" s="12">
        <v>11.584032000000001</v>
      </c>
      <c r="O360" s="13">
        <f t="shared" si="68"/>
        <v>-0.56891204449842669</v>
      </c>
      <c r="P360" s="6">
        <f t="shared" si="69"/>
        <v>-1.1877271958429747</v>
      </c>
      <c r="Q360" s="6">
        <f t="shared" si="70"/>
        <v>6.7489821657853707E-2</v>
      </c>
      <c r="R360" s="6">
        <f t="shared" si="71"/>
        <v>-0.22713211911500639</v>
      </c>
      <c r="S360">
        <f t="shared" si="72"/>
        <v>1</v>
      </c>
      <c r="T360">
        <f t="shared" si="73"/>
        <v>0</v>
      </c>
      <c r="U360">
        <f t="shared" si="74"/>
        <v>0</v>
      </c>
      <c r="V360">
        <f t="shared" si="75"/>
        <v>0</v>
      </c>
      <c r="W360">
        <f t="shared" si="76"/>
        <v>0</v>
      </c>
      <c r="X360">
        <f t="shared" si="77"/>
        <v>0</v>
      </c>
      <c r="Y360">
        <f t="shared" si="78"/>
        <v>0</v>
      </c>
      <c r="Z360">
        <f t="shared" si="79"/>
        <v>0</v>
      </c>
      <c r="AA360">
        <f t="shared" si="80"/>
        <v>1</v>
      </c>
    </row>
    <row r="361" spans="2:27" x14ac:dyDescent="0.3">
      <c r="B361">
        <v>354</v>
      </c>
      <c r="C361" s="1">
        <v>40897</v>
      </c>
      <c r="D361">
        <v>4</v>
      </c>
      <c r="E361">
        <v>0</v>
      </c>
      <c r="F361">
        <v>12</v>
      </c>
      <c r="G361">
        <v>2</v>
      </c>
      <c r="H361">
        <v>2</v>
      </c>
      <c r="I361">
        <v>216</v>
      </c>
      <c r="J361">
        <v>3534</v>
      </c>
      <c r="K361" s="8">
        <v>3750</v>
      </c>
      <c r="L361" s="12">
        <v>19.822700000000001</v>
      </c>
      <c r="M361" s="12">
        <v>59.541699999999999</v>
      </c>
      <c r="N361" s="12">
        <v>4.1252436000000001</v>
      </c>
      <c r="O361" s="13">
        <f t="shared" si="68"/>
        <v>-0.38966594846478875</v>
      </c>
      <c r="P361" s="6">
        <f t="shared" si="69"/>
        <v>-0.47835519670428023</v>
      </c>
      <c r="Q361" s="6">
        <f t="shared" si="70"/>
        <v>-0.22817879904936714</v>
      </c>
      <c r="R361" s="6">
        <f t="shared" si="71"/>
        <v>-1.6646093434814453</v>
      </c>
      <c r="S361">
        <f t="shared" si="72"/>
        <v>0</v>
      </c>
      <c r="T361">
        <f t="shared" si="73"/>
        <v>1</v>
      </c>
      <c r="U361">
        <f t="shared" si="74"/>
        <v>0</v>
      </c>
      <c r="V361">
        <f t="shared" si="75"/>
        <v>0</v>
      </c>
      <c r="W361">
        <f t="shared" si="76"/>
        <v>0</v>
      </c>
      <c r="X361">
        <f t="shared" si="77"/>
        <v>0</v>
      </c>
      <c r="Y361">
        <f t="shared" si="78"/>
        <v>0</v>
      </c>
      <c r="Z361">
        <f t="shared" si="79"/>
        <v>0</v>
      </c>
      <c r="AA361">
        <f t="shared" si="80"/>
        <v>1</v>
      </c>
    </row>
    <row r="362" spans="2:27" x14ac:dyDescent="0.3">
      <c r="B362">
        <v>355</v>
      </c>
      <c r="C362" s="1">
        <v>40898</v>
      </c>
      <c r="D362">
        <v>1</v>
      </c>
      <c r="E362">
        <v>0</v>
      </c>
      <c r="F362">
        <v>12</v>
      </c>
      <c r="G362">
        <v>3</v>
      </c>
      <c r="H362">
        <v>2</v>
      </c>
      <c r="I362">
        <v>107</v>
      </c>
      <c r="J362">
        <v>2553</v>
      </c>
      <c r="K362" s="8">
        <v>2660</v>
      </c>
      <c r="L362" s="12">
        <v>21.400849999999998</v>
      </c>
      <c r="M362" s="12">
        <v>85.833299999999994</v>
      </c>
      <c r="N362" s="12">
        <v>14.8338</v>
      </c>
      <c r="O362" s="13">
        <f t="shared" si="68"/>
        <v>-0.95271564493932848</v>
      </c>
      <c r="P362" s="6">
        <f t="shared" si="69"/>
        <v>-0.28453841526355023</v>
      </c>
      <c r="Q362" s="6">
        <f t="shared" si="70"/>
        <v>1.6190281748322393</v>
      </c>
      <c r="R362" s="6">
        <f t="shared" si="71"/>
        <v>0.39917167634792339</v>
      </c>
      <c r="S362">
        <f t="shared" si="72"/>
        <v>0</v>
      </c>
      <c r="T362">
        <f t="shared" si="73"/>
        <v>0</v>
      </c>
      <c r="U362">
        <f t="shared" si="74"/>
        <v>1</v>
      </c>
      <c r="V362">
        <f t="shared" si="75"/>
        <v>0</v>
      </c>
      <c r="W362">
        <f t="shared" si="76"/>
        <v>0</v>
      </c>
      <c r="X362">
        <f t="shared" si="77"/>
        <v>0</v>
      </c>
      <c r="Y362">
        <f t="shared" si="78"/>
        <v>0</v>
      </c>
      <c r="Z362">
        <f t="shared" si="79"/>
        <v>0</v>
      </c>
      <c r="AA362">
        <f t="shared" si="80"/>
        <v>0</v>
      </c>
    </row>
    <row r="363" spans="2:27" x14ac:dyDescent="0.3">
      <c r="B363">
        <v>356</v>
      </c>
      <c r="C363" s="1">
        <v>40899</v>
      </c>
      <c r="D363">
        <v>1</v>
      </c>
      <c r="E363">
        <v>0</v>
      </c>
      <c r="F363">
        <v>12</v>
      </c>
      <c r="G363">
        <v>4</v>
      </c>
      <c r="H363">
        <v>2</v>
      </c>
      <c r="I363">
        <v>227</v>
      </c>
      <c r="J363">
        <v>2841</v>
      </c>
      <c r="K363" s="8">
        <v>3068</v>
      </c>
      <c r="L363" s="12">
        <v>21.306049999999999</v>
      </c>
      <c r="M363" s="12">
        <v>75.75</v>
      </c>
      <c r="N363" s="12">
        <v>3.1674250000000002</v>
      </c>
      <c r="O363" s="13">
        <f t="shared" si="68"/>
        <v>-0.74195942827729899</v>
      </c>
      <c r="P363" s="6">
        <f t="shared" si="69"/>
        <v>-0.29618105435399228</v>
      </c>
      <c r="Q363" s="6">
        <f t="shared" si="70"/>
        <v>0.91059118051692967</v>
      </c>
      <c r="R363" s="6">
        <f t="shared" si="71"/>
        <v>-1.8492026512329496</v>
      </c>
      <c r="S363">
        <f t="shared" si="72"/>
        <v>0</v>
      </c>
      <c r="T363">
        <f t="shared" si="73"/>
        <v>0</v>
      </c>
      <c r="U363">
        <f t="shared" si="74"/>
        <v>0</v>
      </c>
      <c r="V363">
        <f t="shared" si="75"/>
        <v>1</v>
      </c>
      <c r="W363">
        <f t="shared" si="76"/>
        <v>0</v>
      </c>
      <c r="X363">
        <f t="shared" si="77"/>
        <v>0</v>
      </c>
      <c r="Y363">
        <f t="shared" si="78"/>
        <v>0</v>
      </c>
      <c r="Z363">
        <f t="shared" si="79"/>
        <v>0</v>
      </c>
      <c r="AA363">
        <f t="shared" si="80"/>
        <v>0</v>
      </c>
    </row>
    <row r="364" spans="2:27" x14ac:dyDescent="0.3">
      <c r="B364">
        <v>357</v>
      </c>
      <c r="C364" s="1">
        <v>40900</v>
      </c>
      <c r="D364">
        <v>1</v>
      </c>
      <c r="E364">
        <v>0</v>
      </c>
      <c r="F364">
        <v>12</v>
      </c>
      <c r="G364">
        <v>5</v>
      </c>
      <c r="H364">
        <v>1</v>
      </c>
      <c r="I364">
        <v>163</v>
      </c>
      <c r="J364">
        <v>2046</v>
      </c>
      <c r="K364" s="8">
        <v>2209</v>
      </c>
      <c r="L364" s="12">
        <v>18.87565</v>
      </c>
      <c r="M364" s="12">
        <v>68.625</v>
      </c>
      <c r="N364" s="12">
        <v>18.374482</v>
      </c>
      <c r="O364" s="13">
        <f t="shared" si="68"/>
        <v>-1.1856839138476014</v>
      </c>
      <c r="P364" s="6">
        <f t="shared" si="69"/>
        <v>-0.5946649155924999</v>
      </c>
      <c r="Q364" s="6">
        <f t="shared" si="70"/>
        <v>0.40999974869435329</v>
      </c>
      <c r="R364" s="6">
        <f t="shared" si="71"/>
        <v>1.0815411793793022</v>
      </c>
      <c r="S364">
        <f t="shared" si="72"/>
        <v>0</v>
      </c>
      <c r="T364">
        <f t="shared" si="73"/>
        <v>0</v>
      </c>
      <c r="U364">
        <f t="shared" si="74"/>
        <v>0</v>
      </c>
      <c r="V364">
        <f t="shared" si="75"/>
        <v>0</v>
      </c>
      <c r="W364">
        <f t="shared" si="76"/>
        <v>1</v>
      </c>
      <c r="X364">
        <f t="shared" si="77"/>
        <v>0</v>
      </c>
      <c r="Y364">
        <f t="shared" si="78"/>
        <v>0</v>
      </c>
      <c r="Z364">
        <f t="shared" si="79"/>
        <v>0</v>
      </c>
      <c r="AA364">
        <f t="shared" si="80"/>
        <v>0</v>
      </c>
    </row>
    <row r="365" spans="2:27" x14ac:dyDescent="0.3">
      <c r="B365">
        <v>358</v>
      </c>
      <c r="C365" s="1">
        <v>40901</v>
      </c>
      <c r="D365">
        <v>1</v>
      </c>
      <c r="E365">
        <v>0</v>
      </c>
      <c r="F365">
        <v>12</v>
      </c>
      <c r="G365">
        <v>6</v>
      </c>
      <c r="H365">
        <v>1</v>
      </c>
      <c r="I365">
        <v>155</v>
      </c>
      <c r="J365">
        <v>856</v>
      </c>
      <c r="K365" s="8">
        <v>1011</v>
      </c>
      <c r="L365" s="12">
        <v>14.9621</v>
      </c>
      <c r="M365" s="12">
        <v>54.25</v>
      </c>
      <c r="N365" s="12">
        <v>12.750368</v>
      </c>
      <c r="O365" s="13">
        <f t="shared" si="68"/>
        <v>-1.8045220206150312</v>
      </c>
      <c r="P365" s="6">
        <f t="shared" si="69"/>
        <v>-1.0752983566515693</v>
      </c>
      <c r="Q365" s="6">
        <f t="shared" si="70"/>
        <v>-0.59996542077224801</v>
      </c>
      <c r="R365" s="6">
        <f t="shared" si="71"/>
        <v>-2.3527922261172645E-3</v>
      </c>
      <c r="S365">
        <f t="shared" si="72"/>
        <v>0</v>
      </c>
      <c r="T365">
        <f t="shared" si="73"/>
        <v>0</v>
      </c>
      <c r="U365">
        <f t="shared" si="74"/>
        <v>0</v>
      </c>
      <c r="V365">
        <f t="shared" si="75"/>
        <v>0</v>
      </c>
      <c r="W365">
        <f t="shared" si="76"/>
        <v>0</v>
      </c>
      <c r="X365">
        <f t="shared" si="77"/>
        <v>0</v>
      </c>
      <c r="Y365">
        <f t="shared" si="78"/>
        <v>0</v>
      </c>
      <c r="Z365">
        <f t="shared" si="79"/>
        <v>0</v>
      </c>
      <c r="AA365">
        <f t="shared" si="80"/>
        <v>0</v>
      </c>
    </row>
    <row r="366" spans="2:27" x14ac:dyDescent="0.3">
      <c r="B366">
        <v>359</v>
      </c>
      <c r="C366" s="1">
        <v>40902</v>
      </c>
      <c r="D366">
        <v>1</v>
      </c>
      <c r="E366">
        <v>0</v>
      </c>
      <c r="F366">
        <v>12</v>
      </c>
      <c r="G366">
        <v>0</v>
      </c>
      <c r="H366">
        <v>1</v>
      </c>
      <c r="I366">
        <v>303</v>
      </c>
      <c r="J366">
        <v>451</v>
      </c>
      <c r="K366" s="8">
        <v>754</v>
      </c>
      <c r="L366" s="12">
        <v>13.998049999999999</v>
      </c>
      <c r="M366" s="12">
        <v>68.130399999999995</v>
      </c>
      <c r="N366" s="12">
        <v>10.391097</v>
      </c>
      <c r="O366" s="13">
        <f t="shared" si="68"/>
        <v>-1.9372777747379273</v>
      </c>
      <c r="P366" s="6">
        <f t="shared" si="69"/>
        <v>-1.1936958905665558</v>
      </c>
      <c r="Q366" s="6">
        <f t="shared" si="70"/>
        <v>0.37524992102004467</v>
      </c>
      <c r="R366" s="6">
        <f t="shared" si="71"/>
        <v>-0.45703767490870317</v>
      </c>
      <c r="S366">
        <f t="shared" si="72"/>
        <v>0</v>
      </c>
      <c r="T366">
        <f t="shared" si="73"/>
        <v>0</v>
      </c>
      <c r="U366">
        <f t="shared" si="74"/>
        <v>0</v>
      </c>
      <c r="V366">
        <f t="shared" si="75"/>
        <v>0</v>
      </c>
      <c r="W366">
        <f t="shared" si="76"/>
        <v>0</v>
      </c>
      <c r="X366">
        <f t="shared" si="77"/>
        <v>0</v>
      </c>
      <c r="Y366">
        <f t="shared" si="78"/>
        <v>0</v>
      </c>
      <c r="Z366">
        <f t="shared" si="79"/>
        <v>0</v>
      </c>
      <c r="AA366">
        <f t="shared" si="80"/>
        <v>0</v>
      </c>
    </row>
    <row r="367" spans="2:27" x14ac:dyDescent="0.3">
      <c r="B367">
        <v>360</v>
      </c>
      <c r="C367" s="1">
        <v>40903</v>
      </c>
      <c r="D367">
        <v>1</v>
      </c>
      <c r="E367">
        <v>0</v>
      </c>
      <c r="F367">
        <v>12</v>
      </c>
      <c r="G367">
        <v>1</v>
      </c>
      <c r="H367">
        <v>1</v>
      </c>
      <c r="I367">
        <v>430</v>
      </c>
      <c r="J367">
        <v>887</v>
      </c>
      <c r="K367" s="8">
        <v>1317</v>
      </c>
      <c r="L367" s="12">
        <v>15.77675</v>
      </c>
      <c r="M367" s="12">
        <v>50.695700000000002</v>
      </c>
      <c r="N367" s="12">
        <v>16.044155</v>
      </c>
      <c r="O367" s="13">
        <f t="shared" si="68"/>
        <v>-1.6464548581185092</v>
      </c>
      <c r="P367" s="6">
        <f t="shared" si="69"/>
        <v>-0.97524903244240602</v>
      </c>
      <c r="Q367" s="6">
        <f t="shared" si="70"/>
        <v>-0.84968501742164904</v>
      </c>
      <c r="R367" s="6">
        <f t="shared" si="71"/>
        <v>0.63243446013973081</v>
      </c>
      <c r="S367">
        <f t="shared" si="72"/>
        <v>1</v>
      </c>
      <c r="T367">
        <f t="shared" si="73"/>
        <v>0</v>
      </c>
      <c r="U367">
        <f t="shared" si="74"/>
        <v>0</v>
      </c>
      <c r="V367">
        <f t="shared" si="75"/>
        <v>0</v>
      </c>
      <c r="W367">
        <f t="shared" si="76"/>
        <v>0</v>
      </c>
      <c r="X367">
        <f t="shared" si="77"/>
        <v>0</v>
      </c>
      <c r="Y367">
        <f t="shared" si="78"/>
        <v>0</v>
      </c>
      <c r="Z367">
        <f t="shared" si="79"/>
        <v>0</v>
      </c>
      <c r="AA367">
        <f t="shared" si="80"/>
        <v>0</v>
      </c>
    </row>
    <row r="368" spans="2:27" x14ac:dyDescent="0.3">
      <c r="B368">
        <v>361</v>
      </c>
      <c r="C368" s="1">
        <v>40904</v>
      </c>
      <c r="D368">
        <v>1</v>
      </c>
      <c r="E368">
        <v>0</v>
      </c>
      <c r="F368">
        <v>12</v>
      </c>
      <c r="G368">
        <v>2</v>
      </c>
      <c r="H368">
        <v>2</v>
      </c>
      <c r="I368">
        <v>103</v>
      </c>
      <c r="J368">
        <v>1059</v>
      </c>
      <c r="K368" s="8">
        <v>1162</v>
      </c>
      <c r="L368" s="12">
        <v>16.38165</v>
      </c>
      <c r="M368" s="12">
        <v>76.25</v>
      </c>
      <c r="N368" s="12">
        <v>12.626150000000001</v>
      </c>
      <c r="O368" s="13">
        <f t="shared" si="68"/>
        <v>-1.7265215580758979</v>
      </c>
      <c r="P368" s="6">
        <f t="shared" si="69"/>
        <v>-0.900959661284089</v>
      </c>
      <c r="Q368" s="6">
        <f t="shared" si="70"/>
        <v>0.94572040380272449</v>
      </c>
      <c r="R368" s="6">
        <f t="shared" si="71"/>
        <v>-2.6292410335721897E-2</v>
      </c>
      <c r="S368">
        <f t="shared" si="72"/>
        <v>0</v>
      </c>
      <c r="T368">
        <f t="shared" si="73"/>
        <v>1</v>
      </c>
      <c r="U368">
        <f t="shared" si="74"/>
        <v>0</v>
      </c>
      <c r="V368">
        <f t="shared" si="75"/>
        <v>0</v>
      </c>
      <c r="W368">
        <f t="shared" si="76"/>
        <v>0</v>
      </c>
      <c r="X368">
        <f t="shared" si="77"/>
        <v>0</v>
      </c>
      <c r="Y368">
        <f t="shared" si="78"/>
        <v>0</v>
      </c>
      <c r="Z368">
        <f t="shared" si="79"/>
        <v>0</v>
      </c>
      <c r="AA368">
        <f t="shared" si="80"/>
        <v>0</v>
      </c>
    </row>
    <row r="369" spans="2:27" x14ac:dyDescent="0.3">
      <c r="B369">
        <v>362</v>
      </c>
      <c r="C369" s="1">
        <v>40905</v>
      </c>
      <c r="D369">
        <v>1</v>
      </c>
      <c r="E369">
        <v>0</v>
      </c>
      <c r="F369">
        <v>12</v>
      </c>
      <c r="G369">
        <v>3</v>
      </c>
      <c r="H369">
        <v>1</v>
      </c>
      <c r="I369">
        <v>255</v>
      </c>
      <c r="J369">
        <v>2047</v>
      </c>
      <c r="K369" s="8">
        <v>2302</v>
      </c>
      <c r="L369" s="12">
        <v>13.998699999999999</v>
      </c>
      <c r="M369" s="12">
        <v>50.391300000000001</v>
      </c>
      <c r="N369" s="12">
        <v>19.695387</v>
      </c>
      <c r="O369" s="13">
        <f t="shared" si="68"/>
        <v>-1.1376438938731681</v>
      </c>
      <c r="P369" s="6">
        <f t="shared" si="69"/>
        <v>-1.1936160623449441</v>
      </c>
      <c r="Q369" s="6">
        <f t="shared" si="70"/>
        <v>-0.87107168855804096</v>
      </c>
      <c r="R369" s="6">
        <f t="shared" si="71"/>
        <v>1.3361094485437353</v>
      </c>
      <c r="S369">
        <f t="shared" si="72"/>
        <v>0</v>
      </c>
      <c r="T369">
        <f t="shared" si="73"/>
        <v>0</v>
      </c>
      <c r="U369">
        <f t="shared" si="74"/>
        <v>1</v>
      </c>
      <c r="V369">
        <f t="shared" si="75"/>
        <v>0</v>
      </c>
      <c r="W369">
        <f t="shared" si="76"/>
        <v>0</v>
      </c>
      <c r="X369">
        <f t="shared" si="77"/>
        <v>0</v>
      </c>
      <c r="Y369">
        <f t="shared" si="78"/>
        <v>0</v>
      </c>
      <c r="Z369">
        <f t="shared" si="79"/>
        <v>0</v>
      </c>
      <c r="AA369">
        <f t="shared" si="80"/>
        <v>0</v>
      </c>
    </row>
    <row r="370" spans="2:27" x14ac:dyDescent="0.3">
      <c r="B370">
        <v>363</v>
      </c>
      <c r="C370" s="1">
        <v>40906</v>
      </c>
      <c r="D370">
        <v>1</v>
      </c>
      <c r="E370">
        <v>0</v>
      </c>
      <c r="F370">
        <v>12</v>
      </c>
      <c r="G370">
        <v>4</v>
      </c>
      <c r="H370">
        <v>1</v>
      </c>
      <c r="I370">
        <v>254</v>
      </c>
      <c r="J370">
        <v>2169</v>
      </c>
      <c r="K370" s="8">
        <v>2423</v>
      </c>
      <c r="L370" s="12">
        <v>13.194599999999999</v>
      </c>
      <c r="M370" s="12">
        <v>57.416699999999999</v>
      </c>
      <c r="N370" s="12">
        <v>8.0006039999999992</v>
      </c>
      <c r="O370" s="13">
        <f t="shared" si="68"/>
        <v>-1.0751402119709486</v>
      </c>
      <c r="P370" s="6">
        <f t="shared" si="69"/>
        <v>-1.2923697131110254</v>
      </c>
      <c r="Q370" s="6">
        <f t="shared" si="70"/>
        <v>-0.37747799801399518</v>
      </c>
      <c r="R370" s="6">
        <f t="shared" si="71"/>
        <v>-0.91773974315713391</v>
      </c>
      <c r="S370">
        <f t="shared" si="72"/>
        <v>0</v>
      </c>
      <c r="T370">
        <f t="shared" si="73"/>
        <v>0</v>
      </c>
      <c r="U370">
        <f t="shared" si="74"/>
        <v>0</v>
      </c>
      <c r="V370">
        <f t="shared" si="75"/>
        <v>1</v>
      </c>
      <c r="W370">
        <f t="shared" si="76"/>
        <v>0</v>
      </c>
      <c r="X370">
        <f t="shared" si="77"/>
        <v>0</v>
      </c>
      <c r="Y370">
        <f t="shared" si="78"/>
        <v>0</v>
      </c>
      <c r="Z370">
        <f t="shared" si="79"/>
        <v>0</v>
      </c>
      <c r="AA370">
        <f t="shared" si="80"/>
        <v>0</v>
      </c>
    </row>
    <row r="371" spans="2:27" x14ac:dyDescent="0.3">
      <c r="B371">
        <v>364</v>
      </c>
      <c r="C371" s="1">
        <v>40907</v>
      </c>
      <c r="D371">
        <v>1</v>
      </c>
      <c r="E371">
        <v>0</v>
      </c>
      <c r="F371">
        <v>12</v>
      </c>
      <c r="G371">
        <v>5</v>
      </c>
      <c r="H371">
        <v>1</v>
      </c>
      <c r="I371">
        <v>491</v>
      </c>
      <c r="J371">
        <v>2508</v>
      </c>
      <c r="K371" s="8">
        <v>2999</v>
      </c>
      <c r="L371" s="12">
        <v>15.9406</v>
      </c>
      <c r="M371" s="12">
        <v>63.666699999999999</v>
      </c>
      <c r="N371" s="12">
        <v>9.0005790000000001</v>
      </c>
      <c r="O371" s="13">
        <f t="shared" si="68"/>
        <v>-0.777602023742201</v>
      </c>
      <c r="P371" s="6">
        <f t="shared" si="69"/>
        <v>-0.95512617996383065</v>
      </c>
      <c r="Q371" s="6">
        <f t="shared" si="70"/>
        <v>6.1637293058440207E-2</v>
      </c>
      <c r="R371" s="6">
        <f t="shared" si="71"/>
        <v>-0.72502194365020178</v>
      </c>
      <c r="S371">
        <f t="shared" si="72"/>
        <v>0</v>
      </c>
      <c r="T371">
        <f t="shared" si="73"/>
        <v>0</v>
      </c>
      <c r="U371">
        <f t="shared" si="74"/>
        <v>0</v>
      </c>
      <c r="V371">
        <f t="shared" si="75"/>
        <v>0</v>
      </c>
      <c r="W371">
        <f t="shared" si="76"/>
        <v>1</v>
      </c>
      <c r="X371">
        <f t="shared" si="77"/>
        <v>0</v>
      </c>
      <c r="Y371">
        <f t="shared" si="78"/>
        <v>0</v>
      </c>
      <c r="Z371">
        <f t="shared" si="79"/>
        <v>0</v>
      </c>
      <c r="AA371">
        <f t="shared" si="80"/>
        <v>0</v>
      </c>
    </row>
    <row r="372" spans="2:27" x14ac:dyDescent="0.3">
      <c r="B372">
        <v>365</v>
      </c>
      <c r="C372" s="1">
        <v>40908</v>
      </c>
      <c r="D372">
        <v>1</v>
      </c>
      <c r="E372">
        <v>0</v>
      </c>
      <c r="F372">
        <v>12</v>
      </c>
      <c r="G372">
        <v>6</v>
      </c>
      <c r="H372">
        <v>1</v>
      </c>
      <c r="I372">
        <v>665</v>
      </c>
      <c r="J372">
        <v>1820</v>
      </c>
      <c r="K372" s="8">
        <v>2485</v>
      </c>
      <c r="L372" s="12">
        <v>20.706050000000001</v>
      </c>
      <c r="M372" s="12">
        <v>61.583300000000001</v>
      </c>
      <c r="N372" s="12">
        <v>14.750318</v>
      </c>
      <c r="O372" s="13">
        <f t="shared" si="68"/>
        <v>-1.0431135319879932</v>
      </c>
      <c r="P372" s="6">
        <f t="shared" si="69"/>
        <v>-0.36986864353400545</v>
      </c>
      <c r="Q372" s="6">
        <f t="shared" si="70"/>
        <v>-8.4739154528809521E-2</v>
      </c>
      <c r="R372" s="6">
        <f t="shared" si="71"/>
        <v>0.3830828067877467</v>
      </c>
      <c r="S372">
        <f t="shared" si="72"/>
        <v>0</v>
      </c>
      <c r="T372">
        <f t="shared" si="73"/>
        <v>0</v>
      </c>
      <c r="U372">
        <f t="shared" si="74"/>
        <v>0</v>
      </c>
      <c r="V372">
        <f t="shared" si="75"/>
        <v>0</v>
      </c>
      <c r="W372">
        <f t="shared" si="76"/>
        <v>0</v>
      </c>
      <c r="X372">
        <f t="shared" si="77"/>
        <v>0</v>
      </c>
      <c r="Y372">
        <f t="shared" si="78"/>
        <v>0</v>
      </c>
      <c r="Z372">
        <f t="shared" si="79"/>
        <v>0</v>
      </c>
      <c r="AA372">
        <f t="shared" si="80"/>
        <v>0</v>
      </c>
    </row>
    <row r="373" spans="2:27" x14ac:dyDescent="0.3">
      <c r="B373">
        <v>366</v>
      </c>
      <c r="C373" s="1">
        <v>40909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686</v>
      </c>
      <c r="J373">
        <v>1608</v>
      </c>
      <c r="K373" s="8">
        <v>2294</v>
      </c>
      <c r="L373" s="12">
        <v>18.78105</v>
      </c>
      <c r="M373" s="12">
        <v>69.25</v>
      </c>
      <c r="N373" s="12">
        <v>12.875189000000001</v>
      </c>
      <c r="O373" s="13">
        <f t="shared" si="68"/>
        <v>-1.1417763687096785</v>
      </c>
      <c r="P373" s="6">
        <f t="shared" si="69"/>
        <v>-0.60628299215321535</v>
      </c>
      <c r="Q373" s="6">
        <f t="shared" si="70"/>
        <v>0.45391127780159685</v>
      </c>
      <c r="R373" s="6">
        <f t="shared" si="71"/>
        <v>2.1703037621883834E-2</v>
      </c>
      <c r="S373">
        <f t="shared" si="72"/>
        <v>0</v>
      </c>
      <c r="T373">
        <f t="shared" si="73"/>
        <v>0</v>
      </c>
      <c r="U373">
        <f t="shared" si="74"/>
        <v>0</v>
      </c>
      <c r="V373">
        <f t="shared" si="75"/>
        <v>0</v>
      </c>
      <c r="W373">
        <f t="shared" si="76"/>
        <v>0</v>
      </c>
      <c r="X373">
        <f t="shared" si="77"/>
        <v>0</v>
      </c>
      <c r="Y373">
        <f t="shared" si="78"/>
        <v>0</v>
      </c>
      <c r="Z373">
        <f t="shared" si="79"/>
        <v>0</v>
      </c>
      <c r="AA373">
        <f t="shared" si="80"/>
        <v>0</v>
      </c>
    </row>
    <row r="374" spans="2:27" x14ac:dyDescent="0.3">
      <c r="B374">
        <v>367</v>
      </c>
      <c r="C374" s="1">
        <v>40910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244</v>
      </c>
      <c r="J374">
        <v>1707</v>
      </c>
      <c r="K374" s="8">
        <v>1951</v>
      </c>
      <c r="L374" s="12">
        <v>12.6152</v>
      </c>
      <c r="M374" s="12">
        <v>38.130400000000002</v>
      </c>
      <c r="N374" s="12">
        <v>22.087554999999998</v>
      </c>
      <c r="O374" s="13">
        <f t="shared" si="68"/>
        <v>-1.3189562273250612</v>
      </c>
      <c r="P374" s="6">
        <f t="shared" si="69"/>
        <v>-1.3635273617291919</v>
      </c>
      <c r="Q374" s="6">
        <f t="shared" si="70"/>
        <v>-1.7325034761276445</v>
      </c>
      <c r="R374" s="6">
        <f t="shared" si="71"/>
        <v>1.7971343271765992</v>
      </c>
      <c r="S374">
        <f t="shared" si="72"/>
        <v>1</v>
      </c>
      <c r="T374">
        <f t="shared" si="73"/>
        <v>0</v>
      </c>
      <c r="U374">
        <f t="shared" si="74"/>
        <v>0</v>
      </c>
      <c r="V374">
        <f t="shared" si="75"/>
        <v>0</v>
      </c>
      <c r="W374">
        <f t="shared" si="76"/>
        <v>0</v>
      </c>
      <c r="X374">
        <f t="shared" si="77"/>
        <v>0</v>
      </c>
      <c r="Y374">
        <f t="shared" si="78"/>
        <v>0</v>
      </c>
      <c r="Z374">
        <f t="shared" si="79"/>
        <v>0</v>
      </c>
      <c r="AA374">
        <f t="shared" si="80"/>
        <v>0</v>
      </c>
    </row>
    <row r="375" spans="2:27" x14ac:dyDescent="0.3">
      <c r="B375">
        <v>368</v>
      </c>
      <c r="C375" s="1">
        <v>40911</v>
      </c>
      <c r="D375">
        <v>1</v>
      </c>
      <c r="E375">
        <v>1</v>
      </c>
      <c r="F375">
        <v>1</v>
      </c>
      <c r="G375">
        <v>2</v>
      </c>
      <c r="H375">
        <v>1</v>
      </c>
      <c r="I375">
        <v>89</v>
      </c>
      <c r="J375">
        <v>2147</v>
      </c>
      <c r="K375" s="8">
        <v>2236</v>
      </c>
      <c r="L375" s="12">
        <v>6.3137499999999998</v>
      </c>
      <c r="M375" s="12">
        <v>44.125</v>
      </c>
      <c r="N375" s="12">
        <v>24.499956999999998</v>
      </c>
      <c r="O375" s="13">
        <f t="shared" si="68"/>
        <v>-1.1717368112743789</v>
      </c>
      <c r="P375" s="6">
        <f t="shared" si="69"/>
        <v>-2.1374251264598514</v>
      </c>
      <c r="Q375" s="6">
        <f t="shared" si="70"/>
        <v>-1.3113321923095933</v>
      </c>
      <c r="R375" s="6">
        <f t="shared" si="71"/>
        <v>2.2620587552534226</v>
      </c>
      <c r="S375">
        <f t="shared" si="72"/>
        <v>0</v>
      </c>
      <c r="T375">
        <f t="shared" si="73"/>
        <v>1</v>
      </c>
      <c r="U375">
        <f t="shared" si="74"/>
        <v>0</v>
      </c>
      <c r="V375">
        <f t="shared" si="75"/>
        <v>0</v>
      </c>
      <c r="W375">
        <f t="shared" si="76"/>
        <v>0</v>
      </c>
      <c r="X375">
        <f t="shared" si="77"/>
        <v>0</v>
      </c>
      <c r="Y375">
        <f t="shared" si="78"/>
        <v>0</v>
      </c>
      <c r="Z375">
        <f t="shared" si="79"/>
        <v>0</v>
      </c>
      <c r="AA375">
        <f t="shared" si="80"/>
        <v>0</v>
      </c>
    </row>
    <row r="376" spans="2:27" x14ac:dyDescent="0.3">
      <c r="B376">
        <v>369</v>
      </c>
      <c r="C376" s="1">
        <v>40912</v>
      </c>
      <c r="D376">
        <v>1</v>
      </c>
      <c r="E376">
        <v>1</v>
      </c>
      <c r="F376">
        <v>1</v>
      </c>
      <c r="G376">
        <v>3</v>
      </c>
      <c r="H376">
        <v>2</v>
      </c>
      <c r="I376">
        <v>95</v>
      </c>
      <c r="J376">
        <v>2273</v>
      </c>
      <c r="K376" s="8">
        <v>2368</v>
      </c>
      <c r="L376" s="12">
        <v>5.96685</v>
      </c>
      <c r="M376" s="12">
        <v>41.458300000000001</v>
      </c>
      <c r="N376" s="12">
        <v>12.3749</v>
      </c>
      <c r="O376" s="13">
        <f t="shared" si="68"/>
        <v>-1.1035509764719575</v>
      </c>
      <c r="P376" s="6">
        <f t="shared" si="69"/>
        <v>-2.1800288342707623</v>
      </c>
      <c r="Q376" s="6">
        <f t="shared" si="70"/>
        <v>-1.4986903917820515</v>
      </c>
      <c r="R376" s="6">
        <f t="shared" si="71"/>
        <v>-7.4713968000780312E-2</v>
      </c>
      <c r="S376">
        <f t="shared" si="72"/>
        <v>0</v>
      </c>
      <c r="T376">
        <f t="shared" si="73"/>
        <v>0</v>
      </c>
      <c r="U376">
        <f t="shared" si="74"/>
        <v>1</v>
      </c>
      <c r="V376">
        <f t="shared" si="75"/>
        <v>0</v>
      </c>
      <c r="W376">
        <f t="shared" si="76"/>
        <v>0</v>
      </c>
      <c r="X376">
        <f t="shared" si="77"/>
        <v>0</v>
      </c>
      <c r="Y376">
        <f t="shared" si="78"/>
        <v>0</v>
      </c>
      <c r="Z376">
        <f t="shared" si="79"/>
        <v>0</v>
      </c>
      <c r="AA376">
        <f t="shared" si="80"/>
        <v>0</v>
      </c>
    </row>
    <row r="377" spans="2:27" x14ac:dyDescent="0.3">
      <c r="B377">
        <v>370</v>
      </c>
      <c r="C377" s="1">
        <v>40913</v>
      </c>
      <c r="D377">
        <v>1</v>
      </c>
      <c r="E377">
        <v>1</v>
      </c>
      <c r="F377">
        <v>1</v>
      </c>
      <c r="G377">
        <v>4</v>
      </c>
      <c r="H377">
        <v>1</v>
      </c>
      <c r="I377">
        <v>140</v>
      </c>
      <c r="J377">
        <v>3132</v>
      </c>
      <c r="K377" s="8">
        <v>3272</v>
      </c>
      <c r="L377" s="12">
        <v>13.9206</v>
      </c>
      <c r="M377" s="12">
        <v>52.416699999999999</v>
      </c>
      <c r="N377" s="12">
        <v>8.7091290000000008</v>
      </c>
      <c r="O377" s="13">
        <f t="shared" si="68"/>
        <v>-0.6365813199462842</v>
      </c>
      <c r="P377" s="6">
        <f t="shared" si="69"/>
        <v>-1.2032077302032091</v>
      </c>
      <c r="Q377" s="6">
        <f t="shared" si="70"/>
        <v>-0.72877023087194348</v>
      </c>
      <c r="R377" s="6">
        <f t="shared" si="71"/>
        <v>-0.7811909505416692</v>
      </c>
      <c r="S377">
        <f t="shared" si="72"/>
        <v>0</v>
      </c>
      <c r="T377">
        <f t="shared" si="73"/>
        <v>0</v>
      </c>
      <c r="U377">
        <f t="shared" si="74"/>
        <v>0</v>
      </c>
      <c r="V377">
        <f t="shared" si="75"/>
        <v>1</v>
      </c>
      <c r="W377">
        <f t="shared" si="76"/>
        <v>0</v>
      </c>
      <c r="X377">
        <f t="shared" si="77"/>
        <v>0</v>
      </c>
      <c r="Y377">
        <f t="shared" si="78"/>
        <v>0</v>
      </c>
      <c r="Z377">
        <f t="shared" si="79"/>
        <v>0</v>
      </c>
      <c r="AA377">
        <f t="shared" si="80"/>
        <v>0</v>
      </c>
    </row>
    <row r="378" spans="2:27" x14ac:dyDescent="0.3">
      <c r="B378">
        <v>371</v>
      </c>
      <c r="C378" s="1">
        <v>40914</v>
      </c>
      <c r="D378">
        <v>1</v>
      </c>
      <c r="E378">
        <v>1</v>
      </c>
      <c r="F378">
        <v>1</v>
      </c>
      <c r="G378">
        <v>5</v>
      </c>
      <c r="H378">
        <v>1</v>
      </c>
      <c r="I378">
        <v>307</v>
      </c>
      <c r="J378">
        <v>3791</v>
      </c>
      <c r="K378" s="8">
        <v>4098</v>
      </c>
      <c r="L378" s="12">
        <v>17.013349999999999</v>
      </c>
      <c r="M378" s="12">
        <v>54.208300000000001</v>
      </c>
      <c r="N378" s="12">
        <v>11.249836</v>
      </c>
      <c r="O378" s="13">
        <f t="shared" si="68"/>
        <v>-0.20990329307658709</v>
      </c>
      <c r="P378" s="6">
        <f t="shared" si="69"/>
        <v>-0.82337891114239836</v>
      </c>
      <c r="Q378" s="6">
        <f t="shared" si="70"/>
        <v>-0.60289519799428326</v>
      </c>
      <c r="R378" s="6">
        <f t="shared" si="71"/>
        <v>-0.29153924701722261</v>
      </c>
      <c r="S378">
        <f t="shared" si="72"/>
        <v>0</v>
      </c>
      <c r="T378">
        <f t="shared" si="73"/>
        <v>0</v>
      </c>
      <c r="U378">
        <f t="shared" si="74"/>
        <v>0</v>
      </c>
      <c r="V378">
        <f t="shared" si="75"/>
        <v>0</v>
      </c>
      <c r="W378">
        <f t="shared" si="76"/>
        <v>1</v>
      </c>
      <c r="X378">
        <f t="shared" si="77"/>
        <v>0</v>
      </c>
      <c r="Y378">
        <f t="shared" si="78"/>
        <v>0</v>
      </c>
      <c r="Z378">
        <f t="shared" si="79"/>
        <v>0</v>
      </c>
      <c r="AA378">
        <f t="shared" si="80"/>
        <v>0</v>
      </c>
    </row>
    <row r="379" spans="2:27" x14ac:dyDescent="0.3">
      <c r="B379">
        <v>372</v>
      </c>
      <c r="C379" s="1">
        <v>40915</v>
      </c>
      <c r="D379">
        <v>1</v>
      </c>
      <c r="E379">
        <v>1</v>
      </c>
      <c r="F379">
        <v>1</v>
      </c>
      <c r="G379">
        <v>6</v>
      </c>
      <c r="H379">
        <v>1</v>
      </c>
      <c r="I379">
        <v>1070</v>
      </c>
      <c r="J379">
        <v>3451</v>
      </c>
      <c r="K379" s="8">
        <v>4521</v>
      </c>
      <c r="L379" s="12">
        <v>19.53895</v>
      </c>
      <c r="M379" s="12">
        <v>53.166699999999999</v>
      </c>
      <c r="N379" s="12">
        <v>11.708786</v>
      </c>
      <c r="O379" s="13">
        <f t="shared" si="68"/>
        <v>8.6013139038994425E-3</v>
      </c>
      <c r="P379" s="6">
        <f t="shared" si="69"/>
        <v>-0.5132032857539951</v>
      </c>
      <c r="Q379" s="6">
        <f t="shared" si="70"/>
        <v>-0.6760763959432512</v>
      </c>
      <c r="R379" s="6">
        <f t="shared" si="71"/>
        <v>-0.2030892016823829</v>
      </c>
      <c r="S379">
        <f t="shared" si="72"/>
        <v>0</v>
      </c>
      <c r="T379">
        <f t="shared" si="73"/>
        <v>0</v>
      </c>
      <c r="U379">
        <f t="shared" si="74"/>
        <v>0</v>
      </c>
      <c r="V379">
        <f t="shared" si="75"/>
        <v>0</v>
      </c>
      <c r="W379">
        <f t="shared" si="76"/>
        <v>0</v>
      </c>
      <c r="X379">
        <f t="shared" si="77"/>
        <v>0</v>
      </c>
      <c r="Y379">
        <f t="shared" si="78"/>
        <v>0</v>
      </c>
      <c r="Z379">
        <f t="shared" si="79"/>
        <v>0</v>
      </c>
      <c r="AA379">
        <f t="shared" si="80"/>
        <v>0</v>
      </c>
    </row>
    <row r="380" spans="2:27" x14ac:dyDescent="0.3">
      <c r="B380">
        <v>373</v>
      </c>
      <c r="C380" s="1">
        <v>40916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599</v>
      </c>
      <c r="J380">
        <v>2826</v>
      </c>
      <c r="K380" s="8">
        <v>3425</v>
      </c>
      <c r="L380" s="12">
        <v>17.012899999999998</v>
      </c>
      <c r="M380" s="12">
        <v>46.5</v>
      </c>
      <c r="N380" s="12">
        <v>12.833314</v>
      </c>
      <c r="O380" s="13">
        <f t="shared" si="68"/>
        <v>-0.5575477386980231</v>
      </c>
      <c r="P380" s="6">
        <f t="shared" si="69"/>
        <v>-0.82343417683428344</v>
      </c>
      <c r="Q380" s="6">
        <f t="shared" si="70"/>
        <v>-1.144468381702068</v>
      </c>
      <c r="R380" s="6">
        <f t="shared" si="71"/>
        <v>1.3632778011040594E-2</v>
      </c>
      <c r="S380">
        <f t="shared" si="72"/>
        <v>0</v>
      </c>
      <c r="T380">
        <f t="shared" si="73"/>
        <v>0</v>
      </c>
      <c r="U380">
        <f t="shared" si="74"/>
        <v>0</v>
      </c>
      <c r="V380">
        <f t="shared" si="75"/>
        <v>0</v>
      </c>
      <c r="W380">
        <f t="shared" si="76"/>
        <v>0</v>
      </c>
      <c r="X380">
        <f t="shared" si="77"/>
        <v>0</v>
      </c>
      <c r="Y380">
        <f t="shared" si="78"/>
        <v>0</v>
      </c>
      <c r="Z380">
        <f t="shared" si="79"/>
        <v>0</v>
      </c>
      <c r="AA380">
        <f t="shared" si="80"/>
        <v>0</v>
      </c>
    </row>
    <row r="381" spans="2:27" x14ac:dyDescent="0.3">
      <c r="B381">
        <v>374</v>
      </c>
      <c r="C381" s="1">
        <v>40917</v>
      </c>
      <c r="D381">
        <v>1</v>
      </c>
      <c r="E381">
        <v>1</v>
      </c>
      <c r="F381">
        <v>1</v>
      </c>
      <c r="G381">
        <v>1</v>
      </c>
      <c r="H381">
        <v>2</v>
      </c>
      <c r="I381">
        <v>106</v>
      </c>
      <c r="J381">
        <v>2270</v>
      </c>
      <c r="K381" s="8">
        <v>2376</v>
      </c>
      <c r="L381" s="12">
        <v>12.373950000000001</v>
      </c>
      <c r="M381" s="12">
        <v>70.166700000000006</v>
      </c>
      <c r="N381" s="12">
        <v>6.6262999999999996</v>
      </c>
      <c r="O381" s="13">
        <f t="shared" si="68"/>
        <v>-1.0994185016354472</v>
      </c>
      <c r="P381" s="6">
        <f t="shared" si="69"/>
        <v>-1.3931559132119886</v>
      </c>
      <c r="Q381" s="6">
        <f t="shared" si="70"/>
        <v>0.51831719577377344</v>
      </c>
      <c r="R381" s="6">
        <f t="shared" si="71"/>
        <v>-1.1825992073773139</v>
      </c>
      <c r="S381">
        <f t="shared" si="72"/>
        <v>1</v>
      </c>
      <c r="T381">
        <f t="shared" si="73"/>
        <v>0</v>
      </c>
      <c r="U381">
        <f t="shared" si="74"/>
        <v>0</v>
      </c>
      <c r="V381">
        <f t="shared" si="75"/>
        <v>0</v>
      </c>
      <c r="W381">
        <f t="shared" si="76"/>
        <v>0</v>
      </c>
      <c r="X381">
        <f t="shared" si="77"/>
        <v>0</v>
      </c>
      <c r="Y381">
        <f t="shared" si="78"/>
        <v>0</v>
      </c>
      <c r="Z381">
        <f t="shared" si="79"/>
        <v>0</v>
      </c>
      <c r="AA381">
        <f t="shared" si="80"/>
        <v>0</v>
      </c>
    </row>
    <row r="382" spans="2:27" x14ac:dyDescent="0.3">
      <c r="B382">
        <v>375</v>
      </c>
      <c r="C382" s="1">
        <v>40918</v>
      </c>
      <c r="D382">
        <v>1</v>
      </c>
      <c r="E382">
        <v>1</v>
      </c>
      <c r="F382">
        <v>1</v>
      </c>
      <c r="G382">
        <v>2</v>
      </c>
      <c r="H382">
        <v>1</v>
      </c>
      <c r="I382">
        <v>173</v>
      </c>
      <c r="J382">
        <v>3425</v>
      </c>
      <c r="K382" s="8">
        <v>3598</v>
      </c>
      <c r="L382" s="12">
        <v>15.9413</v>
      </c>
      <c r="M382" s="12">
        <v>64.652199999999993</v>
      </c>
      <c r="N382" s="12">
        <v>12.565984</v>
      </c>
      <c r="O382" s="13">
        <f t="shared" si="68"/>
        <v>-0.46818297035848605</v>
      </c>
      <c r="P382" s="6">
        <f t="shared" si="69"/>
        <v>-0.95504021110978732</v>
      </c>
      <c r="Q382" s="6">
        <f t="shared" si="70"/>
        <v>0.13087699215474144</v>
      </c>
      <c r="R382" s="6">
        <f t="shared" si="71"/>
        <v>-3.7887759344581308E-2</v>
      </c>
      <c r="S382">
        <f t="shared" si="72"/>
        <v>0</v>
      </c>
      <c r="T382">
        <f t="shared" si="73"/>
        <v>1</v>
      </c>
      <c r="U382">
        <f t="shared" si="74"/>
        <v>0</v>
      </c>
      <c r="V382">
        <f t="shared" si="75"/>
        <v>0</v>
      </c>
      <c r="W382">
        <f t="shared" si="76"/>
        <v>0</v>
      </c>
      <c r="X382">
        <f t="shared" si="77"/>
        <v>0</v>
      </c>
      <c r="Y382">
        <f t="shared" si="78"/>
        <v>0</v>
      </c>
      <c r="Z382">
        <f t="shared" si="79"/>
        <v>0</v>
      </c>
      <c r="AA382">
        <f t="shared" si="80"/>
        <v>0</v>
      </c>
    </row>
    <row r="383" spans="2:27" x14ac:dyDescent="0.3">
      <c r="B383">
        <v>376</v>
      </c>
      <c r="C383" s="1">
        <v>40919</v>
      </c>
      <c r="D383">
        <v>1</v>
      </c>
      <c r="E383">
        <v>1</v>
      </c>
      <c r="F383">
        <v>1</v>
      </c>
      <c r="G383">
        <v>3</v>
      </c>
      <c r="H383">
        <v>2</v>
      </c>
      <c r="I383">
        <v>92</v>
      </c>
      <c r="J383">
        <v>2085</v>
      </c>
      <c r="K383" s="8">
        <v>2177</v>
      </c>
      <c r="L383" s="12">
        <v>14.14105</v>
      </c>
      <c r="M383" s="12">
        <v>84.75</v>
      </c>
      <c r="N383" s="12">
        <v>8.7918070000000004</v>
      </c>
      <c r="O383" s="13">
        <f t="shared" si="68"/>
        <v>-1.2022138131936428</v>
      </c>
      <c r="P383" s="6">
        <f t="shared" si="69"/>
        <v>-1.1761336818119859</v>
      </c>
      <c r="Q383" s="6">
        <f t="shared" si="70"/>
        <v>1.5429171996612365</v>
      </c>
      <c r="R383" s="6">
        <f t="shared" si="71"/>
        <v>-0.76525702996602085</v>
      </c>
      <c r="S383">
        <f t="shared" si="72"/>
        <v>0</v>
      </c>
      <c r="T383">
        <f t="shared" si="73"/>
        <v>0</v>
      </c>
      <c r="U383">
        <f t="shared" si="74"/>
        <v>1</v>
      </c>
      <c r="V383">
        <f t="shared" si="75"/>
        <v>0</v>
      </c>
      <c r="W383">
        <f t="shared" si="76"/>
        <v>0</v>
      </c>
      <c r="X383">
        <f t="shared" si="77"/>
        <v>0</v>
      </c>
      <c r="Y383">
        <f t="shared" si="78"/>
        <v>0</v>
      </c>
      <c r="Z383">
        <f t="shared" si="79"/>
        <v>0</v>
      </c>
      <c r="AA383">
        <f t="shared" si="80"/>
        <v>0</v>
      </c>
    </row>
    <row r="384" spans="2:27" x14ac:dyDescent="0.3">
      <c r="B384">
        <v>377</v>
      </c>
      <c r="C384" s="1">
        <v>40920</v>
      </c>
      <c r="D384">
        <v>1</v>
      </c>
      <c r="E384">
        <v>1</v>
      </c>
      <c r="F384">
        <v>1</v>
      </c>
      <c r="G384">
        <v>4</v>
      </c>
      <c r="H384">
        <v>2</v>
      </c>
      <c r="I384">
        <v>269</v>
      </c>
      <c r="J384">
        <v>3828</v>
      </c>
      <c r="K384" s="8">
        <v>4097</v>
      </c>
      <c r="L384" s="12">
        <v>19.096900000000002</v>
      </c>
      <c r="M384" s="12">
        <v>80.291700000000006</v>
      </c>
      <c r="N384" s="12">
        <v>12.124789</v>
      </c>
      <c r="O384" s="13">
        <f t="shared" si="68"/>
        <v>-0.21041985243115088</v>
      </c>
      <c r="P384" s="6">
        <f t="shared" si="69"/>
        <v>-0.56749261708236975</v>
      </c>
      <c r="Q384" s="6">
        <f t="shared" si="70"/>
        <v>1.2296839673111188</v>
      </c>
      <c r="R384" s="6">
        <f t="shared" si="71"/>
        <v>-0.12291601460442374</v>
      </c>
      <c r="S384">
        <f t="shared" si="72"/>
        <v>0</v>
      </c>
      <c r="T384">
        <f t="shared" si="73"/>
        <v>0</v>
      </c>
      <c r="U384">
        <f t="shared" si="74"/>
        <v>0</v>
      </c>
      <c r="V384">
        <f t="shared" si="75"/>
        <v>1</v>
      </c>
      <c r="W384">
        <f t="shared" si="76"/>
        <v>0</v>
      </c>
      <c r="X384">
        <f t="shared" si="77"/>
        <v>0</v>
      </c>
      <c r="Y384">
        <f t="shared" si="78"/>
        <v>0</v>
      </c>
      <c r="Z384">
        <f t="shared" si="79"/>
        <v>0</v>
      </c>
      <c r="AA384">
        <f t="shared" si="80"/>
        <v>0</v>
      </c>
    </row>
    <row r="385" spans="2:27" x14ac:dyDescent="0.3">
      <c r="B385">
        <v>378</v>
      </c>
      <c r="C385" s="1">
        <v>40921</v>
      </c>
      <c r="D385">
        <v>1</v>
      </c>
      <c r="E385">
        <v>1</v>
      </c>
      <c r="F385">
        <v>1</v>
      </c>
      <c r="G385">
        <v>5</v>
      </c>
      <c r="H385">
        <v>1</v>
      </c>
      <c r="I385">
        <v>174</v>
      </c>
      <c r="J385">
        <v>3040</v>
      </c>
      <c r="K385" s="8">
        <v>3214</v>
      </c>
      <c r="L385" s="12">
        <v>12.4681</v>
      </c>
      <c r="M385" s="12">
        <v>50.75</v>
      </c>
      <c r="N385" s="12">
        <v>25.333235999999999</v>
      </c>
      <c r="O385" s="13">
        <f t="shared" si="68"/>
        <v>-0.6665417625109844</v>
      </c>
      <c r="P385" s="6">
        <f t="shared" si="69"/>
        <v>-1.3815931023431585</v>
      </c>
      <c r="Q385" s="6">
        <f t="shared" si="70"/>
        <v>-0.84586998377281186</v>
      </c>
      <c r="R385" s="6">
        <f t="shared" si="71"/>
        <v>2.4226504653015111</v>
      </c>
      <c r="S385">
        <f t="shared" si="72"/>
        <v>0</v>
      </c>
      <c r="T385">
        <f t="shared" si="73"/>
        <v>0</v>
      </c>
      <c r="U385">
        <f t="shared" si="74"/>
        <v>0</v>
      </c>
      <c r="V385">
        <f t="shared" si="75"/>
        <v>0</v>
      </c>
      <c r="W385">
        <f t="shared" si="76"/>
        <v>1</v>
      </c>
      <c r="X385">
        <f t="shared" si="77"/>
        <v>0</v>
      </c>
      <c r="Y385">
        <f t="shared" si="78"/>
        <v>0</v>
      </c>
      <c r="Z385">
        <f t="shared" si="79"/>
        <v>0</v>
      </c>
      <c r="AA385">
        <f t="shared" si="80"/>
        <v>0</v>
      </c>
    </row>
    <row r="386" spans="2:27" x14ac:dyDescent="0.3">
      <c r="B386">
        <v>379</v>
      </c>
      <c r="C386" s="1">
        <v>40922</v>
      </c>
      <c r="D386">
        <v>1</v>
      </c>
      <c r="E386">
        <v>1</v>
      </c>
      <c r="F386">
        <v>1</v>
      </c>
      <c r="G386">
        <v>6</v>
      </c>
      <c r="H386">
        <v>1</v>
      </c>
      <c r="I386">
        <v>333</v>
      </c>
      <c r="J386">
        <v>2160</v>
      </c>
      <c r="K386" s="8">
        <v>2493</v>
      </c>
      <c r="L386" s="12">
        <v>9.1543500000000009</v>
      </c>
      <c r="M386" s="12">
        <v>45.75</v>
      </c>
      <c r="N386" s="12">
        <v>12.541261</v>
      </c>
      <c r="O386" s="13">
        <f t="shared" si="68"/>
        <v>-1.0389810571514828</v>
      </c>
      <c r="P386" s="6">
        <f t="shared" si="69"/>
        <v>-1.7885635167519407</v>
      </c>
      <c r="Q386" s="6">
        <f t="shared" si="70"/>
        <v>-1.1971622166307603</v>
      </c>
      <c r="R386" s="6">
        <f t="shared" si="71"/>
        <v>-4.2652440618823007E-2</v>
      </c>
      <c r="S386">
        <f t="shared" si="72"/>
        <v>0</v>
      </c>
      <c r="T386">
        <f t="shared" si="73"/>
        <v>0</v>
      </c>
      <c r="U386">
        <f t="shared" si="74"/>
        <v>0</v>
      </c>
      <c r="V386">
        <f t="shared" si="75"/>
        <v>0</v>
      </c>
      <c r="W386">
        <f t="shared" si="76"/>
        <v>0</v>
      </c>
      <c r="X386">
        <f t="shared" si="77"/>
        <v>0</v>
      </c>
      <c r="Y386">
        <f t="shared" si="78"/>
        <v>0</v>
      </c>
      <c r="Z386">
        <f t="shared" si="79"/>
        <v>0</v>
      </c>
      <c r="AA386">
        <f t="shared" si="80"/>
        <v>0</v>
      </c>
    </row>
    <row r="387" spans="2:27" x14ac:dyDescent="0.3">
      <c r="B387">
        <v>380</v>
      </c>
      <c r="C387" s="1">
        <v>40923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284</v>
      </c>
      <c r="J387">
        <v>2027</v>
      </c>
      <c r="K387" s="8">
        <v>2311</v>
      </c>
      <c r="L387" s="12">
        <v>8.0812500000000007</v>
      </c>
      <c r="M387" s="12">
        <v>41.916699999999999</v>
      </c>
      <c r="N387" s="12">
        <v>16.834285999999999</v>
      </c>
      <c r="O387" s="13">
        <f t="shared" si="68"/>
        <v>-1.132994859682094</v>
      </c>
      <c r="P387" s="6">
        <f t="shared" si="69"/>
        <v>-1.9203537700003948</v>
      </c>
      <c r="Q387" s="6">
        <f t="shared" si="70"/>
        <v>-1.466483919873635</v>
      </c>
      <c r="R387" s="6">
        <f t="shared" si="71"/>
        <v>0.78471057468480587</v>
      </c>
      <c r="S387">
        <f t="shared" si="72"/>
        <v>0</v>
      </c>
      <c r="T387">
        <f t="shared" si="73"/>
        <v>0</v>
      </c>
      <c r="U387">
        <f t="shared" si="74"/>
        <v>0</v>
      </c>
      <c r="V387">
        <f t="shared" si="75"/>
        <v>0</v>
      </c>
      <c r="W387">
        <f t="shared" si="76"/>
        <v>0</v>
      </c>
      <c r="X387">
        <f t="shared" si="77"/>
        <v>0</v>
      </c>
      <c r="Y387">
        <f t="shared" si="78"/>
        <v>0</v>
      </c>
      <c r="Z387">
        <f t="shared" si="79"/>
        <v>0</v>
      </c>
      <c r="AA387">
        <f t="shared" si="80"/>
        <v>0</v>
      </c>
    </row>
    <row r="388" spans="2:27" x14ac:dyDescent="0.3">
      <c r="B388">
        <v>381</v>
      </c>
      <c r="C388" s="1">
        <v>40924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217</v>
      </c>
      <c r="J388">
        <v>2081</v>
      </c>
      <c r="K388" s="8">
        <v>2298</v>
      </c>
      <c r="L388" s="12">
        <v>9.5331499999999991</v>
      </c>
      <c r="M388" s="12">
        <v>52.25</v>
      </c>
      <c r="N388" s="12">
        <v>15.500985999999999</v>
      </c>
      <c r="O388" s="13">
        <f t="shared" si="68"/>
        <v>-1.1397101312914233</v>
      </c>
      <c r="P388" s="6">
        <f t="shared" si="69"/>
        <v>-1.7420420854496259</v>
      </c>
      <c r="Q388" s="6">
        <f t="shared" si="70"/>
        <v>-0.7404823139154274</v>
      </c>
      <c r="R388" s="6">
        <f t="shared" si="71"/>
        <v>0.52775350867556337</v>
      </c>
      <c r="S388">
        <f t="shared" si="72"/>
        <v>1</v>
      </c>
      <c r="T388">
        <f t="shared" si="73"/>
        <v>0</v>
      </c>
      <c r="U388">
        <f t="shared" si="74"/>
        <v>0</v>
      </c>
      <c r="V388">
        <f t="shared" si="75"/>
        <v>0</v>
      </c>
      <c r="W388">
        <f t="shared" si="76"/>
        <v>0</v>
      </c>
      <c r="X388">
        <f t="shared" si="77"/>
        <v>0</v>
      </c>
      <c r="Y388">
        <f t="shared" si="78"/>
        <v>0</v>
      </c>
      <c r="Z388">
        <f t="shared" si="79"/>
        <v>0</v>
      </c>
      <c r="AA388">
        <f t="shared" si="80"/>
        <v>0</v>
      </c>
    </row>
    <row r="389" spans="2:27" x14ac:dyDescent="0.3">
      <c r="B389">
        <v>382</v>
      </c>
      <c r="C389" s="1">
        <v>40925</v>
      </c>
      <c r="D389">
        <v>1</v>
      </c>
      <c r="E389">
        <v>1</v>
      </c>
      <c r="F389">
        <v>1</v>
      </c>
      <c r="G389">
        <v>2</v>
      </c>
      <c r="H389">
        <v>2</v>
      </c>
      <c r="I389">
        <v>127</v>
      </c>
      <c r="J389">
        <v>2808</v>
      </c>
      <c r="K389" s="8">
        <v>2935</v>
      </c>
      <c r="L389" s="12">
        <v>18.213899999999999</v>
      </c>
      <c r="M389" s="12">
        <v>71.608699999999999</v>
      </c>
      <c r="N389" s="12">
        <v>23.39171</v>
      </c>
      <c r="O389" s="13">
        <f t="shared" si="68"/>
        <v>-0.81066182243428409</v>
      </c>
      <c r="P389" s="6">
        <f t="shared" si="69"/>
        <v>-0.6759361858256232</v>
      </c>
      <c r="Q389" s="6">
        <f t="shared" si="70"/>
        <v>0.61962987573000528</v>
      </c>
      <c r="R389" s="6">
        <f t="shared" si="71"/>
        <v>2.0484744924966951</v>
      </c>
      <c r="S389">
        <f t="shared" si="72"/>
        <v>0</v>
      </c>
      <c r="T389">
        <f t="shared" si="73"/>
        <v>1</v>
      </c>
      <c r="U389">
        <f t="shared" si="74"/>
        <v>0</v>
      </c>
      <c r="V389">
        <f t="shared" si="75"/>
        <v>0</v>
      </c>
      <c r="W389">
        <f t="shared" si="76"/>
        <v>0</v>
      </c>
      <c r="X389">
        <f t="shared" si="77"/>
        <v>0</v>
      </c>
      <c r="Y389">
        <f t="shared" si="78"/>
        <v>0</v>
      </c>
      <c r="Z389">
        <f t="shared" si="79"/>
        <v>0</v>
      </c>
      <c r="AA389">
        <f t="shared" si="80"/>
        <v>0</v>
      </c>
    </row>
    <row r="390" spans="2:27" x14ac:dyDescent="0.3">
      <c r="B390">
        <v>383</v>
      </c>
      <c r="C390" s="1">
        <v>40926</v>
      </c>
      <c r="D390">
        <v>1</v>
      </c>
      <c r="E390">
        <v>1</v>
      </c>
      <c r="F390">
        <v>1</v>
      </c>
      <c r="G390">
        <v>3</v>
      </c>
      <c r="H390">
        <v>1</v>
      </c>
      <c r="I390">
        <v>109</v>
      </c>
      <c r="J390">
        <v>3267</v>
      </c>
      <c r="K390" s="8">
        <v>3376</v>
      </c>
      <c r="L390" s="12">
        <v>13.762700000000001</v>
      </c>
      <c r="M390" s="12">
        <v>44.333300000000001</v>
      </c>
      <c r="N390" s="12">
        <v>27.833742999999998</v>
      </c>
      <c r="O390" s="13">
        <f t="shared" si="68"/>
        <v>-0.58285914707164921</v>
      </c>
      <c r="P390" s="6">
        <f t="shared" si="69"/>
        <v>-1.222599847422416</v>
      </c>
      <c r="Q390" s="6">
        <f t="shared" si="70"/>
        <v>-1.2966973578887311</v>
      </c>
      <c r="R390" s="6">
        <f t="shared" si="71"/>
        <v>2.904554719599548</v>
      </c>
      <c r="S390">
        <f t="shared" si="72"/>
        <v>0</v>
      </c>
      <c r="T390">
        <f t="shared" si="73"/>
        <v>0</v>
      </c>
      <c r="U390">
        <f t="shared" si="74"/>
        <v>1</v>
      </c>
      <c r="V390">
        <f t="shared" si="75"/>
        <v>0</v>
      </c>
      <c r="W390">
        <f t="shared" si="76"/>
        <v>0</v>
      </c>
      <c r="X390">
        <f t="shared" si="77"/>
        <v>0</v>
      </c>
      <c r="Y390">
        <f t="shared" si="78"/>
        <v>0</v>
      </c>
      <c r="Z390">
        <f t="shared" si="79"/>
        <v>0</v>
      </c>
      <c r="AA390">
        <f t="shared" si="80"/>
        <v>0</v>
      </c>
    </row>
    <row r="391" spans="2:27" x14ac:dyDescent="0.3">
      <c r="B391">
        <v>384</v>
      </c>
      <c r="C391" s="1">
        <v>40927</v>
      </c>
      <c r="D391">
        <v>1</v>
      </c>
      <c r="E391">
        <v>1</v>
      </c>
      <c r="F391">
        <v>1</v>
      </c>
      <c r="G391">
        <v>4</v>
      </c>
      <c r="H391">
        <v>1</v>
      </c>
      <c r="I391">
        <v>130</v>
      </c>
      <c r="J391">
        <v>3162</v>
      </c>
      <c r="K391" s="8">
        <v>3292</v>
      </c>
      <c r="L391" s="12">
        <v>9.5018999999999991</v>
      </c>
      <c r="M391" s="12">
        <v>49.75</v>
      </c>
      <c r="N391" s="12">
        <v>14.750586</v>
      </c>
      <c r="O391" s="13">
        <f t="shared" si="68"/>
        <v>-0.62625013285500819</v>
      </c>
      <c r="P391" s="6">
        <f t="shared" si="69"/>
        <v>-1.7458799807194183</v>
      </c>
      <c r="Q391" s="6">
        <f t="shared" si="70"/>
        <v>-0.9161284303444015</v>
      </c>
      <c r="R391" s="6">
        <f t="shared" si="71"/>
        <v>0.38313445644925614</v>
      </c>
      <c r="S391">
        <f t="shared" si="72"/>
        <v>0</v>
      </c>
      <c r="T391">
        <f t="shared" si="73"/>
        <v>0</v>
      </c>
      <c r="U391">
        <f t="shared" si="74"/>
        <v>0</v>
      </c>
      <c r="V391">
        <f t="shared" si="75"/>
        <v>1</v>
      </c>
      <c r="W391">
        <f t="shared" si="76"/>
        <v>0</v>
      </c>
      <c r="X391">
        <f t="shared" si="77"/>
        <v>0</v>
      </c>
      <c r="Y391">
        <f t="shared" si="78"/>
        <v>0</v>
      </c>
      <c r="Z391">
        <f t="shared" si="79"/>
        <v>0</v>
      </c>
      <c r="AA391">
        <f t="shared" si="80"/>
        <v>0</v>
      </c>
    </row>
    <row r="392" spans="2:27" x14ac:dyDescent="0.3">
      <c r="B392">
        <v>385</v>
      </c>
      <c r="C392" s="1">
        <v>40928</v>
      </c>
      <c r="D392">
        <v>1</v>
      </c>
      <c r="E392">
        <v>1</v>
      </c>
      <c r="F392">
        <v>1</v>
      </c>
      <c r="G392">
        <v>5</v>
      </c>
      <c r="H392">
        <v>2</v>
      </c>
      <c r="I392">
        <v>115</v>
      </c>
      <c r="J392">
        <v>3048</v>
      </c>
      <c r="K392" s="8">
        <v>3163</v>
      </c>
      <c r="L392" s="12">
        <v>11.0479</v>
      </c>
      <c r="M392" s="12">
        <v>45</v>
      </c>
      <c r="N392" s="12">
        <v>13.584250000000001</v>
      </c>
      <c r="O392" s="13">
        <f t="shared" si="68"/>
        <v>-0.6928862895937381</v>
      </c>
      <c r="P392" s="6">
        <f t="shared" si="69"/>
        <v>-1.5560116259322501</v>
      </c>
      <c r="Q392" s="6">
        <f t="shared" si="70"/>
        <v>-1.2498560515594523</v>
      </c>
      <c r="R392" s="6">
        <f t="shared" si="71"/>
        <v>0.15835512956036701</v>
      </c>
      <c r="S392">
        <f t="shared" si="72"/>
        <v>0</v>
      </c>
      <c r="T392">
        <f t="shared" si="73"/>
        <v>0</v>
      </c>
      <c r="U392">
        <f t="shared" si="74"/>
        <v>0</v>
      </c>
      <c r="V392">
        <f t="shared" si="75"/>
        <v>0</v>
      </c>
      <c r="W392">
        <f t="shared" si="76"/>
        <v>1</v>
      </c>
      <c r="X392">
        <f t="shared" si="77"/>
        <v>0</v>
      </c>
      <c r="Y392">
        <f t="shared" si="78"/>
        <v>0</v>
      </c>
      <c r="Z392">
        <f t="shared" si="79"/>
        <v>0</v>
      </c>
      <c r="AA392">
        <f t="shared" si="80"/>
        <v>0</v>
      </c>
    </row>
    <row r="393" spans="2:27" x14ac:dyDescent="0.3">
      <c r="B393">
        <v>386</v>
      </c>
      <c r="C393" s="1">
        <v>40929</v>
      </c>
      <c r="D393">
        <v>1</v>
      </c>
      <c r="E393">
        <v>1</v>
      </c>
      <c r="F393">
        <v>1</v>
      </c>
      <c r="G393">
        <v>6</v>
      </c>
      <c r="H393">
        <v>2</v>
      </c>
      <c r="I393">
        <v>67</v>
      </c>
      <c r="J393">
        <v>1234</v>
      </c>
      <c r="K393" s="8">
        <v>1301</v>
      </c>
      <c r="L393" s="12">
        <v>8.7437500000000004</v>
      </c>
      <c r="M393" s="12">
        <v>83.125</v>
      </c>
      <c r="N393" s="12">
        <v>14.917014</v>
      </c>
      <c r="O393" s="13">
        <f t="shared" ref="O393:O456" si="81">(K393-K$2)/K$3</f>
        <v>-1.6547198077915299</v>
      </c>
      <c r="P393" s="6">
        <f t="shared" ref="P393:P456" si="82">(L393-L$2)/L$3</f>
        <v>-1.8389903902807967</v>
      </c>
      <c r="Q393" s="6">
        <f t="shared" ref="Q393:Q456" si="83">(M393-M$2)/M$3</f>
        <v>1.4287472239824033</v>
      </c>
      <c r="R393" s="6">
        <f t="shared" ref="R393:R456" si="84">(N393-N$2)/N$3</f>
        <v>0.41520889624659069</v>
      </c>
      <c r="S393">
        <f t="shared" ref="S393:S456" si="85">IF($G393=1,1,0)</f>
        <v>0</v>
      </c>
      <c r="T393">
        <f t="shared" ref="T393:T456" si="86">IF($G393=2,1,0)</f>
        <v>0</v>
      </c>
      <c r="U393">
        <f t="shared" ref="U393:U456" si="87">IF($G393=3,1,0)</f>
        <v>0</v>
      </c>
      <c r="V393">
        <f t="shared" ref="V393:V456" si="88">IF($G393=4,1,0)</f>
        <v>0</v>
      </c>
      <c r="W393">
        <f t="shared" ref="W393:W456" si="89">IF($G393=5,1,0)</f>
        <v>0</v>
      </c>
      <c r="X393">
        <f t="shared" ref="X393:X456" si="90">IF($H393=3,1,0)</f>
        <v>0</v>
      </c>
      <c r="Y393">
        <f t="shared" ref="Y393:Y456" si="91">IF($D393=2,1,0)</f>
        <v>0</v>
      </c>
      <c r="Z393">
        <f t="shared" ref="Z393:Z456" si="92">IF($D393=3,1,0)</f>
        <v>0</v>
      </c>
      <c r="AA393">
        <f t="shared" ref="AA393:AA456" si="93">IF($D393=4,1,0)</f>
        <v>0</v>
      </c>
    </row>
    <row r="394" spans="2:27" x14ac:dyDescent="0.3">
      <c r="B394">
        <v>387</v>
      </c>
      <c r="C394" s="1">
        <v>40930</v>
      </c>
      <c r="D394">
        <v>1</v>
      </c>
      <c r="E394">
        <v>1</v>
      </c>
      <c r="F394">
        <v>1</v>
      </c>
      <c r="G394">
        <v>0</v>
      </c>
      <c r="H394">
        <v>2</v>
      </c>
      <c r="I394">
        <v>196</v>
      </c>
      <c r="J394">
        <v>1781</v>
      </c>
      <c r="K394" s="8">
        <v>1977</v>
      </c>
      <c r="L394" s="12">
        <v>8.1125000000000007</v>
      </c>
      <c r="M394" s="12">
        <v>79.625</v>
      </c>
      <c r="N394" s="12">
        <v>13.375745999999999</v>
      </c>
      <c r="O394" s="13">
        <f t="shared" si="81"/>
        <v>-1.3055256841064025</v>
      </c>
      <c r="P394" s="6">
        <f t="shared" si="82"/>
        <v>-1.9165158747306024</v>
      </c>
      <c r="Q394" s="6">
        <f t="shared" si="83"/>
        <v>1.1828426609818397</v>
      </c>
      <c r="R394" s="6">
        <f t="shared" si="84"/>
        <v>0.11817169290605706</v>
      </c>
      <c r="S394">
        <f t="shared" si="85"/>
        <v>0</v>
      </c>
      <c r="T394">
        <f t="shared" si="86"/>
        <v>0</v>
      </c>
      <c r="U394">
        <f t="shared" si="87"/>
        <v>0</v>
      </c>
      <c r="V394">
        <f t="shared" si="88"/>
        <v>0</v>
      </c>
      <c r="W394">
        <f t="shared" si="89"/>
        <v>0</v>
      </c>
      <c r="X394">
        <f t="shared" si="90"/>
        <v>0</v>
      </c>
      <c r="Y394">
        <f t="shared" si="91"/>
        <v>0</v>
      </c>
      <c r="Z394">
        <f t="shared" si="92"/>
        <v>0</v>
      </c>
      <c r="AA394">
        <f t="shared" si="93"/>
        <v>0</v>
      </c>
    </row>
    <row r="395" spans="2:27" x14ac:dyDescent="0.3">
      <c r="B395">
        <v>388</v>
      </c>
      <c r="C395" s="1">
        <v>40931</v>
      </c>
      <c r="D395">
        <v>1</v>
      </c>
      <c r="E395">
        <v>1</v>
      </c>
      <c r="F395">
        <v>1</v>
      </c>
      <c r="G395">
        <v>1</v>
      </c>
      <c r="H395">
        <v>2</v>
      </c>
      <c r="I395">
        <v>145</v>
      </c>
      <c r="J395">
        <v>2287</v>
      </c>
      <c r="K395" s="8">
        <v>2432</v>
      </c>
      <c r="L395" s="12">
        <v>12.152900000000001</v>
      </c>
      <c r="M395" s="12">
        <v>91.125</v>
      </c>
      <c r="N395" s="12">
        <v>7.4174360000000004</v>
      </c>
      <c r="O395" s="13">
        <f t="shared" si="81"/>
        <v>-1.0704911777798745</v>
      </c>
      <c r="P395" s="6">
        <f t="shared" si="82"/>
        <v>-1.4203036491923919</v>
      </c>
      <c r="Q395" s="6">
        <f t="shared" si="83"/>
        <v>1.9908147965551206</v>
      </c>
      <c r="R395" s="6">
        <f t="shared" si="84"/>
        <v>-1.0301294066015783</v>
      </c>
      <c r="S395">
        <f t="shared" si="85"/>
        <v>1</v>
      </c>
      <c r="T395">
        <f t="shared" si="86"/>
        <v>0</v>
      </c>
      <c r="U395">
        <f t="shared" si="87"/>
        <v>0</v>
      </c>
      <c r="V395">
        <f t="shared" si="88"/>
        <v>0</v>
      </c>
      <c r="W395">
        <f t="shared" si="89"/>
        <v>0</v>
      </c>
      <c r="X395">
        <f t="shared" si="90"/>
        <v>0</v>
      </c>
      <c r="Y395">
        <f t="shared" si="91"/>
        <v>0</v>
      </c>
      <c r="Z395">
        <f t="shared" si="92"/>
        <v>0</v>
      </c>
      <c r="AA395">
        <f t="shared" si="93"/>
        <v>0</v>
      </c>
    </row>
    <row r="396" spans="2:27" x14ac:dyDescent="0.3">
      <c r="B396">
        <v>389</v>
      </c>
      <c r="C396" s="1">
        <v>40932</v>
      </c>
      <c r="D396">
        <v>1</v>
      </c>
      <c r="E396">
        <v>1</v>
      </c>
      <c r="F396">
        <v>1</v>
      </c>
      <c r="G396">
        <v>2</v>
      </c>
      <c r="H396">
        <v>1</v>
      </c>
      <c r="I396">
        <v>439</v>
      </c>
      <c r="J396">
        <v>3900</v>
      </c>
      <c r="K396" s="8">
        <v>4339</v>
      </c>
      <c r="L396" s="12">
        <v>17.455400000000001</v>
      </c>
      <c r="M396" s="12">
        <v>83.583299999999994</v>
      </c>
      <c r="N396" s="12">
        <v>8.292389</v>
      </c>
      <c r="O396" s="13">
        <f t="shared" si="81"/>
        <v>-8.5412488626711774E-2</v>
      </c>
      <c r="P396" s="6">
        <f t="shared" si="82"/>
        <v>-0.76908957981402326</v>
      </c>
      <c r="Q396" s="6">
        <f t="shared" si="83"/>
        <v>1.4609466700461624</v>
      </c>
      <c r="R396" s="6">
        <f t="shared" si="84"/>
        <v>-0.86150617418877939</v>
      </c>
      <c r="S396">
        <f t="shared" si="85"/>
        <v>0</v>
      </c>
      <c r="T396">
        <f t="shared" si="86"/>
        <v>1</v>
      </c>
      <c r="U396">
        <f t="shared" si="87"/>
        <v>0</v>
      </c>
      <c r="V396">
        <f t="shared" si="88"/>
        <v>0</v>
      </c>
      <c r="W396">
        <f t="shared" si="89"/>
        <v>0</v>
      </c>
      <c r="X396">
        <f t="shared" si="90"/>
        <v>0</v>
      </c>
      <c r="Y396">
        <f t="shared" si="91"/>
        <v>0</v>
      </c>
      <c r="Z396">
        <f t="shared" si="92"/>
        <v>0</v>
      </c>
      <c r="AA396">
        <f t="shared" si="93"/>
        <v>0</v>
      </c>
    </row>
    <row r="397" spans="2:27" x14ac:dyDescent="0.3">
      <c r="B397">
        <v>390</v>
      </c>
      <c r="C397" s="1">
        <v>40933</v>
      </c>
      <c r="D397">
        <v>1</v>
      </c>
      <c r="E397">
        <v>1</v>
      </c>
      <c r="F397">
        <v>1</v>
      </c>
      <c r="G397">
        <v>3</v>
      </c>
      <c r="H397">
        <v>1</v>
      </c>
      <c r="I397">
        <v>467</v>
      </c>
      <c r="J397">
        <v>3803</v>
      </c>
      <c r="K397" s="8">
        <v>4270</v>
      </c>
      <c r="L397" s="12">
        <v>14.74105</v>
      </c>
      <c r="M397" s="12">
        <v>64.375</v>
      </c>
      <c r="N397" s="12">
        <v>10.791757</v>
      </c>
      <c r="O397" s="13">
        <f t="shared" si="81"/>
        <v>-0.12105508409161383</v>
      </c>
      <c r="P397" s="6">
        <f t="shared" si="82"/>
        <v>-1.1024460926319726</v>
      </c>
      <c r="Q397" s="6">
        <f t="shared" si="83"/>
        <v>0.11140135076509725</v>
      </c>
      <c r="R397" s="6">
        <f t="shared" si="84"/>
        <v>-0.37982143095215687</v>
      </c>
      <c r="S397">
        <f t="shared" si="85"/>
        <v>0</v>
      </c>
      <c r="T397">
        <f t="shared" si="86"/>
        <v>0</v>
      </c>
      <c r="U397">
        <f t="shared" si="87"/>
        <v>1</v>
      </c>
      <c r="V397">
        <f t="shared" si="88"/>
        <v>0</v>
      </c>
      <c r="W397">
        <f t="shared" si="89"/>
        <v>0</v>
      </c>
      <c r="X397">
        <f t="shared" si="90"/>
        <v>0</v>
      </c>
      <c r="Y397">
        <f t="shared" si="91"/>
        <v>0</v>
      </c>
      <c r="Z397">
        <f t="shared" si="92"/>
        <v>0</v>
      </c>
      <c r="AA397">
        <f t="shared" si="93"/>
        <v>0</v>
      </c>
    </row>
    <row r="398" spans="2:27" x14ac:dyDescent="0.3">
      <c r="B398">
        <v>391</v>
      </c>
      <c r="C398" s="1">
        <v>40934</v>
      </c>
      <c r="D398">
        <v>1</v>
      </c>
      <c r="E398">
        <v>1</v>
      </c>
      <c r="F398">
        <v>1</v>
      </c>
      <c r="G398">
        <v>4</v>
      </c>
      <c r="H398">
        <v>2</v>
      </c>
      <c r="I398">
        <v>244</v>
      </c>
      <c r="J398">
        <v>3831</v>
      </c>
      <c r="K398" s="8">
        <v>4075</v>
      </c>
      <c r="L398" s="12">
        <v>17.802499999999998</v>
      </c>
      <c r="M398" s="12">
        <v>76.958299999999994</v>
      </c>
      <c r="N398" s="12">
        <v>4.9175186000000002</v>
      </c>
      <c r="O398" s="13">
        <f t="shared" si="81"/>
        <v>-0.22178415823155442</v>
      </c>
      <c r="P398" s="6">
        <f t="shared" si="82"/>
        <v>-0.72646130947338583</v>
      </c>
      <c r="Q398" s="6">
        <f t="shared" si="83"/>
        <v>0.99548446150938097</v>
      </c>
      <c r="R398" s="6">
        <f t="shared" si="84"/>
        <v>-1.5119200316442951</v>
      </c>
      <c r="S398">
        <f t="shared" si="85"/>
        <v>0</v>
      </c>
      <c r="T398">
        <f t="shared" si="86"/>
        <v>0</v>
      </c>
      <c r="U398">
        <f t="shared" si="87"/>
        <v>0</v>
      </c>
      <c r="V398">
        <f t="shared" si="88"/>
        <v>1</v>
      </c>
      <c r="W398">
        <f t="shared" si="89"/>
        <v>0</v>
      </c>
      <c r="X398">
        <f t="shared" si="90"/>
        <v>0</v>
      </c>
      <c r="Y398">
        <f t="shared" si="91"/>
        <v>0</v>
      </c>
      <c r="Z398">
        <f t="shared" si="92"/>
        <v>0</v>
      </c>
      <c r="AA398">
        <f t="shared" si="93"/>
        <v>0</v>
      </c>
    </row>
    <row r="399" spans="2:27" x14ac:dyDescent="0.3">
      <c r="B399">
        <v>392</v>
      </c>
      <c r="C399" s="1">
        <v>40935</v>
      </c>
      <c r="D399">
        <v>1</v>
      </c>
      <c r="E399">
        <v>1</v>
      </c>
      <c r="F399">
        <v>1</v>
      </c>
      <c r="G399">
        <v>5</v>
      </c>
      <c r="H399">
        <v>2</v>
      </c>
      <c r="I399">
        <v>269</v>
      </c>
      <c r="J399">
        <v>3187</v>
      </c>
      <c r="K399" s="8">
        <v>3456</v>
      </c>
      <c r="L399" s="12">
        <v>20.76915</v>
      </c>
      <c r="M399" s="12">
        <v>74.125</v>
      </c>
      <c r="N399" s="12">
        <v>22.958689</v>
      </c>
      <c r="O399" s="13">
        <f t="shared" si="81"/>
        <v>-0.54153439870654541</v>
      </c>
      <c r="P399" s="6">
        <f t="shared" si="82"/>
        <v>-0.36211916540524086</v>
      </c>
      <c r="Q399" s="6">
        <f t="shared" si="83"/>
        <v>0.79642120483809642</v>
      </c>
      <c r="R399" s="6">
        <f t="shared" si="84"/>
        <v>1.9650215519128895</v>
      </c>
      <c r="S399">
        <f t="shared" si="85"/>
        <v>0</v>
      </c>
      <c r="T399">
        <f t="shared" si="86"/>
        <v>0</v>
      </c>
      <c r="U399">
        <f t="shared" si="87"/>
        <v>0</v>
      </c>
      <c r="V399">
        <f t="shared" si="88"/>
        <v>0</v>
      </c>
      <c r="W399">
        <f t="shared" si="89"/>
        <v>1</v>
      </c>
      <c r="X399">
        <f t="shared" si="90"/>
        <v>0</v>
      </c>
      <c r="Y399">
        <f t="shared" si="91"/>
        <v>0</v>
      </c>
      <c r="Z399">
        <f t="shared" si="92"/>
        <v>0</v>
      </c>
      <c r="AA399">
        <f t="shared" si="93"/>
        <v>0</v>
      </c>
    </row>
    <row r="400" spans="2:27" x14ac:dyDescent="0.3">
      <c r="B400">
        <v>393</v>
      </c>
      <c r="C400" s="1">
        <v>40936</v>
      </c>
      <c r="D400">
        <v>1</v>
      </c>
      <c r="E400">
        <v>1</v>
      </c>
      <c r="F400">
        <v>1</v>
      </c>
      <c r="G400">
        <v>6</v>
      </c>
      <c r="H400">
        <v>1</v>
      </c>
      <c r="I400">
        <v>775</v>
      </c>
      <c r="J400">
        <v>3248</v>
      </c>
      <c r="K400" s="8">
        <v>4023</v>
      </c>
      <c r="L400" s="12">
        <v>16.318950000000001</v>
      </c>
      <c r="M400" s="12">
        <v>54.333300000000001</v>
      </c>
      <c r="N400" s="12">
        <v>14.125543</v>
      </c>
      <c r="O400" s="13">
        <f t="shared" si="81"/>
        <v>-0.24864524466887192</v>
      </c>
      <c r="P400" s="6">
        <f t="shared" si="82"/>
        <v>-0.90866001435340038</v>
      </c>
      <c r="Q400" s="6">
        <f t="shared" si="83"/>
        <v>-0.59411289217283458</v>
      </c>
      <c r="R400" s="6">
        <f t="shared" si="84"/>
        <v>0.26267453339396851</v>
      </c>
      <c r="S400">
        <f t="shared" si="85"/>
        <v>0</v>
      </c>
      <c r="T400">
        <f t="shared" si="86"/>
        <v>0</v>
      </c>
      <c r="U400">
        <f t="shared" si="87"/>
        <v>0</v>
      </c>
      <c r="V400">
        <f t="shared" si="88"/>
        <v>0</v>
      </c>
      <c r="W400">
        <f t="shared" si="89"/>
        <v>0</v>
      </c>
      <c r="X400">
        <f t="shared" si="90"/>
        <v>0</v>
      </c>
      <c r="Y400">
        <f t="shared" si="91"/>
        <v>0</v>
      </c>
      <c r="Z400">
        <f t="shared" si="92"/>
        <v>0</v>
      </c>
      <c r="AA400">
        <f t="shared" si="93"/>
        <v>0</v>
      </c>
    </row>
    <row r="401" spans="2:27" x14ac:dyDescent="0.3">
      <c r="B401">
        <v>394</v>
      </c>
      <c r="C401" s="1">
        <v>40937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558</v>
      </c>
      <c r="J401">
        <v>2685</v>
      </c>
      <c r="K401" s="8">
        <v>3243</v>
      </c>
      <c r="L401" s="12">
        <v>13.636049999999999</v>
      </c>
      <c r="M401" s="12">
        <v>31.125</v>
      </c>
      <c r="N401" s="12">
        <v>16.083349999999999</v>
      </c>
      <c r="O401" s="13">
        <f t="shared" si="81"/>
        <v>-0.6515615412286343</v>
      </c>
      <c r="P401" s="6">
        <f t="shared" si="82"/>
        <v>-1.2381540693718307</v>
      </c>
      <c r="Q401" s="6">
        <f t="shared" si="83"/>
        <v>-2.2246919977402588</v>
      </c>
      <c r="R401" s="6">
        <f t="shared" si="84"/>
        <v>0.63998822313547976</v>
      </c>
      <c r="S401">
        <f t="shared" si="85"/>
        <v>0</v>
      </c>
      <c r="T401">
        <f t="shared" si="86"/>
        <v>0</v>
      </c>
      <c r="U401">
        <f t="shared" si="87"/>
        <v>0</v>
      </c>
      <c r="V401">
        <f t="shared" si="88"/>
        <v>0</v>
      </c>
      <c r="W401">
        <f t="shared" si="89"/>
        <v>0</v>
      </c>
      <c r="X401">
        <f t="shared" si="90"/>
        <v>0</v>
      </c>
      <c r="Y401">
        <f t="shared" si="91"/>
        <v>0</v>
      </c>
      <c r="Z401">
        <f t="shared" si="92"/>
        <v>0</v>
      </c>
      <c r="AA401">
        <f t="shared" si="93"/>
        <v>0</v>
      </c>
    </row>
    <row r="402" spans="2:27" x14ac:dyDescent="0.3">
      <c r="B402">
        <v>395</v>
      </c>
      <c r="C402" s="1">
        <v>40938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126</v>
      </c>
      <c r="J402">
        <v>3498</v>
      </c>
      <c r="K402" s="8">
        <v>3624</v>
      </c>
      <c r="L402" s="12">
        <v>13.13125</v>
      </c>
      <c r="M402" s="12">
        <v>40.083300000000001</v>
      </c>
      <c r="N402" s="12">
        <v>14.458064</v>
      </c>
      <c r="O402" s="13">
        <f t="shared" si="81"/>
        <v>-0.45475242713982728</v>
      </c>
      <c r="P402" s="6">
        <f t="shared" si="82"/>
        <v>-1.3001498944019485</v>
      </c>
      <c r="Q402" s="6">
        <f t="shared" si="83"/>
        <v>-1.5952957558179872</v>
      </c>
      <c r="R402" s="6">
        <f t="shared" si="84"/>
        <v>0.32675885091175094</v>
      </c>
      <c r="S402">
        <f t="shared" si="85"/>
        <v>1</v>
      </c>
      <c r="T402">
        <f t="shared" si="86"/>
        <v>0</v>
      </c>
      <c r="U402">
        <f t="shared" si="87"/>
        <v>0</v>
      </c>
      <c r="V402">
        <f t="shared" si="88"/>
        <v>0</v>
      </c>
      <c r="W402">
        <f t="shared" si="89"/>
        <v>0</v>
      </c>
      <c r="X402">
        <f t="shared" si="90"/>
        <v>0</v>
      </c>
      <c r="Y402">
        <f t="shared" si="91"/>
        <v>0</v>
      </c>
      <c r="Z402">
        <f t="shared" si="92"/>
        <v>0</v>
      </c>
      <c r="AA402">
        <f t="shared" si="93"/>
        <v>0</v>
      </c>
    </row>
    <row r="403" spans="2:27" x14ac:dyDescent="0.3">
      <c r="B403">
        <v>396</v>
      </c>
      <c r="C403" s="1">
        <v>40939</v>
      </c>
      <c r="D403">
        <v>1</v>
      </c>
      <c r="E403">
        <v>1</v>
      </c>
      <c r="F403">
        <v>1</v>
      </c>
      <c r="G403">
        <v>2</v>
      </c>
      <c r="H403">
        <v>1</v>
      </c>
      <c r="I403">
        <v>324</v>
      </c>
      <c r="J403">
        <v>4185</v>
      </c>
      <c r="K403" s="8">
        <v>4509</v>
      </c>
      <c r="L403" s="12">
        <v>19.065850000000001</v>
      </c>
      <c r="M403" s="12">
        <v>41.666699999999999</v>
      </c>
      <c r="N403" s="12">
        <v>17.541739</v>
      </c>
      <c r="O403" s="13">
        <f t="shared" si="81"/>
        <v>2.4026016491338672E-3</v>
      </c>
      <c r="P403" s="6">
        <f t="shared" si="82"/>
        <v>-0.57130594982243554</v>
      </c>
      <c r="Q403" s="6">
        <f t="shared" si="83"/>
        <v>-1.4840485315165324</v>
      </c>
      <c r="R403" s="6">
        <f t="shared" si="84"/>
        <v>0.92105276865423291</v>
      </c>
      <c r="S403">
        <f t="shared" si="85"/>
        <v>0</v>
      </c>
      <c r="T403">
        <f t="shared" si="86"/>
        <v>1</v>
      </c>
      <c r="U403">
        <f t="shared" si="87"/>
        <v>0</v>
      </c>
      <c r="V403">
        <f t="shared" si="88"/>
        <v>0</v>
      </c>
      <c r="W403">
        <f t="shared" si="89"/>
        <v>0</v>
      </c>
      <c r="X403">
        <f t="shared" si="90"/>
        <v>0</v>
      </c>
      <c r="Y403">
        <f t="shared" si="91"/>
        <v>0</v>
      </c>
      <c r="Z403">
        <f t="shared" si="92"/>
        <v>0</v>
      </c>
      <c r="AA403">
        <f t="shared" si="93"/>
        <v>0</v>
      </c>
    </row>
    <row r="404" spans="2:27" x14ac:dyDescent="0.3">
      <c r="B404">
        <v>397</v>
      </c>
      <c r="C404" s="1">
        <v>40940</v>
      </c>
      <c r="D404">
        <v>1</v>
      </c>
      <c r="E404">
        <v>1</v>
      </c>
      <c r="F404">
        <v>2</v>
      </c>
      <c r="G404">
        <v>3</v>
      </c>
      <c r="H404">
        <v>1</v>
      </c>
      <c r="I404">
        <v>304</v>
      </c>
      <c r="J404">
        <v>4275</v>
      </c>
      <c r="K404" s="8">
        <v>4579</v>
      </c>
      <c r="L404" s="12">
        <v>23.326899999999998</v>
      </c>
      <c r="M404" s="12">
        <v>50.791699999999999</v>
      </c>
      <c r="N404" s="12">
        <v>12.667489</v>
      </c>
      <c r="O404" s="13">
        <f t="shared" si="81"/>
        <v>3.8561756468599724E-2</v>
      </c>
      <c r="P404" s="6">
        <f t="shared" si="82"/>
        <v>-4.7995113363275457E-2</v>
      </c>
      <c r="Q404" s="6">
        <f t="shared" si="83"/>
        <v>-0.84294020655077673</v>
      </c>
      <c r="R404" s="6">
        <f t="shared" si="84"/>
        <v>-1.8325450047897852E-2</v>
      </c>
      <c r="S404">
        <f t="shared" si="85"/>
        <v>0</v>
      </c>
      <c r="T404">
        <f t="shared" si="86"/>
        <v>0</v>
      </c>
      <c r="U404">
        <f t="shared" si="87"/>
        <v>1</v>
      </c>
      <c r="V404">
        <f t="shared" si="88"/>
        <v>0</v>
      </c>
      <c r="W404">
        <f t="shared" si="89"/>
        <v>0</v>
      </c>
      <c r="X404">
        <f t="shared" si="90"/>
        <v>0</v>
      </c>
      <c r="Y404">
        <f t="shared" si="91"/>
        <v>0</v>
      </c>
      <c r="Z404">
        <f t="shared" si="92"/>
        <v>0</v>
      </c>
      <c r="AA404">
        <f t="shared" si="93"/>
        <v>0</v>
      </c>
    </row>
    <row r="405" spans="2:27" x14ac:dyDescent="0.3">
      <c r="B405">
        <v>398</v>
      </c>
      <c r="C405" s="1">
        <v>40941</v>
      </c>
      <c r="D405">
        <v>1</v>
      </c>
      <c r="E405">
        <v>1</v>
      </c>
      <c r="F405">
        <v>2</v>
      </c>
      <c r="G405">
        <v>4</v>
      </c>
      <c r="H405">
        <v>2</v>
      </c>
      <c r="I405">
        <v>190</v>
      </c>
      <c r="J405">
        <v>3571</v>
      </c>
      <c r="K405" s="8">
        <v>3761</v>
      </c>
      <c r="L405" s="12">
        <v>19.948550000000001</v>
      </c>
      <c r="M405" s="12">
        <v>67.291700000000006</v>
      </c>
      <c r="N405" s="12">
        <v>12.541529000000001</v>
      </c>
      <c r="O405" s="13">
        <f t="shared" si="81"/>
        <v>-0.383983795564587</v>
      </c>
      <c r="P405" s="6">
        <f t="shared" si="82"/>
        <v>-0.46289922487377244</v>
      </c>
      <c r="Q405" s="6">
        <f t="shared" si="83"/>
        <v>0.3163241618804532</v>
      </c>
      <c r="R405" s="6">
        <f t="shared" si="84"/>
        <v>-4.2600790957313582E-2</v>
      </c>
      <c r="S405">
        <f t="shared" si="85"/>
        <v>0</v>
      </c>
      <c r="T405">
        <f t="shared" si="86"/>
        <v>0</v>
      </c>
      <c r="U405">
        <f t="shared" si="87"/>
        <v>0</v>
      </c>
      <c r="V405">
        <f t="shared" si="88"/>
        <v>1</v>
      </c>
      <c r="W405">
        <f t="shared" si="89"/>
        <v>0</v>
      </c>
      <c r="X405">
        <f t="shared" si="90"/>
        <v>0</v>
      </c>
      <c r="Y405">
        <f t="shared" si="91"/>
        <v>0</v>
      </c>
      <c r="Z405">
        <f t="shared" si="92"/>
        <v>0</v>
      </c>
      <c r="AA405">
        <f t="shared" si="93"/>
        <v>0</v>
      </c>
    </row>
    <row r="406" spans="2:27" x14ac:dyDescent="0.3">
      <c r="B406">
        <v>399</v>
      </c>
      <c r="C406" s="1">
        <v>40942</v>
      </c>
      <c r="D406">
        <v>1</v>
      </c>
      <c r="E406">
        <v>1</v>
      </c>
      <c r="F406">
        <v>2</v>
      </c>
      <c r="G406">
        <v>5</v>
      </c>
      <c r="H406">
        <v>1</v>
      </c>
      <c r="I406">
        <v>310</v>
      </c>
      <c r="J406">
        <v>3841</v>
      </c>
      <c r="K406" s="8">
        <v>4151</v>
      </c>
      <c r="L406" s="12">
        <v>15.4673</v>
      </c>
      <c r="M406" s="12">
        <v>52.666699999999999</v>
      </c>
      <c r="N406" s="12">
        <v>11.959232</v>
      </c>
      <c r="O406" s="13">
        <f t="shared" si="81"/>
        <v>-0.1825256472847058</v>
      </c>
      <c r="P406" s="6">
        <f t="shared" si="82"/>
        <v>-1.0132534065619978</v>
      </c>
      <c r="Q406" s="6">
        <f t="shared" si="83"/>
        <v>-0.71120561922904602</v>
      </c>
      <c r="R406" s="6">
        <f t="shared" si="84"/>
        <v>-0.15482259300185275</v>
      </c>
      <c r="S406">
        <f t="shared" si="85"/>
        <v>0</v>
      </c>
      <c r="T406">
        <f t="shared" si="86"/>
        <v>0</v>
      </c>
      <c r="U406">
        <f t="shared" si="87"/>
        <v>0</v>
      </c>
      <c r="V406">
        <f t="shared" si="88"/>
        <v>0</v>
      </c>
      <c r="W406">
        <f t="shared" si="89"/>
        <v>1</v>
      </c>
      <c r="X406">
        <f t="shared" si="90"/>
        <v>0</v>
      </c>
      <c r="Y406">
        <f t="shared" si="91"/>
        <v>0</v>
      </c>
      <c r="Z406">
        <f t="shared" si="92"/>
        <v>0</v>
      </c>
      <c r="AA406">
        <f t="shared" si="93"/>
        <v>0</v>
      </c>
    </row>
    <row r="407" spans="2:27" x14ac:dyDescent="0.3">
      <c r="B407">
        <v>400</v>
      </c>
      <c r="C407" s="1">
        <v>40943</v>
      </c>
      <c r="D407">
        <v>1</v>
      </c>
      <c r="E407">
        <v>1</v>
      </c>
      <c r="F407">
        <v>2</v>
      </c>
      <c r="G407">
        <v>6</v>
      </c>
      <c r="H407">
        <v>2</v>
      </c>
      <c r="I407">
        <v>384</v>
      </c>
      <c r="J407">
        <v>2448</v>
      </c>
      <c r="K407" s="8">
        <v>2832</v>
      </c>
      <c r="L407" s="12">
        <v>13.63625</v>
      </c>
      <c r="M407" s="12">
        <v>77.958299999999994</v>
      </c>
      <c r="N407" s="12">
        <v>8.1670320000000007</v>
      </c>
      <c r="O407" s="13">
        <f t="shared" si="81"/>
        <v>-0.86386743595435522</v>
      </c>
      <c r="P407" s="6">
        <f t="shared" si="82"/>
        <v>-1.2381295068421039</v>
      </c>
      <c r="Q407" s="6">
        <f t="shared" si="83"/>
        <v>1.0657429080809706</v>
      </c>
      <c r="R407" s="6">
        <f t="shared" si="84"/>
        <v>-0.88566530335979898</v>
      </c>
      <c r="S407">
        <f t="shared" si="85"/>
        <v>0</v>
      </c>
      <c r="T407">
        <f t="shared" si="86"/>
        <v>0</v>
      </c>
      <c r="U407">
        <f t="shared" si="87"/>
        <v>0</v>
      </c>
      <c r="V407">
        <f t="shared" si="88"/>
        <v>0</v>
      </c>
      <c r="W407">
        <f t="shared" si="89"/>
        <v>0</v>
      </c>
      <c r="X407">
        <f t="shared" si="90"/>
        <v>0</v>
      </c>
      <c r="Y407">
        <f t="shared" si="91"/>
        <v>0</v>
      </c>
      <c r="Z407">
        <f t="shared" si="92"/>
        <v>0</v>
      </c>
      <c r="AA407">
        <f t="shared" si="93"/>
        <v>0</v>
      </c>
    </row>
    <row r="408" spans="2:27" x14ac:dyDescent="0.3">
      <c r="B408">
        <v>401</v>
      </c>
      <c r="C408" s="1">
        <v>40944</v>
      </c>
      <c r="D408">
        <v>1</v>
      </c>
      <c r="E408">
        <v>1</v>
      </c>
      <c r="F408">
        <v>2</v>
      </c>
      <c r="G408">
        <v>0</v>
      </c>
      <c r="H408">
        <v>2</v>
      </c>
      <c r="I408">
        <v>318</v>
      </c>
      <c r="J408">
        <v>2629</v>
      </c>
      <c r="K408" s="8">
        <v>2947</v>
      </c>
      <c r="L408" s="12">
        <v>13.226050000000001</v>
      </c>
      <c r="M408" s="12">
        <v>68.791700000000006</v>
      </c>
      <c r="N408" s="12">
        <v>11.791732</v>
      </c>
      <c r="O408" s="13">
        <f t="shared" si="81"/>
        <v>-0.80446311017951855</v>
      </c>
      <c r="P408" s="6">
        <f t="shared" si="82"/>
        <v>-1.2885072553115062</v>
      </c>
      <c r="Q408" s="6">
        <f t="shared" si="83"/>
        <v>0.42171183173783772</v>
      </c>
      <c r="R408" s="6">
        <f t="shared" si="84"/>
        <v>-0.18710363144522504</v>
      </c>
      <c r="S408">
        <f t="shared" si="85"/>
        <v>0</v>
      </c>
      <c r="T408">
        <f t="shared" si="86"/>
        <v>0</v>
      </c>
      <c r="U408">
        <f t="shared" si="87"/>
        <v>0</v>
      </c>
      <c r="V408">
        <f t="shared" si="88"/>
        <v>0</v>
      </c>
      <c r="W408">
        <f t="shared" si="89"/>
        <v>0</v>
      </c>
      <c r="X408">
        <f t="shared" si="90"/>
        <v>0</v>
      </c>
      <c r="Y408">
        <f t="shared" si="91"/>
        <v>0</v>
      </c>
      <c r="Z408">
        <f t="shared" si="92"/>
        <v>0</v>
      </c>
      <c r="AA408">
        <f t="shared" si="93"/>
        <v>0</v>
      </c>
    </row>
    <row r="409" spans="2:27" x14ac:dyDescent="0.3">
      <c r="B409">
        <v>402</v>
      </c>
      <c r="C409" s="1">
        <v>40945</v>
      </c>
      <c r="D409">
        <v>1</v>
      </c>
      <c r="E409">
        <v>1</v>
      </c>
      <c r="F409">
        <v>2</v>
      </c>
      <c r="G409">
        <v>1</v>
      </c>
      <c r="H409">
        <v>1</v>
      </c>
      <c r="I409">
        <v>206</v>
      </c>
      <c r="J409">
        <v>3578</v>
      </c>
      <c r="K409" s="8">
        <v>3784</v>
      </c>
      <c r="L409" s="12">
        <v>14.821300000000001</v>
      </c>
      <c r="M409" s="12">
        <v>62.217399999999998</v>
      </c>
      <c r="N409" s="12">
        <v>10.304600000000001</v>
      </c>
      <c r="O409" s="13">
        <f t="shared" si="81"/>
        <v>-0.37210293040961961</v>
      </c>
      <c r="P409" s="6">
        <f t="shared" si="82"/>
        <v>-1.0925903775791457</v>
      </c>
      <c r="Q409" s="6">
        <f t="shared" si="83"/>
        <v>-4.0188273557764755E-2</v>
      </c>
      <c r="R409" s="6">
        <f t="shared" si="84"/>
        <v>-0.47370760316086047</v>
      </c>
      <c r="S409">
        <f t="shared" si="85"/>
        <v>1</v>
      </c>
      <c r="T409">
        <f t="shared" si="86"/>
        <v>0</v>
      </c>
      <c r="U409">
        <f t="shared" si="87"/>
        <v>0</v>
      </c>
      <c r="V409">
        <f t="shared" si="88"/>
        <v>0</v>
      </c>
      <c r="W409">
        <f t="shared" si="89"/>
        <v>0</v>
      </c>
      <c r="X409">
        <f t="shared" si="90"/>
        <v>0</v>
      </c>
      <c r="Y409">
        <f t="shared" si="91"/>
        <v>0</v>
      </c>
      <c r="Z409">
        <f t="shared" si="92"/>
        <v>0</v>
      </c>
      <c r="AA409">
        <f t="shared" si="93"/>
        <v>0</v>
      </c>
    </row>
    <row r="410" spans="2:27" x14ac:dyDescent="0.3">
      <c r="B410">
        <v>403</v>
      </c>
      <c r="C410" s="1">
        <v>40946</v>
      </c>
      <c r="D410">
        <v>1</v>
      </c>
      <c r="E410">
        <v>1</v>
      </c>
      <c r="F410">
        <v>2</v>
      </c>
      <c r="G410">
        <v>2</v>
      </c>
      <c r="H410">
        <v>1</v>
      </c>
      <c r="I410">
        <v>199</v>
      </c>
      <c r="J410">
        <v>4176</v>
      </c>
      <c r="K410" s="8">
        <v>4375</v>
      </c>
      <c r="L410" s="12">
        <v>18.055199999999999</v>
      </c>
      <c r="M410" s="12">
        <v>49.625</v>
      </c>
      <c r="N410" s="12">
        <v>9.8743929999999995</v>
      </c>
      <c r="O410" s="13">
        <f t="shared" si="81"/>
        <v>-6.6816351862415052E-2</v>
      </c>
      <c r="P410" s="6">
        <f t="shared" si="82"/>
        <v>-0.69542655316373669</v>
      </c>
      <c r="Q410" s="6">
        <f t="shared" si="83"/>
        <v>-0.92491073616585029</v>
      </c>
      <c r="R410" s="6">
        <f t="shared" si="84"/>
        <v>-0.55661822229881786</v>
      </c>
      <c r="S410">
        <f t="shared" si="85"/>
        <v>0</v>
      </c>
      <c r="T410">
        <f t="shared" si="86"/>
        <v>1</v>
      </c>
      <c r="U410">
        <f t="shared" si="87"/>
        <v>0</v>
      </c>
      <c r="V410">
        <f t="shared" si="88"/>
        <v>0</v>
      </c>
      <c r="W410">
        <f t="shared" si="89"/>
        <v>0</v>
      </c>
      <c r="X410">
        <f t="shared" si="90"/>
        <v>0</v>
      </c>
      <c r="Y410">
        <f t="shared" si="91"/>
        <v>0</v>
      </c>
      <c r="Z410">
        <f t="shared" si="92"/>
        <v>0</v>
      </c>
      <c r="AA410">
        <f t="shared" si="93"/>
        <v>0</v>
      </c>
    </row>
    <row r="411" spans="2:27" x14ac:dyDescent="0.3">
      <c r="B411">
        <v>404</v>
      </c>
      <c r="C411" s="1">
        <v>40947</v>
      </c>
      <c r="D411">
        <v>1</v>
      </c>
      <c r="E411">
        <v>1</v>
      </c>
      <c r="F411">
        <v>2</v>
      </c>
      <c r="G411">
        <v>3</v>
      </c>
      <c r="H411">
        <v>2</v>
      </c>
      <c r="I411">
        <v>109</v>
      </c>
      <c r="J411">
        <v>2693</v>
      </c>
      <c r="K411" s="8">
        <v>2802</v>
      </c>
      <c r="L411" s="12">
        <v>13.32105</v>
      </c>
      <c r="M411" s="12">
        <v>72.291700000000006</v>
      </c>
      <c r="N411" s="12">
        <v>8.9593070000000008</v>
      </c>
      <c r="O411" s="13">
        <f t="shared" si="81"/>
        <v>-0.87936421659126918</v>
      </c>
      <c r="P411" s="6">
        <f t="shared" si="82"/>
        <v>-1.2768400536913376</v>
      </c>
      <c r="Q411" s="6">
        <f t="shared" si="83"/>
        <v>0.66761639473840151</v>
      </c>
      <c r="R411" s="6">
        <f t="shared" si="84"/>
        <v>-0.73297599152264858</v>
      </c>
      <c r="S411">
        <f t="shared" si="85"/>
        <v>0</v>
      </c>
      <c r="T411">
        <f t="shared" si="86"/>
        <v>0</v>
      </c>
      <c r="U411">
        <f t="shared" si="87"/>
        <v>1</v>
      </c>
      <c r="V411">
        <f t="shared" si="88"/>
        <v>0</v>
      </c>
      <c r="W411">
        <f t="shared" si="89"/>
        <v>0</v>
      </c>
      <c r="X411">
        <f t="shared" si="90"/>
        <v>0</v>
      </c>
      <c r="Y411">
        <f t="shared" si="91"/>
        <v>0</v>
      </c>
      <c r="Z411">
        <f t="shared" si="92"/>
        <v>0</v>
      </c>
      <c r="AA411">
        <f t="shared" si="93"/>
        <v>0</v>
      </c>
    </row>
    <row r="412" spans="2:27" x14ac:dyDescent="0.3">
      <c r="B412">
        <v>405</v>
      </c>
      <c r="C412" s="1">
        <v>40948</v>
      </c>
      <c r="D412">
        <v>1</v>
      </c>
      <c r="E412">
        <v>1</v>
      </c>
      <c r="F412">
        <v>2</v>
      </c>
      <c r="G412">
        <v>4</v>
      </c>
      <c r="H412">
        <v>1</v>
      </c>
      <c r="I412">
        <v>163</v>
      </c>
      <c r="J412">
        <v>3667</v>
      </c>
      <c r="K412" s="8">
        <v>3830</v>
      </c>
      <c r="L412" s="12">
        <v>13.099399999999999</v>
      </c>
      <c r="M412" s="12">
        <v>56.208300000000001</v>
      </c>
      <c r="N412" s="12">
        <v>13.000479</v>
      </c>
      <c r="O412" s="13">
        <f t="shared" si="81"/>
        <v>-0.34834120009968494</v>
      </c>
      <c r="P412" s="6">
        <f t="shared" si="82"/>
        <v>-1.3040614772609209</v>
      </c>
      <c r="Q412" s="6">
        <f t="shared" si="83"/>
        <v>-0.46237830485110393</v>
      </c>
      <c r="R412" s="6">
        <f t="shared" si="84"/>
        <v>4.5849254377526169E-2</v>
      </c>
      <c r="S412">
        <f t="shared" si="85"/>
        <v>0</v>
      </c>
      <c r="T412">
        <f t="shared" si="86"/>
        <v>0</v>
      </c>
      <c r="U412">
        <f t="shared" si="87"/>
        <v>0</v>
      </c>
      <c r="V412">
        <f t="shared" si="88"/>
        <v>1</v>
      </c>
      <c r="W412">
        <f t="shared" si="89"/>
        <v>0</v>
      </c>
      <c r="X412">
        <f t="shared" si="90"/>
        <v>0</v>
      </c>
      <c r="Y412">
        <f t="shared" si="91"/>
        <v>0</v>
      </c>
      <c r="Z412">
        <f t="shared" si="92"/>
        <v>0</v>
      </c>
      <c r="AA412">
        <f t="shared" si="93"/>
        <v>0</v>
      </c>
    </row>
    <row r="413" spans="2:27" x14ac:dyDescent="0.3">
      <c r="B413">
        <v>406</v>
      </c>
      <c r="C413" s="1">
        <v>40949</v>
      </c>
      <c r="D413">
        <v>1</v>
      </c>
      <c r="E413">
        <v>1</v>
      </c>
      <c r="F413">
        <v>2</v>
      </c>
      <c r="G413">
        <v>5</v>
      </c>
      <c r="H413">
        <v>2</v>
      </c>
      <c r="I413">
        <v>227</v>
      </c>
      <c r="J413">
        <v>3604</v>
      </c>
      <c r="K413" s="8">
        <v>3831</v>
      </c>
      <c r="L413" s="12">
        <v>14.677899999999999</v>
      </c>
      <c r="M413" s="12">
        <v>54</v>
      </c>
      <c r="N413" s="12">
        <v>7.8342429999999998</v>
      </c>
      <c r="O413" s="13">
        <f t="shared" si="81"/>
        <v>-0.34782464074512115</v>
      </c>
      <c r="P413" s="6">
        <f t="shared" si="82"/>
        <v>-1.110201711393169</v>
      </c>
      <c r="Q413" s="6">
        <f t="shared" si="83"/>
        <v>-0.61753003241514548</v>
      </c>
      <c r="R413" s="6">
        <f t="shared" si="84"/>
        <v>-0.94980127053909102</v>
      </c>
      <c r="S413">
        <f t="shared" si="85"/>
        <v>0</v>
      </c>
      <c r="T413">
        <f t="shared" si="86"/>
        <v>0</v>
      </c>
      <c r="U413">
        <f t="shared" si="87"/>
        <v>0</v>
      </c>
      <c r="V413">
        <f t="shared" si="88"/>
        <v>0</v>
      </c>
      <c r="W413">
        <f t="shared" si="89"/>
        <v>1</v>
      </c>
      <c r="X413">
        <f t="shared" si="90"/>
        <v>0</v>
      </c>
      <c r="Y413">
        <f t="shared" si="91"/>
        <v>0</v>
      </c>
      <c r="Z413">
        <f t="shared" si="92"/>
        <v>0</v>
      </c>
      <c r="AA413">
        <f t="shared" si="93"/>
        <v>0</v>
      </c>
    </row>
    <row r="414" spans="2:27" x14ac:dyDescent="0.3">
      <c r="B414">
        <v>407</v>
      </c>
      <c r="C414" s="1">
        <v>40950</v>
      </c>
      <c r="D414">
        <v>1</v>
      </c>
      <c r="E414">
        <v>1</v>
      </c>
      <c r="F414">
        <v>2</v>
      </c>
      <c r="G414">
        <v>6</v>
      </c>
      <c r="H414">
        <v>3</v>
      </c>
      <c r="I414">
        <v>192</v>
      </c>
      <c r="J414">
        <v>1977</v>
      </c>
      <c r="K414" s="8">
        <v>2169</v>
      </c>
      <c r="L414" s="12">
        <v>10.54335</v>
      </c>
      <c r="M414" s="12">
        <v>73.125</v>
      </c>
      <c r="N414" s="12">
        <v>19.416332000000001</v>
      </c>
      <c r="O414" s="13">
        <f t="shared" si="81"/>
        <v>-1.2063462880301532</v>
      </c>
      <c r="P414" s="6">
        <f t="shared" si="82"/>
        <v>-1.6179767478002098</v>
      </c>
      <c r="Q414" s="6">
        <f t="shared" si="83"/>
        <v>0.72616275826650678</v>
      </c>
      <c r="R414" s="6">
        <f t="shared" si="84"/>
        <v>1.2823292384970773</v>
      </c>
      <c r="S414">
        <f t="shared" si="85"/>
        <v>0</v>
      </c>
      <c r="T414">
        <f t="shared" si="86"/>
        <v>0</v>
      </c>
      <c r="U414">
        <f t="shared" si="87"/>
        <v>0</v>
      </c>
      <c r="V414">
        <f t="shared" si="88"/>
        <v>0</v>
      </c>
      <c r="W414">
        <f t="shared" si="89"/>
        <v>0</v>
      </c>
      <c r="X414">
        <f t="shared" si="90"/>
        <v>1</v>
      </c>
      <c r="Y414">
        <f t="shared" si="91"/>
        <v>0</v>
      </c>
      <c r="Z414">
        <f t="shared" si="92"/>
        <v>0</v>
      </c>
      <c r="AA414">
        <f t="shared" si="93"/>
        <v>0</v>
      </c>
    </row>
    <row r="415" spans="2:27" x14ac:dyDescent="0.3">
      <c r="B415">
        <v>408</v>
      </c>
      <c r="C415" s="1">
        <v>40951</v>
      </c>
      <c r="D415">
        <v>1</v>
      </c>
      <c r="E415">
        <v>1</v>
      </c>
      <c r="F415">
        <v>2</v>
      </c>
      <c r="G415">
        <v>0</v>
      </c>
      <c r="H415">
        <v>1</v>
      </c>
      <c r="I415">
        <v>73</v>
      </c>
      <c r="J415">
        <v>1456</v>
      </c>
      <c r="K415" s="8">
        <v>1529</v>
      </c>
      <c r="L415" s="12">
        <v>5.0829000000000004</v>
      </c>
      <c r="M415" s="12">
        <v>46.458300000000001</v>
      </c>
      <c r="N415" s="12">
        <v>27.417204000000002</v>
      </c>
      <c r="O415" s="13">
        <f t="shared" si="81"/>
        <v>-1.5369442749509841</v>
      </c>
      <c r="P415" s="6">
        <f t="shared" si="82"/>
        <v>-2.2885890750302167</v>
      </c>
      <c r="Q415" s="6">
        <f t="shared" si="83"/>
        <v>-1.1473981589241031</v>
      </c>
      <c r="R415" s="6">
        <f t="shared" si="84"/>
        <v>2.8242782331985707</v>
      </c>
      <c r="S415">
        <f t="shared" si="85"/>
        <v>0</v>
      </c>
      <c r="T415">
        <f t="shared" si="86"/>
        <v>0</v>
      </c>
      <c r="U415">
        <f t="shared" si="87"/>
        <v>0</v>
      </c>
      <c r="V415">
        <f t="shared" si="88"/>
        <v>0</v>
      </c>
      <c r="W415">
        <f t="shared" si="89"/>
        <v>0</v>
      </c>
      <c r="X415">
        <f t="shared" si="90"/>
        <v>0</v>
      </c>
      <c r="Y415">
        <f t="shared" si="91"/>
        <v>0</v>
      </c>
      <c r="Z415">
        <f t="shared" si="92"/>
        <v>0</v>
      </c>
      <c r="AA415">
        <f t="shared" si="93"/>
        <v>0</v>
      </c>
    </row>
    <row r="416" spans="2:27" x14ac:dyDescent="0.3">
      <c r="B416">
        <v>409</v>
      </c>
      <c r="C416" s="1">
        <v>40952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94</v>
      </c>
      <c r="J416">
        <v>3328</v>
      </c>
      <c r="K416" s="8">
        <v>3422</v>
      </c>
      <c r="L416" s="12">
        <v>11.39565</v>
      </c>
      <c r="M416" s="12">
        <v>41.125</v>
      </c>
      <c r="N416" s="12">
        <v>11.207960999999999</v>
      </c>
      <c r="O416" s="13">
        <f t="shared" si="81"/>
        <v>-0.55909741676171454</v>
      </c>
      <c r="P416" s="6">
        <f t="shared" si="82"/>
        <v>-1.5133035273700006</v>
      </c>
      <c r="Q416" s="6">
        <f t="shared" si="83"/>
        <v>-1.5221075320243624</v>
      </c>
      <c r="R416" s="6">
        <f t="shared" si="84"/>
        <v>-0.2996095066280659</v>
      </c>
      <c r="S416">
        <f t="shared" si="85"/>
        <v>1</v>
      </c>
      <c r="T416">
        <f t="shared" si="86"/>
        <v>0</v>
      </c>
      <c r="U416">
        <f t="shared" si="87"/>
        <v>0</v>
      </c>
      <c r="V416">
        <f t="shared" si="88"/>
        <v>0</v>
      </c>
      <c r="W416">
        <f t="shared" si="89"/>
        <v>0</v>
      </c>
      <c r="X416">
        <f t="shared" si="90"/>
        <v>0</v>
      </c>
      <c r="Y416">
        <f t="shared" si="91"/>
        <v>0</v>
      </c>
      <c r="Z416">
        <f t="shared" si="92"/>
        <v>0</v>
      </c>
      <c r="AA416">
        <f t="shared" si="93"/>
        <v>0</v>
      </c>
    </row>
    <row r="417" spans="2:27" x14ac:dyDescent="0.3">
      <c r="B417">
        <v>410</v>
      </c>
      <c r="C417" s="1">
        <v>40953</v>
      </c>
      <c r="D417">
        <v>1</v>
      </c>
      <c r="E417">
        <v>1</v>
      </c>
      <c r="F417">
        <v>2</v>
      </c>
      <c r="G417">
        <v>2</v>
      </c>
      <c r="H417">
        <v>2</v>
      </c>
      <c r="I417">
        <v>135</v>
      </c>
      <c r="J417">
        <v>3787</v>
      </c>
      <c r="K417" s="8">
        <v>3922</v>
      </c>
      <c r="L417" s="12">
        <v>16.697299999999998</v>
      </c>
      <c r="M417" s="12">
        <v>50.875</v>
      </c>
      <c r="N417" s="12">
        <v>9.4589929999999995</v>
      </c>
      <c r="O417" s="13">
        <f t="shared" si="81"/>
        <v>-0.30081773947981549</v>
      </c>
      <c r="P417" s="6">
        <f t="shared" si="82"/>
        <v>-0.86219384874297056</v>
      </c>
      <c r="Q417" s="6">
        <f t="shared" si="83"/>
        <v>-0.83708767795136318</v>
      </c>
      <c r="R417" s="6">
        <f t="shared" si="84"/>
        <v>-0.63667519763838087</v>
      </c>
      <c r="S417">
        <f t="shared" si="85"/>
        <v>0</v>
      </c>
      <c r="T417">
        <f t="shared" si="86"/>
        <v>1</v>
      </c>
      <c r="U417">
        <f t="shared" si="87"/>
        <v>0</v>
      </c>
      <c r="V417">
        <f t="shared" si="88"/>
        <v>0</v>
      </c>
      <c r="W417">
        <f t="shared" si="89"/>
        <v>0</v>
      </c>
      <c r="X417">
        <f t="shared" si="90"/>
        <v>0</v>
      </c>
      <c r="Y417">
        <f t="shared" si="91"/>
        <v>0</v>
      </c>
      <c r="Z417">
        <f t="shared" si="92"/>
        <v>0</v>
      </c>
      <c r="AA417">
        <f t="shared" si="93"/>
        <v>0</v>
      </c>
    </row>
    <row r="418" spans="2:27" x14ac:dyDescent="0.3">
      <c r="B418">
        <v>411</v>
      </c>
      <c r="C418" s="1">
        <v>40954</v>
      </c>
      <c r="D418">
        <v>1</v>
      </c>
      <c r="E418">
        <v>1</v>
      </c>
      <c r="F418">
        <v>2</v>
      </c>
      <c r="G418">
        <v>3</v>
      </c>
      <c r="H418">
        <v>1</v>
      </c>
      <c r="I418">
        <v>141</v>
      </c>
      <c r="J418">
        <v>4028</v>
      </c>
      <c r="K418" s="8">
        <v>4169</v>
      </c>
      <c r="L418" s="12">
        <v>17.58145</v>
      </c>
      <c r="M418" s="12">
        <v>53.125</v>
      </c>
      <c r="N418" s="12">
        <v>12.167199999999999</v>
      </c>
      <c r="O418" s="13">
        <f t="shared" si="81"/>
        <v>-0.17322757890255744</v>
      </c>
      <c r="P418" s="6">
        <f t="shared" si="82"/>
        <v>-0.75360904545378882</v>
      </c>
      <c r="Q418" s="6">
        <f t="shared" si="83"/>
        <v>-0.67900617316528644</v>
      </c>
      <c r="R418" s="6">
        <f t="shared" si="84"/>
        <v>-0.11474245567056199</v>
      </c>
      <c r="S418">
        <f t="shared" si="85"/>
        <v>0</v>
      </c>
      <c r="T418">
        <f t="shared" si="86"/>
        <v>0</v>
      </c>
      <c r="U418">
        <f t="shared" si="87"/>
        <v>1</v>
      </c>
      <c r="V418">
        <f t="shared" si="88"/>
        <v>0</v>
      </c>
      <c r="W418">
        <f t="shared" si="89"/>
        <v>0</v>
      </c>
      <c r="X418">
        <f t="shared" si="90"/>
        <v>0</v>
      </c>
      <c r="Y418">
        <f t="shared" si="91"/>
        <v>0</v>
      </c>
      <c r="Z418">
        <f t="shared" si="92"/>
        <v>0</v>
      </c>
      <c r="AA418">
        <f t="shared" si="93"/>
        <v>0</v>
      </c>
    </row>
    <row r="419" spans="2:27" x14ac:dyDescent="0.3">
      <c r="B419">
        <v>412</v>
      </c>
      <c r="C419" s="1">
        <v>40955</v>
      </c>
      <c r="D419">
        <v>1</v>
      </c>
      <c r="E419">
        <v>1</v>
      </c>
      <c r="F419">
        <v>2</v>
      </c>
      <c r="G419">
        <v>4</v>
      </c>
      <c r="H419">
        <v>2</v>
      </c>
      <c r="I419">
        <v>74</v>
      </c>
      <c r="J419">
        <v>2931</v>
      </c>
      <c r="K419" s="8">
        <v>3005</v>
      </c>
      <c r="L419" s="12">
        <v>16.508099999999999</v>
      </c>
      <c r="M419" s="12">
        <v>75.291700000000006</v>
      </c>
      <c r="N419" s="12">
        <v>6.1254749999999998</v>
      </c>
      <c r="O419" s="13">
        <f t="shared" si="81"/>
        <v>-0.77450266761481823</v>
      </c>
      <c r="P419" s="6">
        <f t="shared" si="82"/>
        <v>-0.88543000186440135</v>
      </c>
      <c r="Q419" s="6">
        <f t="shared" si="83"/>
        <v>0.87839173445317054</v>
      </c>
      <c r="R419" s="6">
        <f t="shared" si="84"/>
        <v>-1.2791195123229968</v>
      </c>
      <c r="S419">
        <f t="shared" si="85"/>
        <v>0</v>
      </c>
      <c r="T419">
        <f t="shared" si="86"/>
        <v>0</v>
      </c>
      <c r="U419">
        <f t="shared" si="87"/>
        <v>0</v>
      </c>
      <c r="V419">
        <f t="shared" si="88"/>
        <v>1</v>
      </c>
      <c r="W419">
        <f t="shared" si="89"/>
        <v>0</v>
      </c>
      <c r="X419">
        <f t="shared" si="90"/>
        <v>0</v>
      </c>
      <c r="Y419">
        <f t="shared" si="91"/>
        <v>0</v>
      </c>
      <c r="Z419">
        <f t="shared" si="92"/>
        <v>0</v>
      </c>
      <c r="AA419">
        <f t="shared" si="93"/>
        <v>0</v>
      </c>
    </row>
    <row r="420" spans="2:27" x14ac:dyDescent="0.3">
      <c r="B420">
        <v>413</v>
      </c>
      <c r="C420" s="1">
        <v>40956</v>
      </c>
      <c r="D420">
        <v>1</v>
      </c>
      <c r="E420">
        <v>1</v>
      </c>
      <c r="F420">
        <v>2</v>
      </c>
      <c r="G420">
        <v>5</v>
      </c>
      <c r="H420">
        <v>1</v>
      </c>
      <c r="I420">
        <v>349</v>
      </c>
      <c r="J420">
        <v>3805</v>
      </c>
      <c r="K420" s="8">
        <v>4154</v>
      </c>
      <c r="L420" s="12">
        <v>17.58145</v>
      </c>
      <c r="M420" s="12">
        <v>63.458300000000001</v>
      </c>
      <c r="N420" s="12">
        <v>13.791682</v>
      </c>
      <c r="O420" s="13">
        <f t="shared" si="81"/>
        <v>-0.18097596922101439</v>
      </c>
      <c r="P420" s="6">
        <f t="shared" si="82"/>
        <v>-0.75360904545378882</v>
      </c>
      <c r="Q420" s="6">
        <f t="shared" si="83"/>
        <v>4.6995432792921094E-2</v>
      </c>
      <c r="R420" s="6">
        <f t="shared" si="84"/>
        <v>0.19833196756863894</v>
      </c>
      <c r="S420">
        <f t="shared" si="85"/>
        <v>0</v>
      </c>
      <c r="T420">
        <f t="shared" si="86"/>
        <v>0</v>
      </c>
      <c r="U420">
        <f t="shared" si="87"/>
        <v>0</v>
      </c>
      <c r="V420">
        <f t="shared" si="88"/>
        <v>0</v>
      </c>
      <c r="W420">
        <f t="shared" si="89"/>
        <v>1</v>
      </c>
      <c r="X420">
        <f t="shared" si="90"/>
        <v>0</v>
      </c>
      <c r="Y420">
        <f t="shared" si="91"/>
        <v>0</v>
      </c>
      <c r="Z420">
        <f t="shared" si="92"/>
        <v>0</v>
      </c>
      <c r="AA420">
        <f t="shared" si="93"/>
        <v>0</v>
      </c>
    </row>
    <row r="421" spans="2:27" x14ac:dyDescent="0.3">
      <c r="B421">
        <v>414</v>
      </c>
      <c r="C421" s="1">
        <v>40957</v>
      </c>
      <c r="D421">
        <v>1</v>
      </c>
      <c r="E421">
        <v>1</v>
      </c>
      <c r="F421">
        <v>2</v>
      </c>
      <c r="G421">
        <v>6</v>
      </c>
      <c r="H421">
        <v>1</v>
      </c>
      <c r="I421">
        <v>1435</v>
      </c>
      <c r="J421">
        <v>2883</v>
      </c>
      <c r="K421" s="8">
        <v>4318</v>
      </c>
      <c r="L421" s="12">
        <v>17.771249999999998</v>
      </c>
      <c r="M421" s="12">
        <v>53.458300000000001</v>
      </c>
      <c r="N421" s="12">
        <v>12.792242999999999</v>
      </c>
      <c r="O421" s="13">
        <f t="shared" si="81"/>
        <v>-9.6260235072551534E-2</v>
      </c>
      <c r="P421" s="6">
        <f t="shared" si="82"/>
        <v>-0.73029920474317811</v>
      </c>
      <c r="Q421" s="6">
        <f t="shared" si="83"/>
        <v>-0.65558903292297555</v>
      </c>
      <c r="R421" s="6">
        <f t="shared" si="84"/>
        <v>5.7174673847256328E-3</v>
      </c>
      <c r="S421">
        <f t="shared" si="85"/>
        <v>0</v>
      </c>
      <c r="T421">
        <f t="shared" si="86"/>
        <v>0</v>
      </c>
      <c r="U421">
        <f t="shared" si="87"/>
        <v>0</v>
      </c>
      <c r="V421">
        <f t="shared" si="88"/>
        <v>0</v>
      </c>
      <c r="W421">
        <f t="shared" si="89"/>
        <v>0</v>
      </c>
      <c r="X421">
        <f t="shared" si="90"/>
        <v>0</v>
      </c>
      <c r="Y421">
        <f t="shared" si="91"/>
        <v>0</v>
      </c>
      <c r="Z421">
        <f t="shared" si="92"/>
        <v>0</v>
      </c>
      <c r="AA421">
        <f t="shared" si="93"/>
        <v>0</v>
      </c>
    </row>
    <row r="422" spans="2:27" x14ac:dyDescent="0.3">
      <c r="B422">
        <v>415</v>
      </c>
      <c r="C422" s="1">
        <v>40958</v>
      </c>
      <c r="D422">
        <v>1</v>
      </c>
      <c r="E422">
        <v>1</v>
      </c>
      <c r="F422">
        <v>2</v>
      </c>
      <c r="G422">
        <v>0</v>
      </c>
      <c r="H422">
        <v>2</v>
      </c>
      <c r="I422">
        <v>618</v>
      </c>
      <c r="J422">
        <v>2071</v>
      </c>
      <c r="K422" s="8">
        <v>2689</v>
      </c>
      <c r="L422" s="12">
        <v>13.289400000000001</v>
      </c>
      <c r="M422" s="12">
        <v>51.583300000000001</v>
      </c>
      <c r="N422" s="12">
        <v>16.958504000000001</v>
      </c>
      <c r="O422" s="13">
        <f t="shared" si="81"/>
        <v>-0.93773542365697837</v>
      </c>
      <c r="P422" s="6">
        <f t="shared" si="82"/>
        <v>-1.2807270740205832</v>
      </c>
      <c r="Q422" s="6">
        <f t="shared" si="83"/>
        <v>-0.78732362024470615</v>
      </c>
      <c r="R422" s="6">
        <f t="shared" si="84"/>
        <v>0.80865019279441119</v>
      </c>
      <c r="S422">
        <f t="shared" si="85"/>
        <v>0</v>
      </c>
      <c r="T422">
        <f t="shared" si="86"/>
        <v>0</v>
      </c>
      <c r="U422">
        <f t="shared" si="87"/>
        <v>0</v>
      </c>
      <c r="V422">
        <f t="shared" si="88"/>
        <v>0</v>
      </c>
      <c r="W422">
        <f t="shared" si="89"/>
        <v>0</v>
      </c>
      <c r="X422">
        <f t="shared" si="90"/>
        <v>0</v>
      </c>
      <c r="Y422">
        <f t="shared" si="91"/>
        <v>0</v>
      </c>
      <c r="Z422">
        <f t="shared" si="92"/>
        <v>0</v>
      </c>
      <c r="AA422">
        <f t="shared" si="93"/>
        <v>0</v>
      </c>
    </row>
    <row r="423" spans="2:27" x14ac:dyDescent="0.3">
      <c r="B423">
        <v>416</v>
      </c>
      <c r="C423" s="1">
        <v>40959</v>
      </c>
      <c r="D423">
        <v>1</v>
      </c>
      <c r="E423">
        <v>1</v>
      </c>
      <c r="F423">
        <v>2</v>
      </c>
      <c r="G423">
        <v>1</v>
      </c>
      <c r="H423">
        <v>1</v>
      </c>
      <c r="I423">
        <v>502</v>
      </c>
      <c r="J423">
        <v>2627</v>
      </c>
      <c r="K423" s="8">
        <v>3129</v>
      </c>
      <c r="L423" s="12">
        <v>13.669549999999999</v>
      </c>
      <c r="M423" s="12">
        <v>50.782600000000002</v>
      </c>
      <c r="N423" s="12">
        <v>15.348561</v>
      </c>
      <c r="O423" s="13">
        <f t="shared" si="81"/>
        <v>-0.71044930764890724</v>
      </c>
      <c r="P423" s="6">
        <f t="shared" si="82"/>
        <v>-1.2340398456426132</v>
      </c>
      <c r="Q423" s="6">
        <f t="shared" si="83"/>
        <v>-0.84357955841457788</v>
      </c>
      <c r="R423" s="6">
        <f t="shared" si="84"/>
        <v>0.49837776369209486</v>
      </c>
      <c r="S423">
        <f t="shared" si="85"/>
        <v>1</v>
      </c>
      <c r="T423">
        <f t="shared" si="86"/>
        <v>0</v>
      </c>
      <c r="U423">
        <f t="shared" si="87"/>
        <v>0</v>
      </c>
      <c r="V423">
        <f t="shared" si="88"/>
        <v>0</v>
      </c>
      <c r="W423">
        <f t="shared" si="89"/>
        <v>0</v>
      </c>
      <c r="X423">
        <f t="shared" si="90"/>
        <v>0</v>
      </c>
      <c r="Y423">
        <f t="shared" si="91"/>
        <v>0</v>
      </c>
      <c r="Z423">
        <f t="shared" si="92"/>
        <v>0</v>
      </c>
      <c r="AA423">
        <f t="shared" si="93"/>
        <v>0</v>
      </c>
    </row>
    <row r="424" spans="2:27" x14ac:dyDescent="0.3">
      <c r="B424">
        <v>417</v>
      </c>
      <c r="C424" s="1">
        <v>40960</v>
      </c>
      <c r="D424">
        <v>1</v>
      </c>
      <c r="E424">
        <v>1</v>
      </c>
      <c r="F424">
        <v>2</v>
      </c>
      <c r="G424">
        <v>2</v>
      </c>
      <c r="H424">
        <v>1</v>
      </c>
      <c r="I424">
        <v>163</v>
      </c>
      <c r="J424">
        <v>3614</v>
      </c>
      <c r="K424" s="8">
        <v>3777</v>
      </c>
      <c r="L424" s="12">
        <v>14.755649999999999</v>
      </c>
      <c r="M424" s="12">
        <v>59.434800000000003</v>
      </c>
      <c r="N424" s="12">
        <v>13.783039</v>
      </c>
      <c r="O424" s="13">
        <f t="shared" si="81"/>
        <v>-0.37571884589156623</v>
      </c>
      <c r="P424" s="6">
        <f t="shared" si="82"/>
        <v>-1.1006530279619255</v>
      </c>
      <c r="Q424" s="6">
        <f t="shared" si="83"/>
        <v>-0.23568942698786979</v>
      </c>
      <c r="R424" s="6">
        <f t="shared" si="84"/>
        <v>0.19666626598496106</v>
      </c>
      <c r="S424">
        <f t="shared" si="85"/>
        <v>0</v>
      </c>
      <c r="T424">
        <f t="shared" si="86"/>
        <v>1</v>
      </c>
      <c r="U424">
        <f t="shared" si="87"/>
        <v>0</v>
      </c>
      <c r="V424">
        <f t="shared" si="88"/>
        <v>0</v>
      </c>
      <c r="W424">
        <f t="shared" si="89"/>
        <v>0</v>
      </c>
      <c r="X424">
        <f t="shared" si="90"/>
        <v>0</v>
      </c>
      <c r="Y424">
        <f t="shared" si="91"/>
        <v>0</v>
      </c>
      <c r="Z424">
        <f t="shared" si="92"/>
        <v>0</v>
      </c>
      <c r="AA424">
        <f t="shared" si="93"/>
        <v>0</v>
      </c>
    </row>
    <row r="425" spans="2:27" x14ac:dyDescent="0.3">
      <c r="B425">
        <v>418</v>
      </c>
      <c r="C425" s="1">
        <v>40961</v>
      </c>
      <c r="D425">
        <v>1</v>
      </c>
      <c r="E425">
        <v>1</v>
      </c>
      <c r="F425">
        <v>2</v>
      </c>
      <c r="G425">
        <v>3</v>
      </c>
      <c r="H425">
        <v>1</v>
      </c>
      <c r="I425">
        <v>394</v>
      </c>
      <c r="J425">
        <v>4379</v>
      </c>
      <c r="K425" s="8">
        <v>4773</v>
      </c>
      <c r="L425" s="12">
        <v>19.63335</v>
      </c>
      <c r="M425" s="12">
        <v>56.791699999999999</v>
      </c>
      <c r="N425" s="12">
        <v>15.709557</v>
      </c>
      <c r="O425" s="13">
        <f t="shared" si="81"/>
        <v>0.13877427125397651</v>
      </c>
      <c r="P425" s="6">
        <f t="shared" si="82"/>
        <v>-0.50160977172300625</v>
      </c>
      <c r="Q425" s="6">
        <f t="shared" si="83"/>
        <v>-0.42138952712123873</v>
      </c>
      <c r="R425" s="6">
        <f t="shared" si="84"/>
        <v>0.56794985774525064</v>
      </c>
      <c r="S425">
        <f t="shared" si="85"/>
        <v>0</v>
      </c>
      <c r="T425">
        <f t="shared" si="86"/>
        <v>0</v>
      </c>
      <c r="U425">
        <f t="shared" si="87"/>
        <v>1</v>
      </c>
      <c r="V425">
        <f t="shared" si="88"/>
        <v>0</v>
      </c>
      <c r="W425">
        <f t="shared" si="89"/>
        <v>0</v>
      </c>
      <c r="X425">
        <f t="shared" si="90"/>
        <v>0</v>
      </c>
      <c r="Y425">
        <f t="shared" si="91"/>
        <v>0</v>
      </c>
      <c r="Z425">
        <f t="shared" si="92"/>
        <v>0</v>
      </c>
      <c r="AA425">
        <f t="shared" si="93"/>
        <v>0</v>
      </c>
    </row>
    <row r="426" spans="2:27" x14ac:dyDescent="0.3">
      <c r="B426">
        <v>419</v>
      </c>
      <c r="C426" s="1">
        <v>40962</v>
      </c>
      <c r="D426">
        <v>1</v>
      </c>
      <c r="E426">
        <v>1</v>
      </c>
      <c r="F426">
        <v>2</v>
      </c>
      <c r="G426">
        <v>4</v>
      </c>
      <c r="H426">
        <v>1</v>
      </c>
      <c r="I426">
        <v>516</v>
      </c>
      <c r="J426">
        <v>4546</v>
      </c>
      <c r="K426" s="8">
        <v>5062</v>
      </c>
      <c r="L426" s="12">
        <v>22.222300000000001</v>
      </c>
      <c r="M426" s="12">
        <v>55.458300000000001</v>
      </c>
      <c r="N426" s="12">
        <v>12.791171</v>
      </c>
      <c r="O426" s="13">
        <f t="shared" si="81"/>
        <v>0.28805992472291414</v>
      </c>
      <c r="P426" s="6">
        <f t="shared" si="82"/>
        <v>-0.18365396504367992</v>
      </c>
      <c r="Q426" s="6">
        <f t="shared" si="83"/>
        <v>-0.51507213977979616</v>
      </c>
      <c r="R426" s="6">
        <f t="shared" si="84"/>
        <v>5.5108687386882715E-3</v>
      </c>
      <c r="S426">
        <f t="shared" si="85"/>
        <v>0</v>
      </c>
      <c r="T426">
        <f t="shared" si="86"/>
        <v>0</v>
      </c>
      <c r="U426">
        <f t="shared" si="87"/>
        <v>0</v>
      </c>
      <c r="V426">
        <f t="shared" si="88"/>
        <v>1</v>
      </c>
      <c r="W426">
        <f t="shared" si="89"/>
        <v>0</v>
      </c>
      <c r="X426">
        <f t="shared" si="90"/>
        <v>0</v>
      </c>
      <c r="Y426">
        <f t="shared" si="91"/>
        <v>0</v>
      </c>
      <c r="Z426">
        <f t="shared" si="92"/>
        <v>0</v>
      </c>
      <c r="AA426">
        <f t="shared" si="93"/>
        <v>0</v>
      </c>
    </row>
    <row r="427" spans="2:27" x14ac:dyDescent="0.3">
      <c r="B427">
        <v>420</v>
      </c>
      <c r="C427" s="1">
        <v>40963</v>
      </c>
      <c r="D427">
        <v>1</v>
      </c>
      <c r="E427">
        <v>1</v>
      </c>
      <c r="F427">
        <v>2</v>
      </c>
      <c r="G427">
        <v>5</v>
      </c>
      <c r="H427">
        <v>2</v>
      </c>
      <c r="I427">
        <v>246</v>
      </c>
      <c r="J427">
        <v>3241</v>
      </c>
      <c r="K427" s="8">
        <v>3487</v>
      </c>
      <c r="L427" s="12">
        <v>20.548549999999999</v>
      </c>
      <c r="M427" s="12">
        <v>73.75</v>
      </c>
      <c r="N427" s="12">
        <v>15.916988999999999</v>
      </c>
      <c r="O427" s="13">
        <f t="shared" si="81"/>
        <v>-0.5255210587150676</v>
      </c>
      <c r="P427" s="6">
        <f t="shared" si="82"/>
        <v>-0.38921163569375927</v>
      </c>
      <c r="Q427" s="6">
        <f t="shared" si="83"/>
        <v>0.77007428737375028</v>
      </c>
      <c r="R427" s="6">
        <f t="shared" si="84"/>
        <v>0.60792669575352254</v>
      </c>
      <c r="S427">
        <f t="shared" si="85"/>
        <v>0</v>
      </c>
      <c r="T427">
        <f t="shared" si="86"/>
        <v>0</v>
      </c>
      <c r="U427">
        <f t="shared" si="87"/>
        <v>0</v>
      </c>
      <c r="V427">
        <f t="shared" si="88"/>
        <v>0</v>
      </c>
      <c r="W427">
        <f t="shared" si="89"/>
        <v>1</v>
      </c>
      <c r="X427">
        <f t="shared" si="90"/>
        <v>0</v>
      </c>
      <c r="Y427">
        <f t="shared" si="91"/>
        <v>0</v>
      </c>
      <c r="Z427">
        <f t="shared" si="92"/>
        <v>0</v>
      </c>
      <c r="AA427">
        <f t="shared" si="93"/>
        <v>0</v>
      </c>
    </row>
    <row r="428" spans="2:27" x14ac:dyDescent="0.3">
      <c r="B428">
        <v>421</v>
      </c>
      <c r="C428" s="1">
        <v>40964</v>
      </c>
      <c r="D428">
        <v>1</v>
      </c>
      <c r="E428">
        <v>1</v>
      </c>
      <c r="F428">
        <v>2</v>
      </c>
      <c r="G428">
        <v>6</v>
      </c>
      <c r="H428">
        <v>1</v>
      </c>
      <c r="I428">
        <v>317</v>
      </c>
      <c r="J428">
        <v>2415</v>
      </c>
      <c r="K428" s="8">
        <v>2732</v>
      </c>
      <c r="L428" s="12">
        <v>12.78375</v>
      </c>
      <c r="M428" s="12">
        <v>39.583300000000001</v>
      </c>
      <c r="N428" s="12">
        <v>28.250014</v>
      </c>
      <c r="O428" s="13">
        <f t="shared" si="81"/>
        <v>-0.91552337141073503</v>
      </c>
      <c r="P428" s="6">
        <f t="shared" si="82"/>
        <v>-1.3428272898020397</v>
      </c>
      <c r="Q428" s="6">
        <f t="shared" si="83"/>
        <v>-1.6304249791037821</v>
      </c>
      <c r="R428" s="6">
        <f t="shared" si="84"/>
        <v>2.9847795563390171</v>
      </c>
      <c r="S428">
        <f t="shared" si="85"/>
        <v>0</v>
      </c>
      <c r="T428">
        <f t="shared" si="86"/>
        <v>0</v>
      </c>
      <c r="U428">
        <f t="shared" si="87"/>
        <v>0</v>
      </c>
      <c r="V428">
        <f t="shared" si="88"/>
        <v>0</v>
      </c>
      <c r="W428">
        <f t="shared" si="89"/>
        <v>0</v>
      </c>
      <c r="X428">
        <f t="shared" si="90"/>
        <v>0</v>
      </c>
      <c r="Y428">
        <f t="shared" si="91"/>
        <v>0</v>
      </c>
      <c r="Z428">
        <f t="shared" si="92"/>
        <v>0</v>
      </c>
      <c r="AA428">
        <f t="shared" si="93"/>
        <v>0</v>
      </c>
    </row>
    <row r="429" spans="2:27" x14ac:dyDescent="0.3">
      <c r="B429">
        <v>422</v>
      </c>
      <c r="C429" s="1">
        <v>40965</v>
      </c>
      <c r="D429">
        <v>1</v>
      </c>
      <c r="E429">
        <v>1</v>
      </c>
      <c r="F429">
        <v>2</v>
      </c>
      <c r="G429">
        <v>0</v>
      </c>
      <c r="H429">
        <v>1</v>
      </c>
      <c r="I429">
        <v>515</v>
      </c>
      <c r="J429">
        <v>2874</v>
      </c>
      <c r="K429" s="8">
        <v>3389</v>
      </c>
      <c r="L429" s="12">
        <v>13.4154</v>
      </c>
      <c r="M429" s="12">
        <v>41</v>
      </c>
      <c r="N429" s="12">
        <v>13.750343000000001</v>
      </c>
      <c r="O429" s="13">
        <f t="shared" si="81"/>
        <v>-0.57614387546231982</v>
      </c>
      <c r="P429" s="6">
        <f t="shared" si="82"/>
        <v>-1.2652526802927806</v>
      </c>
      <c r="Q429" s="6">
        <f t="shared" si="83"/>
        <v>-1.5308898378458111</v>
      </c>
      <c r="R429" s="6">
        <f t="shared" si="84"/>
        <v>0.1903650072808149</v>
      </c>
      <c r="S429">
        <f t="shared" si="85"/>
        <v>0</v>
      </c>
      <c r="T429">
        <f t="shared" si="86"/>
        <v>0</v>
      </c>
      <c r="U429">
        <f t="shared" si="87"/>
        <v>0</v>
      </c>
      <c r="V429">
        <f t="shared" si="88"/>
        <v>0</v>
      </c>
      <c r="W429">
        <f t="shared" si="89"/>
        <v>0</v>
      </c>
      <c r="X429">
        <f t="shared" si="90"/>
        <v>0</v>
      </c>
      <c r="Y429">
        <f t="shared" si="91"/>
        <v>0</v>
      </c>
      <c r="Z429">
        <f t="shared" si="92"/>
        <v>0</v>
      </c>
      <c r="AA429">
        <f t="shared" si="93"/>
        <v>0</v>
      </c>
    </row>
    <row r="430" spans="2:27" x14ac:dyDescent="0.3">
      <c r="B430">
        <v>423</v>
      </c>
      <c r="C430" s="1">
        <v>40966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253</v>
      </c>
      <c r="J430">
        <v>4069</v>
      </c>
      <c r="K430" s="8">
        <v>4322</v>
      </c>
      <c r="L430" s="12">
        <v>17.8977</v>
      </c>
      <c r="M430" s="12">
        <v>49.083300000000001</v>
      </c>
      <c r="N430" s="12">
        <v>17.958210999999999</v>
      </c>
      <c r="O430" s="13">
        <f t="shared" si="81"/>
        <v>-9.4193997654296341E-2</v>
      </c>
      <c r="P430" s="6">
        <f t="shared" si="82"/>
        <v>-0.71476954532349013</v>
      </c>
      <c r="Q430" s="6">
        <f t="shared" si="83"/>
        <v>-0.96296973667368024</v>
      </c>
      <c r="R430" s="6">
        <f t="shared" si="84"/>
        <v>1.0013163426398333</v>
      </c>
      <c r="S430">
        <f t="shared" si="85"/>
        <v>1</v>
      </c>
      <c r="T430">
        <f t="shared" si="86"/>
        <v>0</v>
      </c>
      <c r="U430">
        <f t="shared" si="87"/>
        <v>0</v>
      </c>
      <c r="V430">
        <f t="shared" si="88"/>
        <v>0</v>
      </c>
      <c r="W430">
        <f t="shared" si="89"/>
        <v>0</v>
      </c>
      <c r="X430">
        <f t="shared" si="90"/>
        <v>0</v>
      </c>
      <c r="Y430">
        <f t="shared" si="91"/>
        <v>0</v>
      </c>
      <c r="Z430">
        <f t="shared" si="92"/>
        <v>0</v>
      </c>
      <c r="AA430">
        <f t="shared" si="93"/>
        <v>0</v>
      </c>
    </row>
    <row r="431" spans="2:27" x14ac:dyDescent="0.3">
      <c r="B431">
        <v>424</v>
      </c>
      <c r="C431" s="1">
        <v>40967</v>
      </c>
      <c r="D431">
        <v>1</v>
      </c>
      <c r="E431">
        <v>1</v>
      </c>
      <c r="F431">
        <v>2</v>
      </c>
      <c r="G431">
        <v>2</v>
      </c>
      <c r="H431">
        <v>1</v>
      </c>
      <c r="I431">
        <v>229</v>
      </c>
      <c r="J431">
        <v>4134</v>
      </c>
      <c r="K431" s="8">
        <v>4363</v>
      </c>
      <c r="L431" s="12">
        <v>17.67625</v>
      </c>
      <c r="M431" s="12">
        <v>39.583300000000001</v>
      </c>
      <c r="N431" s="12">
        <v>12.958939000000001</v>
      </c>
      <c r="O431" s="13">
        <f t="shared" si="81"/>
        <v>-7.3015064117180631E-2</v>
      </c>
      <c r="P431" s="6">
        <f t="shared" si="82"/>
        <v>-0.74196640636334676</v>
      </c>
      <c r="Q431" s="6">
        <f t="shared" si="83"/>
        <v>-1.6304249791037821</v>
      </c>
      <c r="R431" s="6">
        <f t="shared" si="84"/>
        <v>3.7843556843569971E-2</v>
      </c>
      <c r="S431">
        <f t="shared" si="85"/>
        <v>0</v>
      </c>
      <c r="T431">
        <f t="shared" si="86"/>
        <v>1</v>
      </c>
      <c r="U431">
        <f t="shared" si="87"/>
        <v>0</v>
      </c>
      <c r="V431">
        <f t="shared" si="88"/>
        <v>0</v>
      </c>
      <c r="W431">
        <f t="shared" si="89"/>
        <v>0</v>
      </c>
      <c r="X431">
        <f t="shared" si="90"/>
        <v>0</v>
      </c>
      <c r="Y431">
        <f t="shared" si="91"/>
        <v>0</v>
      </c>
      <c r="Z431">
        <f t="shared" si="92"/>
        <v>0</v>
      </c>
      <c r="AA431">
        <f t="shared" si="93"/>
        <v>0</v>
      </c>
    </row>
    <row r="432" spans="2:27" x14ac:dyDescent="0.3">
      <c r="B432">
        <v>425</v>
      </c>
      <c r="C432" s="1">
        <v>40968</v>
      </c>
      <c r="D432">
        <v>1</v>
      </c>
      <c r="E432">
        <v>1</v>
      </c>
      <c r="F432">
        <v>2</v>
      </c>
      <c r="G432">
        <v>3</v>
      </c>
      <c r="H432">
        <v>2</v>
      </c>
      <c r="I432">
        <v>65</v>
      </c>
      <c r="J432">
        <v>1769</v>
      </c>
      <c r="K432" s="8">
        <v>1834</v>
      </c>
      <c r="L432" s="12">
        <v>17.423500000000001</v>
      </c>
      <c r="M432" s="12">
        <v>80.478300000000004</v>
      </c>
      <c r="N432" s="12">
        <v>12.000838999999999</v>
      </c>
      <c r="O432" s="13">
        <f t="shared" si="81"/>
        <v>-1.3793936718090256</v>
      </c>
      <c r="P432" s="6">
        <f t="shared" si="82"/>
        <v>-0.77300730330542733</v>
      </c>
      <c r="Q432" s="6">
        <f t="shared" si="83"/>
        <v>1.2427941934413773</v>
      </c>
      <c r="R432" s="6">
        <f t="shared" si="84"/>
        <v>-0.14680398305251929</v>
      </c>
      <c r="S432">
        <f t="shared" si="85"/>
        <v>0</v>
      </c>
      <c r="T432">
        <f t="shared" si="86"/>
        <v>0</v>
      </c>
      <c r="U432">
        <f t="shared" si="87"/>
        <v>1</v>
      </c>
      <c r="V432">
        <f t="shared" si="88"/>
        <v>0</v>
      </c>
      <c r="W432">
        <f t="shared" si="89"/>
        <v>0</v>
      </c>
      <c r="X432">
        <f t="shared" si="90"/>
        <v>0</v>
      </c>
      <c r="Y432">
        <f t="shared" si="91"/>
        <v>0</v>
      </c>
      <c r="Z432">
        <f t="shared" si="92"/>
        <v>0</v>
      </c>
      <c r="AA432">
        <f t="shared" si="93"/>
        <v>0</v>
      </c>
    </row>
    <row r="433" spans="2:27" x14ac:dyDescent="0.3">
      <c r="B433">
        <v>426</v>
      </c>
      <c r="C433" s="1">
        <v>40969</v>
      </c>
      <c r="D433">
        <v>1</v>
      </c>
      <c r="E433">
        <v>1</v>
      </c>
      <c r="F433">
        <v>3</v>
      </c>
      <c r="G433">
        <v>4</v>
      </c>
      <c r="H433">
        <v>1</v>
      </c>
      <c r="I433">
        <v>325</v>
      </c>
      <c r="J433">
        <v>4665</v>
      </c>
      <c r="K433" s="8">
        <v>4990</v>
      </c>
      <c r="L433" s="12">
        <v>23.768550000000001</v>
      </c>
      <c r="M433" s="12">
        <v>61.541699999999999</v>
      </c>
      <c r="N433" s="12">
        <v>15.208129</v>
      </c>
      <c r="O433" s="13">
        <f t="shared" si="81"/>
        <v>0.2508676511943207</v>
      </c>
      <c r="P433" s="6">
        <f t="shared" si="82"/>
        <v>6.245092905646437E-3</v>
      </c>
      <c r="Q433" s="6">
        <f t="shared" si="83"/>
        <v>-8.7661905906187818E-2</v>
      </c>
      <c r="R433" s="6">
        <f t="shared" si="84"/>
        <v>0.47131334106117145</v>
      </c>
      <c r="S433">
        <f t="shared" si="85"/>
        <v>0</v>
      </c>
      <c r="T433">
        <f t="shared" si="86"/>
        <v>0</v>
      </c>
      <c r="U433">
        <f t="shared" si="87"/>
        <v>0</v>
      </c>
      <c r="V433">
        <f t="shared" si="88"/>
        <v>1</v>
      </c>
      <c r="W433">
        <f t="shared" si="89"/>
        <v>0</v>
      </c>
      <c r="X433">
        <f t="shared" si="90"/>
        <v>0</v>
      </c>
      <c r="Y433">
        <f t="shared" si="91"/>
        <v>0</v>
      </c>
      <c r="Z433">
        <f t="shared" si="92"/>
        <v>0</v>
      </c>
      <c r="AA433">
        <f t="shared" si="93"/>
        <v>0</v>
      </c>
    </row>
    <row r="434" spans="2:27" x14ac:dyDescent="0.3">
      <c r="B434">
        <v>427</v>
      </c>
      <c r="C434" s="1">
        <v>40970</v>
      </c>
      <c r="D434">
        <v>1</v>
      </c>
      <c r="E434">
        <v>1</v>
      </c>
      <c r="F434">
        <v>3</v>
      </c>
      <c r="G434">
        <v>5</v>
      </c>
      <c r="H434">
        <v>2</v>
      </c>
      <c r="I434">
        <v>246</v>
      </c>
      <c r="J434">
        <v>2948</v>
      </c>
      <c r="K434" s="8">
        <v>3194</v>
      </c>
      <c r="L434" s="12">
        <v>17.992100000000001</v>
      </c>
      <c r="M434" s="12">
        <v>65.708299999999994</v>
      </c>
      <c r="N434" s="12">
        <v>9.7085679999999996</v>
      </c>
      <c r="O434" s="13">
        <f t="shared" si="81"/>
        <v>-0.67687294960226041</v>
      </c>
      <c r="P434" s="6">
        <f t="shared" si="82"/>
        <v>-0.70317603129250128</v>
      </c>
      <c r="Q434" s="6">
        <f t="shared" si="83"/>
        <v>0.20507693757899734</v>
      </c>
      <c r="R434" s="6">
        <f t="shared" si="84"/>
        <v>-0.5885764503577563</v>
      </c>
      <c r="S434">
        <f t="shared" si="85"/>
        <v>0</v>
      </c>
      <c r="T434">
        <f t="shared" si="86"/>
        <v>0</v>
      </c>
      <c r="U434">
        <f t="shared" si="87"/>
        <v>0</v>
      </c>
      <c r="V434">
        <f t="shared" si="88"/>
        <v>0</v>
      </c>
      <c r="W434">
        <f t="shared" si="89"/>
        <v>1</v>
      </c>
      <c r="X434">
        <f t="shared" si="90"/>
        <v>0</v>
      </c>
      <c r="Y434">
        <f t="shared" si="91"/>
        <v>0</v>
      </c>
      <c r="Z434">
        <f t="shared" si="92"/>
        <v>0</v>
      </c>
      <c r="AA434">
        <f t="shared" si="93"/>
        <v>0</v>
      </c>
    </row>
    <row r="435" spans="2:27" x14ac:dyDescent="0.3">
      <c r="B435">
        <v>428</v>
      </c>
      <c r="C435" s="1">
        <v>40971</v>
      </c>
      <c r="D435">
        <v>1</v>
      </c>
      <c r="E435">
        <v>1</v>
      </c>
      <c r="F435">
        <v>3</v>
      </c>
      <c r="G435">
        <v>6</v>
      </c>
      <c r="H435">
        <v>2</v>
      </c>
      <c r="I435">
        <v>956</v>
      </c>
      <c r="J435">
        <v>3110</v>
      </c>
      <c r="K435" s="8">
        <v>4066</v>
      </c>
      <c r="L435" s="12">
        <v>20.674600000000002</v>
      </c>
      <c r="M435" s="12">
        <v>62.125</v>
      </c>
      <c r="N435" s="12">
        <v>10.792293000000001</v>
      </c>
      <c r="O435" s="13">
        <f t="shared" si="81"/>
        <v>-0.2264331924226286</v>
      </c>
      <c r="P435" s="6">
        <f t="shared" si="82"/>
        <v>-0.37373110133352444</v>
      </c>
      <c r="Q435" s="6">
        <f t="shared" si="83"/>
        <v>-4.6680154020979484E-2</v>
      </c>
      <c r="R435" s="6">
        <f t="shared" si="84"/>
        <v>-0.37971813162913798</v>
      </c>
      <c r="S435">
        <f t="shared" si="85"/>
        <v>0</v>
      </c>
      <c r="T435">
        <f t="shared" si="86"/>
        <v>0</v>
      </c>
      <c r="U435">
        <f t="shared" si="87"/>
        <v>0</v>
      </c>
      <c r="V435">
        <f t="shared" si="88"/>
        <v>0</v>
      </c>
      <c r="W435">
        <f t="shared" si="89"/>
        <v>0</v>
      </c>
      <c r="X435">
        <f t="shared" si="90"/>
        <v>0</v>
      </c>
      <c r="Y435">
        <f t="shared" si="91"/>
        <v>0</v>
      </c>
      <c r="Z435">
        <f t="shared" si="92"/>
        <v>0</v>
      </c>
      <c r="AA435">
        <f t="shared" si="93"/>
        <v>0</v>
      </c>
    </row>
    <row r="436" spans="2:27" x14ac:dyDescent="0.3">
      <c r="B436">
        <v>429</v>
      </c>
      <c r="C436" s="1">
        <v>40972</v>
      </c>
      <c r="D436">
        <v>1</v>
      </c>
      <c r="E436">
        <v>1</v>
      </c>
      <c r="F436">
        <v>3</v>
      </c>
      <c r="G436">
        <v>0</v>
      </c>
      <c r="H436">
        <v>1</v>
      </c>
      <c r="I436">
        <v>710</v>
      </c>
      <c r="J436">
        <v>2713</v>
      </c>
      <c r="K436" s="8">
        <v>3423</v>
      </c>
      <c r="L436" s="12">
        <v>15.15105</v>
      </c>
      <c r="M436" s="12">
        <v>40.333300000000001</v>
      </c>
      <c r="N436" s="12">
        <v>22.416257000000002</v>
      </c>
      <c r="O436" s="13">
        <f t="shared" si="81"/>
        <v>-0.55858085740715069</v>
      </c>
      <c r="P436" s="6">
        <f t="shared" si="82"/>
        <v>-1.0520929066922966</v>
      </c>
      <c r="Q436" s="6">
        <f t="shared" si="83"/>
        <v>-1.5777311441750899</v>
      </c>
      <c r="R436" s="6">
        <f t="shared" si="84"/>
        <v>1.8604826370178733</v>
      </c>
      <c r="S436">
        <f t="shared" si="85"/>
        <v>0</v>
      </c>
      <c r="T436">
        <f t="shared" si="86"/>
        <v>0</v>
      </c>
      <c r="U436">
        <f t="shared" si="87"/>
        <v>0</v>
      </c>
      <c r="V436">
        <f t="shared" si="88"/>
        <v>0</v>
      </c>
      <c r="W436">
        <f t="shared" si="89"/>
        <v>0</v>
      </c>
      <c r="X436">
        <f t="shared" si="90"/>
        <v>0</v>
      </c>
      <c r="Y436">
        <f t="shared" si="91"/>
        <v>0</v>
      </c>
      <c r="Z436">
        <f t="shared" si="92"/>
        <v>0</v>
      </c>
      <c r="AA436">
        <f t="shared" si="93"/>
        <v>0</v>
      </c>
    </row>
    <row r="437" spans="2:27" x14ac:dyDescent="0.3">
      <c r="B437">
        <v>430</v>
      </c>
      <c r="C437" s="1">
        <v>40973</v>
      </c>
      <c r="D437">
        <v>1</v>
      </c>
      <c r="E437">
        <v>1</v>
      </c>
      <c r="F437">
        <v>3</v>
      </c>
      <c r="G437">
        <v>1</v>
      </c>
      <c r="H437">
        <v>1</v>
      </c>
      <c r="I437">
        <v>203</v>
      </c>
      <c r="J437">
        <v>3130</v>
      </c>
      <c r="K437" s="8">
        <v>3333</v>
      </c>
      <c r="L437" s="12">
        <v>12.05855</v>
      </c>
      <c r="M437" s="12">
        <v>50.625</v>
      </c>
      <c r="N437" s="12">
        <v>15.333486000000001</v>
      </c>
      <c r="O437" s="13">
        <f t="shared" si="81"/>
        <v>-0.60507119931789255</v>
      </c>
      <c r="P437" s="6">
        <f t="shared" si="82"/>
        <v>-1.4318910225909491</v>
      </c>
      <c r="Q437" s="6">
        <f t="shared" si="83"/>
        <v>-0.85465228959426054</v>
      </c>
      <c r="R437" s="6">
        <f t="shared" si="84"/>
        <v>0.49547247023219143</v>
      </c>
      <c r="S437">
        <f t="shared" si="85"/>
        <v>1</v>
      </c>
      <c r="T437">
        <f t="shared" si="86"/>
        <v>0</v>
      </c>
      <c r="U437">
        <f t="shared" si="87"/>
        <v>0</v>
      </c>
      <c r="V437">
        <f t="shared" si="88"/>
        <v>0</v>
      </c>
      <c r="W437">
        <f t="shared" si="89"/>
        <v>0</v>
      </c>
      <c r="X437">
        <f t="shared" si="90"/>
        <v>0</v>
      </c>
      <c r="Y437">
        <f t="shared" si="91"/>
        <v>0</v>
      </c>
      <c r="Z437">
        <f t="shared" si="92"/>
        <v>0</v>
      </c>
      <c r="AA437">
        <f t="shared" si="93"/>
        <v>0</v>
      </c>
    </row>
    <row r="438" spans="2:27" x14ac:dyDescent="0.3">
      <c r="B438">
        <v>431</v>
      </c>
      <c r="C438" s="1">
        <v>40974</v>
      </c>
      <c r="D438">
        <v>1</v>
      </c>
      <c r="E438">
        <v>1</v>
      </c>
      <c r="F438">
        <v>3</v>
      </c>
      <c r="G438">
        <v>2</v>
      </c>
      <c r="H438">
        <v>1</v>
      </c>
      <c r="I438">
        <v>221</v>
      </c>
      <c r="J438">
        <v>3735</v>
      </c>
      <c r="K438" s="8">
        <v>3956</v>
      </c>
      <c r="L438" s="12">
        <v>12.7521</v>
      </c>
      <c r="M438" s="12">
        <v>45.666699999999999</v>
      </c>
      <c r="N438" s="12">
        <v>13.458625</v>
      </c>
      <c r="O438" s="13">
        <f t="shared" si="81"/>
        <v>-0.28325472142464642</v>
      </c>
      <c r="P438" s="6">
        <f t="shared" si="82"/>
        <v>-1.3467143101312853</v>
      </c>
      <c r="Q438" s="6">
        <f t="shared" si="83"/>
        <v>-1.2030147452301736</v>
      </c>
      <c r="R438" s="6">
        <f t="shared" si="84"/>
        <v>0.13414435072783765</v>
      </c>
      <c r="S438">
        <f t="shared" si="85"/>
        <v>0</v>
      </c>
      <c r="T438">
        <f t="shared" si="86"/>
        <v>1</v>
      </c>
      <c r="U438">
        <f t="shared" si="87"/>
        <v>0</v>
      </c>
      <c r="V438">
        <f t="shared" si="88"/>
        <v>0</v>
      </c>
      <c r="W438">
        <f t="shared" si="89"/>
        <v>0</v>
      </c>
      <c r="X438">
        <f t="shared" si="90"/>
        <v>0</v>
      </c>
      <c r="Y438">
        <f t="shared" si="91"/>
        <v>0</v>
      </c>
      <c r="Z438">
        <f t="shared" si="92"/>
        <v>0</v>
      </c>
      <c r="AA438">
        <f t="shared" si="93"/>
        <v>0</v>
      </c>
    </row>
    <row r="439" spans="2:27" x14ac:dyDescent="0.3">
      <c r="B439">
        <v>432</v>
      </c>
      <c r="C439" s="1">
        <v>40975</v>
      </c>
      <c r="D439">
        <v>1</v>
      </c>
      <c r="E439">
        <v>1</v>
      </c>
      <c r="F439">
        <v>3</v>
      </c>
      <c r="G439">
        <v>3</v>
      </c>
      <c r="H439">
        <v>1</v>
      </c>
      <c r="I439">
        <v>432</v>
      </c>
      <c r="J439">
        <v>4484</v>
      </c>
      <c r="K439" s="8">
        <v>4916</v>
      </c>
      <c r="L439" s="12">
        <v>19.254999999999999</v>
      </c>
      <c r="M439" s="12">
        <v>51.333300000000001</v>
      </c>
      <c r="N439" s="12">
        <v>23.167193000000001</v>
      </c>
      <c r="O439" s="13">
        <f t="shared" si="81"/>
        <v>0.21264225895659963</v>
      </c>
      <c r="P439" s="6">
        <f t="shared" si="82"/>
        <v>-0.54807593733343651</v>
      </c>
      <c r="Q439" s="6">
        <f t="shared" si="83"/>
        <v>-0.8048882318876035</v>
      </c>
      <c r="R439" s="6">
        <f t="shared" si="84"/>
        <v>2.0052049885671996</v>
      </c>
      <c r="S439">
        <f t="shared" si="85"/>
        <v>0</v>
      </c>
      <c r="T439">
        <f t="shared" si="86"/>
        <v>0</v>
      </c>
      <c r="U439">
        <f t="shared" si="87"/>
        <v>1</v>
      </c>
      <c r="V439">
        <f t="shared" si="88"/>
        <v>0</v>
      </c>
      <c r="W439">
        <f t="shared" si="89"/>
        <v>0</v>
      </c>
      <c r="X439">
        <f t="shared" si="90"/>
        <v>0</v>
      </c>
      <c r="Y439">
        <f t="shared" si="91"/>
        <v>0</v>
      </c>
      <c r="Z439">
        <f t="shared" si="92"/>
        <v>0</v>
      </c>
      <c r="AA439">
        <f t="shared" si="93"/>
        <v>0</v>
      </c>
    </row>
    <row r="440" spans="2:27" x14ac:dyDescent="0.3">
      <c r="B440">
        <v>433</v>
      </c>
      <c r="C440" s="1">
        <v>40976</v>
      </c>
      <c r="D440">
        <v>1</v>
      </c>
      <c r="E440">
        <v>1</v>
      </c>
      <c r="F440">
        <v>3</v>
      </c>
      <c r="G440">
        <v>4</v>
      </c>
      <c r="H440">
        <v>1</v>
      </c>
      <c r="I440">
        <v>486</v>
      </c>
      <c r="J440">
        <v>4896</v>
      </c>
      <c r="K440" s="8">
        <v>5382</v>
      </c>
      <c r="L440" s="12">
        <v>26.2302</v>
      </c>
      <c r="M440" s="12">
        <v>56.75</v>
      </c>
      <c r="N440" s="12">
        <v>29.584720999999998</v>
      </c>
      <c r="O440" s="13">
        <f t="shared" si="81"/>
        <v>0.45335891818332946</v>
      </c>
      <c r="P440" s="6">
        <f t="shared" si="82"/>
        <v>0.30856684941394641</v>
      </c>
      <c r="Q440" s="6">
        <f t="shared" si="83"/>
        <v>-0.42431930434327392</v>
      </c>
      <c r="R440" s="6">
        <f t="shared" si="84"/>
        <v>3.2420077830711835</v>
      </c>
      <c r="S440">
        <f t="shared" si="85"/>
        <v>0</v>
      </c>
      <c r="T440">
        <f t="shared" si="86"/>
        <v>0</v>
      </c>
      <c r="U440">
        <f t="shared" si="87"/>
        <v>0</v>
      </c>
      <c r="V440">
        <f t="shared" si="88"/>
        <v>1</v>
      </c>
      <c r="W440">
        <f t="shared" si="89"/>
        <v>0</v>
      </c>
      <c r="X440">
        <f t="shared" si="90"/>
        <v>0</v>
      </c>
      <c r="Y440">
        <f t="shared" si="91"/>
        <v>0</v>
      </c>
      <c r="Z440">
        <f t="shared" si="92"/>
        <v>0</v>
      </c>
      <c r="AA440">
        <f t="shared" si="93"/>
        <v>0</v>
      </c>
    </row>
    <row r="441" spans="2:27" x14ac:dyDescent="0.3">
      <c r="B441">
        <v>434</v>
      </c>
      <c r="C441" s="1">
        <v>40977</v>
      </c>
      <c r="D441">
        <v>1</v>
      </c>
      <c r="E441">
        <v>1</v>
      </c>
      <c r="F441">
        <v>3</v>
      </c>
      <c r="G441">
        <v>5</v>
      </c>
      <c r="H441">
        <v>2</v>
      </c>
      <c r="I441">
        <v>447</v>
      </c>
      <c r="J441">
        <v>4122</v>
      </c>
      <c r="K441" s="8">
        <v>4569</v>
      </c>
      <c r="L441" s="12">
        <v>19.854150000000001</v>
      </c>
      <c r="M441" s="12">
        <v>40.708300000000001</v>
      </c>
      <c r="N441" s="12">
        <v>27.791599999999999</v>
      </c>
      <c r="O441" s="13">
        <f t="shared" si="81"/>
        <v>3.3396162922961742E-2</v>
      </c>
      <c r="P441" s="6">
        <f t="shared" si="82"/>
        <v>-0.47449273890476124</v>
      </c>
      <c r="Q441" s="6">
        <f t="shared" si="83"/>
        <v>-1.5513842267107436</v>
      </c>
      <c r="R441" s="6">
        <f t="shared" si="84"/>
        <v>2.8964328103271959</v>
      </c>
      <c r="S441">
        <f t="shared" si="85"/>
        <v>0</v>
      </c>
      <c r="T441">
        <f t="shared" si="86"/>
        <v>0</v>
      </c>
      <c r="U441">
        <f t="shared" si="87"/>
        <v>0</v>
      </c>
      <c r="V441">
        <f t="shared" si="88"/>
        <v>0</v>
      </c>
      <c r="W441">
        <f t="shared" si="89"/>
        <v>1</v>
      </c>
      <c r="X441">
        <f t="shared" si="90"/>
        <v>0</v>
      </c>
      <c r="Y441">
        <f t="shared" si="91"/>
        <v>0</v>
      </c>
      <c r="Z441">
        <f t="shared" si="92"/>
        <v>0</v>
      </c>
      <c r="AA441">
        <f t="shared" si="93"/>
        <v>0</v>
      </c>
    </row>
    <row r="442" spans="2:27" x14ac:dyDescent="0.3">
      <c r="B442">
        <v>435</v>
      </c>
      <c r="C442" s="1">
        <v>40978</v>
      </c>
      <c r="D442">
        <v>1</v>
      </c>
      <c r="E442">
        <v>1</v>
      </c>
      <c r="F442">
        <v>3</v>
      </c>
      <c r="G442">
        <v>6</v>
      </c>
      <c r="H442">
        <v>1</v>
      </c>
      <c r="I442">
        <v>968</v>
      </c>
      <c r="J442">
        <v>3150</v>
      </c>
      <c r="K442" s="8">
        <v>4118</v>
      </c>
      <c r="L442" s="12">
        <v>13.888350000000001</v>
      </c>
      <c r="M442" s="12">
        <v>35.041699999999999</v>
      </c>
      <c r="N442" s="12">
        <v>15.125249999999999</v>
      </c>
      <c r="O442" s="13">
        <f t="shared" si="81"/>
        <v>-0.19957210598531114</v>
      </c>
      <c r="P442" s="6">
        <f t="shared" si="82"/>
        <v>-1.2071684381216348</v>
      </c>
      <c r="Q442" s="6">
        <f t="shared" si="83"/>
        <v>-1.9495107400533138</v>
      </c>
      <c r="R442" s="6">
        <f t="shared" si="84"/>
        <v>0.45534068323939086</v>
      </c>
      <c r="S442">
        <f t="shared" si="85"/>
        <v>0</v>
      </c>
      <c r="T442">
        <f t="shared" si="86"/>
        <v>0</v>
      </c>
      <c r="U442">
        <f t="shared" si="87"/>
        <v>0</v>
      </c>
      <c r="V442">
        <f t="shared" si="88"/>
        <v>0</v>
      </c>
      <c r="W442">
        <f t="shared" si="89"/>
        <v>0</v>
      </c>
      <c r="X442">
        <f t="shared" si="90"/>
        <v>0</v>
      </c>
      <c r="Y442">
        <f t="shared" si="91"/>
        <v>0</v>
      </c>
      <c r="Z442">
        <f t="shared" si="92"/>
        <v>0</v>
      </c>
      <c r="AA442">
        <f t="shared" si="93"/>
        <v>0</v>
      </c>
    </row>
    <row r="443" spans="2:27" x14ac:dyDescent="0.3">
      <c r="B443">
        <v>436</v>
      </c>
      <c r="C443" s="1">
        <v>40979</v>
      </c>
      <c r="D443">
        <v>1</v>
      </c>
      <c r="E443">
        <v>1</v>
      </c>
      <c r="F443">
        <v>3</v>
      </c>
      <c r="G443">
        <v>0</v>
      </c>
      <c r="H443">
        <v>1</v>
      </c>
      <c r="I443">
        <v>1658</v>
      </c>
      <c r="J443">
        <v>3253</v>
      </c>
      <c r="K443" s="8">
        <v>4911</v>
      </c>
      <c r="L443" s="12">
        <v>17.983499999999999</v>
      </c>
      <c r="M443" s="12">
        <v>47.695700000000002</v>
      </c>
      <c r="N443" s="12">
        <v>14.913328999999999</v>
      </c>
      <c r="O443" s="13">
        <f t="shared" si="81"/>
        <v>0.21005946218378063</v>
      </c>
      <c r="P443" s="6">
        <f t="shared" si="82"/>
        <v>-0.70423222007074826</v>
      </c>
      <c r="Q443" s="6">
        <f t="shared" si="83"/>
        <v>-1.060460357136418</v>
      </c>
      <c r="R443" s="6">
        <f t="shared" si="84"/>
        <v>0.41449871340083633</v>
      </c>
      <c r="S443">
        <f t="shared" si="85"/>
        <v>0</v>
      </c>
      <c r="T443">
        <f t="shared" si="86"/>
        <v>0</v>
      </c>
      <c r="U443">
        <f t="shared" si="87"/>
        <v>0</v>
      </c>
      <c r="V443">
        <f t="shared" si="88"/>
        <v>0</v>
      </c>
      <c r="W443">
        <f t="shared" si="89"/>
        <v>0</v>
      </c>
      <c r="X443">
        <f t="shared" si="90"/>
        <v>0</v>
      </c>
      <c r="Y443">
        <f t="shared" si="91"/>
        <v>0</v>
      </c>
      <c r="Z443">
        <f t="shared" si="92"/>
        <v>0</v>
      </c>
      <c r="AA443">
        <f t="shared" si="93"/>
        <v>0</v>
      </c>
    </row>
    <row r="444" spans="2:27" x14ac:dyDescent="0.3">
      <c r="B444">
        <v>437</v>
      </c>
      <c r="C444" s="1">
        <v>40980</v>
      </c>
      <c r="D444">
        <v>1</v>
      </c>
      <c r="E444">
        <v>1</v>
      </c>
      <c r="F444">
        <v>3</v>
      </c>
      <c r="G444">
        <v>1</v>
      </c>
      <c r="H444">
        <v>1</v>
      </c>
      <c r="I444">
        <v>838</v>
      </c>
      <c r="J444">
        <v>4460</v>
      </c>
      <c r="K444" s="8">
        <v>5298</v>
      </c>
      <c r="L444" s="12">
        <v>22.979600000000001</v>
      </c>
      <c r="M444" s="12">
        <v>48.916699999999999</v>
      </c>
      <c r="N444" s="12">
        <v>13.916771000000001</v>
      </c>
      <c r="O444" s="13">
        <f t="shared" si="81"/>
        <v>0.40996793239997043</v>
      </c>
      <c r="P444" s="6">
        <f t="shared" si="82"/>
        <v>-9.0647946233639531E-2</v>
      </c>
      <c r="Q444" s="6">
        <f t="shared" si="83"/>
        <v>-0.97467479387250733</v>
      </c>
      <c r="R444" s="6">
        <f t="shared" si="84"/>
        <v>0.22243944707814947</v>
      </c>
      <c r="S444">
        <f t="shared" si="85"/>
        <v>1</v>
      </c>
      <c r="T444">
        <f t="shared" si="86"/>
        <v>0</v>
      </c>
      <c r="U444">
        <f t="shared" si="87"/>
        <v>0</v>
      </c>
      <c r="V444">
        <f t="shared" si="88"/>
        <v>0</v>
      </c>
      <c r="W444">
        <f t="shared" si="89"/>
        <v>0</v>
      </c>
      <c r="X444">
        <f t="shared" si="90"/>
        <v>0</v>
      </c>
      <c r="Y444">
        <f t="shared" si="91"/>
        <v>0</v>
      </c>
      <c r="Z444">
        <f t="shared" si="92"/>
        <v>0</v>
      </c>
      <c r="AA444">
        <f t="shared" si="93"/>
        <v>0</v>
      </c>
    </row>
    <row r="445" spans="2:27" x14ac:dyDescent="0.3">
      <c r="B445">
        <v>438</v>
      </c>
      <c r="C445" s="1">
        <v>40981</v>
      </c>
      <c r="D445">
        <v>1</v>
      </c>
      <c r="E445">
        <v>1</v>
      </c>
      <c r="F445">
        <v>3</v>
      </c>
      <c r="G445">
        <v>2</v>
      </c>
      <c r="H445">
        <v>1</v>
      </c>
      <c r="I445">
        <v>762</v>
      </c>
      <c r="J445">
        <v>5085</v>
      </c>
      <c r="K445" s="8">
        <v>5847</v>
      </c>
      <c r="L445" s="12">
        <v>27.146450000000002</v>
      </c>
      <c r="M445" s="12">
        <v>61.75</v>
      </c>
      <c r="N445" s="12">
        <v>15.87565</v>
      </c>
      <c r="O445" s="13">
        <f t="shared" si="81"/>
        <v>0.69355901805549547</v>
      </c>
      <c r="P445" s="6">
        <f t="shared" si="82"/>
        <v>0.42109393872425877</v>
      </c>
      <c r="Q445" s="6">
        <f t="shared" si="83"/>
        <v>-7.3027071485325612E-2</v>
      </c>
      <c r="R445" s="6">
        <f t="shared" si="84"/>
        <v>0.59995973546569847</v>
      </c>
      <c r="S445">
        <f t="shared" si="85"/>
        <v>0</v>
      </c>
      <c r="T445">
        <f t="shared" si="86"/>
        <v>1</v>
      </c>
      <c r="U445">
        <f t="shared" si="87"/>
        <v>0</v>
      </c>
      <c r="V445">
        <f t="shared" si="88"/>
        <v>0</v>
      </c>
      <c r="W445">
        <f t="shared" si="89"/>
        <v>0</v>
      </c>
      <c r="X445">
        <f t="shared" si="90"/>
        <v>0</v>
      </c>
      <c r="Y445">
        <f t="shared" si="91"/>
        <v>0</v>
      </c>
      <c r="Z445">
        <f t="shared" si="92"/>
        <v>0</v>
      </c>
      <c r="AA445">
        <f t="shared" si="93"/>
        <v>0</v>
      </c>
    </row>
    <row r="446" spans="2:27" x14ac:dyDescent="0.3">
      <c r="B446">
        <v>439</v>
      </c>
      <c r="C446" s="1">
        <v>40982</v>
      </c>
      <c r="D446">
        <v>1</v>
      </c>
      <c r="E446">
        <v>1</v>
      </c>
      <c r="F446">
        <v>3</v>
      </c>
      <c r="G446">
        <v>3</v>
      </c>
      <c r="H446">
        <v>1</v>
      </c>
      <c r="I446">
        <v>997</v>
      </c>
      <c r="J446">
        <v>5315</v>
      </c>
      <c r="K446" s="8">
        <v>6312</v>
      </c>
      <c r="L446" s="12">
        <v>27.43085</v>
      </c>
      <c r="M446" s="12">
        <v>50.708300000000001</v>
      </c>
      <c r="N446" s="12">
        <v>7.7091539999999998</v>
      </c>
      <c r="O446" s="13">
        <f t="shared" si="81"/>
        <v>0.93375911792766153</v>
      </c>
      <c r="P446" s="6">
        <f t="shared" si="82"/>
        <v>0.45602185599558487</v>
      </c>
      <c r="Q446" s="6">
        <f t="shared" si="83"/>
        <v>-0.84879976099484711</v>
      </c>
      <c r="R446" s="6">
        <f t="shared" si="84"/>
        <v>-0.97390875004860145</v>
      </c>
      <c r="S446">
        <f t="shared" si="85"/>
        <v>0</v>
      </c>
      <c r="T446">
        <f t="shared" si="86"/>
        <v>0</v>
      </c>
      <c r="U446">
        <f t="shared" si="87"/>
        <v>1</v>
      </c>
      <c r="V446">
        <f t="shared" si="88"/>
        <v>0</v>
      </c>
      <c r="W446">
        <f t="shared" si="89"/>
        <v>0</v>
      </c>
      <c r="X446">
        <f t="shared" si="90"/>
        <v>0</v>
      </c>
      <c r="Y446">
        <f t="shared" si="91"/>
        <v>0</v>
      </c>
      <c r="Z446">
        <f t="shared" si="92"/>
        <v>0</v>
      </c>
      <c r="AA446">
        <f t="shared" si="93"/>
        <v>0</v>
      </c>
    </row>
    <row r="447" spans="2:27" x14ac:dyDescent="0.3">
      <c r="B447">
        <v>440</v>
      </c>
      <c r="C447" s="1">
        <v>40983</v>
      </c>
      <c r="D447">
        <v>1</v>
      </c>
      <c r="E447">
        <v>1</v>
      </c>
      <c r="F447">
        <v>3</v>
      </c>
      <c r="G447">
        <v>4</v>
      </c>
      <c r="H447">
        <v>1</v>
      </c>
      <c r="I447">
        <v>1005</v>
      </c>
      <c r="J447">
        <v>5187</v>
      </c>
      <c r="K447" s="8">
        <v>6192</v>
      </c>
      <c r="L447" s="12">
        <v>26.641249999999999</v>
      </c>
      <c r="M447" s="12">
        <v>57.958300000000001</v>
      </c>
      <c r="N447" s="12">
        <v>10.042161</v>
      </c>
      <c r="O447" s="13">
        <f t="shared" si="81"/>
        <v>0.87177199538000583</v>
      </c>
      <c r="P447" s="6">
        <f t="shared" si="82"/>
        <v>0.35904898863468721</v>
      </c>
      <c r="Q447" s="6">
        <f t="shared" si="83"/>
        <v>-0.33942602335082206</v>
      </c>
      <c r="R447" s="6">
        <f t="shared" si="84"/>
        <v>-0.52428553419393609</v>
      </c>
      <c r="S447">
        <f t="shared" si="85"/>
        <v>0</v>
      </c>
      <c r="T447">
        <f t="shared" si="86"/>
        <v>0</v>
      </c>
      <c r="U447">
        <f t="shared" si="87"/>
        <v>0</v>
      </c>
      <c r="V447">
        <f t="shared" si="88"/>
        <v>1</v>
      </c>
      <c r="W447">
        <f t="shared" si="89"/>
        <v>0</v>
      </c>
      <c r="X447">
        <f t="shared" si="90"/>
        <v>0</v>
      </c>
      <c r="Y447">
        <f t="shared" si="91"/>
        <v>0</v>
      </c>
      <c r="Z447">
        <f t="shared" si="92"/>
        <v>0</v>
      </c>
      <c r="AA447">
        <f t="shared" si="93"/>
        <v>0</v>
      </c>
    </row>
    <row r="448" spans="2:27" x14ac:dyDescent="0.3">
      <c r="B448">
        <v>441</v>
      </c>
      <c r="C448" s="1">
        <v>40984</v>
      </c>
      <c r="D448">
        <v>1</v>
      </c>
      <c r="E448">
        <v>1</v>
      </c>
      <c r="F448">
        <v>3</v>
      </c>
      <c r="G448">
        <v>5</v>
      </c>
      <c r="H448">
        <v>2</v>
      </c>
      <c r="I448">
        <v>548</v>
      </c>
      <c r="J448">
        <v>3830</v>
      </c>
      <c r="K448" s="8">
        <v>4378</v>
      </c>
      <c r="L448" s="12">
        <v>21.811450000000001</v>
      </c>
      <c r="M448" s="12">
        <v>84.208299999999994</v>
      </c>
      <c r="N448" s="12">
        <v>7.5838640000000002</v>
      </c>
      <c r="O448" s="13">
        <f t="shared" si="81"/>
        <v>-6.5266673798723668E-2</v>
      </c>
      <c r="P448" s="6">
        <f t="shared" si="82"/>
        <v>-0.23411154173469412</v>
      </c>
      <c r="Q448" s="6">
        <f t="shared" si="83"/>
        <v>1.504858199153406</v>
      </c>
      <c r="R448" s="6">
        <f t="shared" si="84"/>
        <v>-0.99805496680424377</v>
      </c>
      <c r="S448">
        <f t="shared" si="85"/>
        <v>0</v>
      </c>
      <c r="T448">
        <f t="shared" si="86"/>
        <v>0</v>
      </c>
      <c r="U448">
        <f t="shared" si="87"/>
        <v>0</v>
      </c>
      <c r="V448">
        <f t="shared" si="88"/>
        <v>0</v>
      </c>
      <c r="W448">
        <f t="shared" si="89"/>
        <v>1</v>
      </c>
      <c r="X448">
        <f t="shared" si="90"/>
        <v>0</v>
      </c>
      <c r="Y448">
        <f t="shared" si="91"/>
        <v>0</v>
      </c>
      <c r="Z448">
        <f t="shared" si="92"/>
        <v>0</v>
      </c>
      <c r="AA448">
        <f t="shared" si="93"/>
        <v>0</v>
      </c>
    </row>
    <row r="449" spans="2:27" x14ac:dyDescent="0.3">
      <c r="B449">
        <v>442</v>
      </c>
      <c r="C449" s="1">
        <v>40985</v>
      </c>
      <c r="D449">
        <v>1</v>
      </c>
      <c r="E449">
        <v>1</v>
      </c>
      <c r="F449">
        <v>3</v>
      </c>
      <c r="G449">
        <v>6</v>
      </c>
      <c r="H449">
        <v>2</v>
      </c>
      <c r="I449">
        <v>3155</v>
      </c>
      <c r="J449">
        <v>4681</v>
      </c>
      <c r="K449" s="8">
        <v>7836</v>
      </c>
      <c r="L449" s="12">
        <v>25.252300000000002</v>
      </c>
      <c r="M449" s="12">
        <v>75.583299999999994</v>
      </c>
      <c r="N449" s="12">
        <v>7.4171680000000002</v>
      </c>
      <c r="O449" s="13">
        <f t="shared" si="81"/>
        <v>1.7209955742828895</v>
      </c>
      <c r="P449" s="6">
        <f t="shared" si="82"/>
        <v>0.18846836031538805</v>
      </c>
      <c r="Q449" s="6">
        <f t="shared" si="83"/>
        <v>0.89887909747344519</v>
      </c>
      <c r="R449" s="6">
        <f t="shared" si="84"/>
        <v>-1.0301810562630878</v>
      </c>
      <c r="S449">
        <f t="shared" si="85"/>
        <v>0</v>
      </c>
      <c r="T449">
        <f t="shared" si="86"/>
        <v>0</v>
      </c>
      <c r="U449">
        <f t="shared" si="87"/>
        <v>0</v>
      </c>
      <c r="V449">
        <f t="shared" si="88"/>
        <v>0</v>
      </c>
      <c r="W449">
        <f t="shared" si="89"/>
        <v>0</v>
      </c>
      <c r="X449">
        <f t="shared" si="90"/>
        <v>0</v>
      </c>
      <c r="Y449">
        <f t="shared" si="91"/>
        <v>0</v>
      </c>
      <c r="Z449">
        <f t="shared" si="92"/>
        <v>0</v>
      </c>
      <c r="AA449">
        <f t="shared" si="93"/>
        <v>0</v>
      </c>
    </row>
    <row r="450" spans="2:27" x14ac:dyDescent="0.3">
      <c r="B450">
        <v>443</v>
      </c>
      <c r="C450" s="1">
        <v>40986</v>
      </c>
      <c r="D450">
        <v>1</v>
      </c>
      <c r="E450">
        <v>1</v>
      </c>
      <c r="F450">
        <v>3</v>
      </c>
      <c r="G450">
        <v>0</v>
      </c>
      <c r="H450">
        <v>2</v>
      </c>
      <c r="I450">
        <v>2207</v>
      </c>
      <c r="J450">
        <v>3685</v>
      </c>
      <c r="K450" s="8">
        <v>5892</v>
      </c>
      <c r="L450" s="12">
        <v>23.2</v>
      </c>
      <c r="M450" s="12">
        <v>81</v>
      </c>
      <c r="N450" s="12">
        <v>8.5011609999999997</v>
      </c>
      <c r="O450" s="13">
        <f t="shared" si="81"/>
        <v>0.7168041890108664</v>
      </c>
      <c r="P450" s="6">
        <f t="shared" si="82"/>
        <v>-6.3580038474848194E-2</v>
      </c>
      <c r="Q450" s="6">
        <f t="shared" si="83"/>
        <v>1.2794480250177753</v>
      </c>
      <c r="R450" s="6">
        <f t="shared" si="84"/>
        <v>-0.82127108787296033</v>
      </c>
      <c r="S450">
        <f t="shared" si="85"/>
        <v>0</v>
      </c>
      <c r="T450">
        <f t="shared" si="86"/>
        <v>0</v>
      </c>
      <c r="U450">
        <f t="shared" si="87"/>
        <v>0</v>
      </c>
      <c r="V450">
        <f t="shared" si="88"/>
        <v>0</v>
      </c>
      <c r="W450">
        <f t="shared" si="89"/>
        <v>0</v>
      </c>
      <c r="X450">
        <f t="shared" si="90"/>
        <v>0</v>
      </c>
      <c r="Y450">
        <f t="shared" si="91"/>
        <v>0</v>
      </c>
      <c r="Z450">
        <f t="shared" si="92"/>
        <v>0</v>
      </c>
      <c r="AA450">
        <f t="shared" si="93"/>
        <v>0</v>
      </c>
    </row>
    <row r="451" spans="2:27" x14ac:dyDescent="0.3">
      <c r="B451">
        <v>444</v>
      </c>
      <c r="C451" s="1">
        <v>40987</v>
      </c>
      <c r="D451">
        <v>1</v>
      </c>
      <c r="E451">
        <v>1</v>
      </c>
      <c r="F451">
        <v>3</v>
      </c>
      <c r="G451">
        <v>1</v>
      </c>
      <c r="H451">
        <v>1</v>
      </c>
      <c r="I451">
        <v>982</v>
      </c>
      <c r="J451">
        <v>5171</v>
      </c>
      <c r="K451" s="8">
        <v>6153</v>
      </c>
      <c r="L451" s="12">
        <v>26.64105</v>
      </c>
      <c r="M451" s="12">
        <v>72.875</v>
      </c>
      <c r="N451" s="12">
        <v>10.875239000000001</v>
      </c>
      <c r="O451" s="13">
        <f t="shared" si="81"/>
        <v>0.85162618055201766</v>
      </c>
      <c r="P451" s="6">
        <f t="shared" si="82"/>
        <v>0.3590244261049606</v>
      </c>
      <c r="Q451" s="6">
        <f t="shared" si="83"/>
        <v>0.70859814662360932</v>
      </c>
      <c r="R451" s="6">
        <f t="shared" si="84"/>
        <v>-0.36373256139198012</v>
      </c>
      <c r="S451">
        <f t="shared" si="85"/>
        <v>1</v>
      </c>
      <c r="T451">
        <f t="shared" si="86"/>
        <v>0</v>
      </c>
      <c r="U451">
        <f t="shared" si="87"/>
        <v>0</v>
      </c>
      <c r="V451">
        <f t="shared" si="88"/>
        <v>0</v>
      </c>
      <c r="W451">
        <f t="shared" si="89"/>
        <v>0</v>
      </c>
      <c r="X451">
        <f t="shared" si="90"/>
        <v>0</v>
      </c>
      <c r="Y451">
        <f t="shared" si="91"/>
        <v>0</v>
      </c>
      <c r="Z451">
        <f t="shared" si="92"/>
        <v>0</v>
      </c>
      <c r="AA451">
        <f t="shared" si="93"/>
        <v>0</v>
      </c>
    </row>
    <row r="452" spans="2:27" x14ac:dyDescent="0.3">
      <c r="B452">
        <v>445</v>
      </c>
      <c r="C452" s="1">
        <v>40988</v>
      </c>
      <c r="D452">
        <v>1</v>
      </c>
      <c r="E452">
        <v>1</v>
      </c>
      <c r="F452">
        <v>3</v>
      </c>
      <c r="G452">
        <v>2</v>
      </c>
      <c r="H452">
        <v>1</v>
      </c>
      <c r="I452">
        <v>1051</v>
      </c>
      <c r="J452">
        <v>5042</v>
      </c>
      <c r="K452" s="8">
        <v>6093</v>
      </c>
      <c r="L452" s="12">
        <v>26.926649999999999</v>
      </c>
      <c r="M452" s="12">
        <v>80.791700000000006</v>
      </c>
      <c r="N452" s="12">
        <v>8.1251569999999997</v>
      </c>
      <c r="O452" s="13">
        <f t="shared" si="81"/>
        <v>0.82063261927818976</v>
      </c>
      <c r="P452" s="6">
        <f t="shared" si="82"/>
        <v>0.39409971855464682</v>
      </c>
      <c r="Q452" s="6">
        <f t="shared" si="83"/>
        <v>1.2648131905969136</v>
      </c>
      <c r="R452" s="6">
        <f t="shared" si="84"/>
        <v>-0.89373556297064227</v>
      </c>
      <c r="S452">
        <f t="shared" si="85"/>
        <v>0</v>
      </c>
      <c r="T452">
        <f t="shared" si="86"/>
        <v>1</v>
      </c>
      <c r="U452">
        <f t="shared" si="87"/>
        <v>0</v>
      </c>
      <c r="V452">
        <f t="shared" si="88"/>
        <v>0</v>
      </c>
      <c r="W452">
        <f t="shared" si="89"/>
        <v>0</v>
      </c>
      <c r="X452">
        <f t="shared" si="90"/>
        <v>0</v>
      </c>
      <c r="Y452">
        <f t="shared" si="91"/>
        <v>0</v>
      </c>
      <c r="Z452">
        <f t="shared" si="92"/>
        <v>0</v>
      </c>
      <c r="AA452">
        <f t="shared" si="93"/>
        <v>0</v>
      </c>
    </row>
    <row r="453" spans="2:27" x14ac:dyDescent="0.3">
      <c r="B453">
        <v>446</v>
      </c>
      <c r="C453" s="1">
        <v>40989</v>
      </c>
      <c r="D453">
        <v>2</v>
      </c>
      <c r="E453">
        <v>1</v>
      </c>
      <c r="F453">
        <v>3</v>
      </c>
      <c r="G453">
        <v>3</v>
      </c>
      <c r="H453">
        <v>2</v>
      </c>
      <c r="I453">
        <v>1122</v>
      </c>
      <c r="J453">
        <v>5108</v>
      </c>
      <c r="K453" s="8">
        <v>6230</v>
      </c>
      <c r="L453" s="12">
        <v>25.6629</v>
      </c>
      <c r="M453" s="12">
        <v>82.125</v>
      </c>
      <c r="N453" s="12">
        <v>6.0004061000000002</v>
      </c>
      <c r="O453" s="13">
        <f t="shared" si="81"/>
        <v>0.89140125085343014</v>
      </c>
      <c r="P453" s="6">
        <f t="shared" si="82"/>
        <v>0.23889523384424377</v>
      </c>
      <c r="Q453" s="6">
        <f t="shared" si="83"/>
        <v>1.3584887774108136</v>
      </c>
      <c r="R453" s="6">
        <f t="shared" si="84"/>
        <v>-1.3032231181078939</v>
      </c>
      <c r="S453">
        <f t="shared" si="85"/>
        <v>0</v>
      </c>
      <c r="T453">
        <f t="shared" si="86"/>
        <v>0</v>
      </c>
      <c r="U453">
        <f t="shared" si="87"/>
        <v>1</v>
      </c>
      <c r="V453">
        <f t="shared" si="88"/>
        <v>0</v>
      </c>
      <c r="W453">
        <f t="shared" si="89"/>
        <v>0</v>
      </c>
      <c r="X453">
        <f t="shared" si="90"/>
        <v>0</v>
      </c>
      <c r="Y453">
        <f t="shared" si="91"/>
        <v>1</v>
      </c>
      <c r="Z453">
        <f t="shared" si="92"/>
        <v>0</v>
      </c>
      <c r="AA453">
        <f t="shared" si="93"/>
        <v>0</v>
      </c>
    </row>
    <row r="454" spans="2:27" x14ac:dyDescent="0.3">
      <c r="B454">
        <v>447</v>
      </c>
      <c r="C454" s="1">
        <v>40990</v>
      </c>
      <c r="D454">
        <v>2</v>
      </c>
      <c r="E454">
        <v>1</v>
      </c>
      <c r="F454">
        <v>3</v>
      </c>
      <c r="G454">
        <v>4</v>
      </c>
      <c r="H454">
        <v>1</v>
      </c>
      <c r="I454">
        <v>1334</v>
      </c>
      <c r="J454">
        <v>5537</v>
      </c>
      <c r="K454" s="8">
        <v>6871</v>
      </c>
      <c r="L454" s="12">
        <v>26.57835</v>
      </c>
      <c r="M454" s="12">
        <v>83.125</v>
      </c>
      <c r="N454" s="12">
        <v>7.8766540000000003</v>
      </c>
      <c r="O454" s="13">
        <f t="shared" si="81"/>
        <v>1.2225157971288245</v>
      </c>
      <c r="P454" s="6">
        <f t="shared" si="82"/>
        <v>0.35132407303564922</v>
      </c>
      <c r="Q454" s="6">
        <f t="shared" si="83"/>
        <v>1.4287472239824033</v>
      </c>
      <c r="R454" s="6">
        <f t="shared" si="84"/>
        <v>-0.94162771160522918</v>
      </c>
      <c r="S454">
        <f t="shared" si="85"/>
        <v>0</v>
      </c>
      <c r="T454">
        <f t="shared" si="86"/>
        <v>0</v>
      </c>
      <c r="U454">
        <f t="shared" si="87"/>
        <v>0</v>
      </c>
      <c r="V454">
        <f t="shared" si="88"/>
        <v>1</v>
      </c>
      <c r="W454">
        <f t="shared" si="89"/>
        <v>0</v>
      </c>
      <c r="X454">
        <f t="shared" si="90"/>
        <v>0</v>
      </c>
      <c r="Y454">
        <f t="shared" si="91"/>
        <v>1</v>
      </c>
      <c r="Z454">
        <f t="shared" si="92"/>
        <v>0</v>
      </c>
      <c r="AA454">
        <f t="shared" si="93"/>
        <v>0</v>
      </c>
    </row>
    <row r="455" spans="2:27" x14ac:dyDescent="0.3">
      <c r="B455">
        <v>448</v>
      </c>
      <c r="C455" s="1">
        <v>40991</v>
      </c>
      <c r="D455">
        <v>2</v>
      </c>
      <c r="E455">
        <v>1</v>
      </c>
      <c r="F455">
        <v>3</v>
      </c>
      <c r="G455">
        <v>5</v>
      </c>
      <c r="H455">
        <v>2</v>
      </c>
      <c r="I455">
        <v>2469</v>
      </c>
      <c r="J455">
        <v>5893</v>
      </c>
      <c r="K455" s="8">
        <v>8362</v>
      </c>
      <c r="L455" s="12">
        <v>28.503350000000001</v>
      </c>
      <c r="M455" s="12">
        <v>69.416700000000006</v>
      </c>
      <c r="N455" s="12">
        <v>7.7920999999999996</v>
      </c>
      <c r="O455" s="13">
        <f t="shared" si="81"/>
        <v>1.9927057947834472</v>
      </c>
      <c r="P455" s="6">
        <f t="shared" si="82"/>
        <v>0.58773842165485912</v>
      </c>
      <c r="Q455" s="6">
        <f t="shared" si="83"/>
        <v>0.46562336084508127</v>
      </c>
      <c r="R455" s="6">
        <f t="shared" si="84"/>
        <v>-0.95792317981144359</v>
      </c>
      <c r="S455">
        <f t="shared" si="85"/>
        <v>0</v>
      </c>
      <c r="T455">
        <f t="shared" si="86"/>
        <v>0</v>
      </c>
      <c r="U455">
        <f t="shared" si="87"/>
        <v>0</v>
      </c>
      <c r="V455">
        <f t="shared" si="88"/>
        <v>0</v>
      </c>
      <c r="W455">
        <f t="shared" si="89"/>
        <v>1</v>
      </c>
      <c r="X455">
        <f t="shared" si="90"/>
        <v>0</v>
      </c>
      <c r="Y455">
        <f t="shared" si="91"/>
        <v>1</v>
      </c>
      <c r="Z455">
        <f t="shared" si="92"/>
        <v>0</v>
      </c>
      <c r="AA455">
        <f t="shared" si="93"/>
        <v>0</v>
      </c>
    </row>
    <row r="456" spans="2:27" x14ac:dyDescent="0.3">
      <c r="B456">
        <v>449</v>
      </c>
      <c r="C456" s="1">
        <v>40992</v>
      </c>
      <c r="D456">
        <v>2</v>
      </c>
      <c r="E456">
        <v>1</v>
      </c>
      <c r="F456">
        <v>3</v>
      </c>
      <c r="G456">
        <v>6</v>
      </c>
      <c r="H456">
        <v>2</v>
      </c>
      <c r="I456">
        <v>1033</v>
      </c>
      <c r="J456">
        <v>2339</v>
      </c>
      <c r="K456" s="8">
        <v>3372</v>
      </c>
      <c r="L456" s="12">
        <v>24.336649999999999</v>
      </c>
      <c r="M456" s="12">
        <v>88.541700000000006</v>
      </c>
      <c r="N456" s="12">
        <v>12.916461</v>
      </c>
      <c r="O456" s="13">
        <f t="shared" si="81"/>
        <v>-0.58492538448990439</v>
      </c>
      <c r="P456" s="6">
        <f t="shared" si="82"/>
        <v>7.6014958594255527E-2</v>
      </c>
      <c r="Q456" s="6">
        <f t="shared" si="83"/>
        <v>1.8093161515267335</v>
      </c>
      <c r="R456" s="6">
        <f t="shared" si="84"/>
        <v>2.9657085494330607E-2</v>
      </c>
      <c r="S456">
        <f t="shared" si="85"/>
        <v>0</v>
      </c>
      <c r="T456">
        <f t="shared" si="86"/>
        <v>0</v>
      </c>
      <c r="U456">
        <f t="shared" si="87"/>
        <v>0</v>
      </c>
      <c r="V456">
        <f t="shared" si="88"/>
        <v>0</v>
      </c>
      <c r="W456">
        <f t="shared" si="89"/>
        <v>0</v>
      </c>
      <c r="X456">
        <f t="shared" si="90"/>
        <v>0</v>
      </c>
      <c r="Y456">
        <f t="shared" si="91"/>
        <v>1</v>
      </c>
      <c r="Z456">
        <f t="shared" si="92"/>
        <v>0</v>
      </c>
      <c r="AA456">
        <f t="shared" si="93"/>
        <v>0</v>
      </c>
    </row>
    <row r="457" spans="2:27" x14ac:dyDescent="0.3">
      <c r="B457">
        <v>450</v>
      </c>
      <c r="C457" s="1">
        <v>40993</v>
      </c>
      <c r="D457">
        <v>2</v>
      </c>
      <c r="E457">
        <v>1</v>
      </c>
      <c r="F457">
        <v>3</v>
      </c>
      <c r="G457">
        <v>0</v>
      </c>
      <c r="H457">
        <v>2</v>
      </c>
      <c r="I457">
        <v>1532</v>
      </c>
      <c r="J457">
        <v>3464</v>
      </c>
      <c r="K457" s="8">
        <v>4996</v>
      </c>
      <c r="L457" s="12">
        <v>21.874400000000001</v>
      </c>
      <c r="M457" s="12">
        <v>88.083299999999994</v>
      </c>
      <c r="N457" s="12">
        <v>14.791925000000001</v>
      </c>
      <c r="O457" s="13">
        <f t="shared" ref="O457:O520" si="94">(K457-K$2)/K$3</f>
        <v>0.25396700732170346</v>
      </c>
      <c r="P457" s="6">
        <f t="shared" ref="P457:P520" si="95">(L457-L$2)/L$3</f>
        <v>-0.22638048550322426</v>
      </c>
      <c r="Q457" s="6">
        <f t="shared" ref="Q457:Q520" si="96">(M457-M$2)/M$3</f>
        <v>1.7771096796183159</v>
      </c>
      <c r="R457" s="6">
        <f t="shared" ref="R457:R520" si="97">(N457-N$2)/N$3</f>
        <v>0.39110141673708054</v>
      </c>
      <c r="S457">
        <f t="shared" ref="S457:S520" si="98">IF($G457=1,1,0)</f>
        <v>0</v>
      </c>
      <c r="T457">
        <f t="shared" ref="T457:T520" si="99">IF($G457=2,1,0)</f>
        <v>0</v>
      </c>
      <c r="U457">
        <f t="shared" ref="U457:U520" si="100">IF($G457=3,1,0)</f>
        <v>0</v>
      </c>
      <c r="V457">
        <f t="shared" ref="V457:V520" si="101">IF($G457=4,1,0)</f>
        <v>0</v>
      </c>
      <c r="W457">
        <f t="shared" ref="W457:W520" si="102">IF($G457=5,1,0)</f>
        <v>0</v>
      </c>
      <c r="X457">
        <f t="shared" ref="X457:X520" si="103">IF($H457=3,1,0)</f>
        <v>0</v>
      </c>
      <c r="Y457">
        <f t="shared" ref="Y457:Y520" si="104">IF($D457=2,1,0)</f>
        <v>1</v>
      </c>
      <c r="Z457">
        <f t="shared" ref="Z457:Z520" si="105">IF($D457=3,1,0)</f>
        <v>0</v>
      </c>
      <c r="AA457">
        <f t="shared" ref="AA457:AA520" si="106">IF($D457=4,1,0)</f>
        <v>0</v>
      </c>
    </row>
    <row r="458" spans="2:27" x14ac:dyDescent="0.3">
      <c r="B458">
        <v>451</v>
      </c>
      <c r="C458" s="1">
        <v>40994</v>
      </c>
      <c r="D458">
        <v>2</v>
      </c>
      <c r="E458">
        <v>1</v>
      </c>
      <c r="F458">
        <v>3</v>
      </c>
      <c r="G458">
        <v>1</v>
      </c>
      <c r="H458">
        <v>1</v>
      </c>
      <c r="I458">
        <v>795</v>
      </c>
      <c r="J458">
        <v>4763</v>
      </c>
      <c r="K458" s="8">
        <v>5558</v>
      </c>
      <c r="L458" s="12">
        <v>21.9375</v>
      </c>
      <c r="M458" s="12">
        <v>47.791699999999999</v>
      </c>
      <c r="N458" s="12">
        <v>25.917007000000002</v>
      </c>
      <c r="O458" s="13">
        <f t="shared" si="94"/>
        <v>0.54427336458655795</v>
      </c>
      <c r="P458" s="6">
        <f t="shared" si="95"/>
        <v>-0.2186310073744597</v>
      </c>
      <c r="Q458" s="6">
        <f t="shared" si="96"/>
        <v>-1.0537155462655456</v>
      </c>
      <c r="R458" s="6">
        <f t="shared" si="97"/>
        <v>2.535156340484352</v>
      </c>
      <c r="S458">
        <f t="shared" si="98"/>
        <v>1</v>
      </c>
      <c r="T458">
        <f t="shared" si="99"/>
        <v>0</v>
      </c>
      <c r="U458">
        <f t="shared" si="100"/>
        <v>0</v>
      </c>
      <c r="V458">
        <f t="shared" si="101"/>
        <v>0</v>
      </c>
      <c r="W458">
        <f t="shared" si="102"/>
        <v>0</v>
      </c>
      <c r="X458">
        <f t="shared" si="103"/>
        <v>0</v>
      </c>
      <c r="Y458">
        <f t="shared" si="104"/>
        <v>1</v>
      </c>
      <c r="Z458">
        <f t="shared" si="105"/>
        <v>0</v>
      </c>
      <c r="AA458">
        <f t="shared" si="106"/>
        <v>0</v>
      </c>
    </row>
    <row r="459" spans="2:27" x14ac:dyDescent="0.3">
      <c r="B459">
        <v>452</v>
      </c>
      <c r="C459" s="1">
        <v>40995</v>
      </c>
      <c r="D459">
        <v>2</v>
      </c>
      <c r="E459">
        <v>1</v>
      </c>
      <c r="F459">
        <v>3</v>
      </c>
      <c r="G459">
        <v>2</v>
      </c>
      <c r="H459">
        <v>1</v>
      </c>
      <c r="I459">
        <v>531</v>
      </c>
      <c r="J459">
        <v>4571</v>
      </c>
      <c r="K459" s="8">
        <v>5102</v>
      </c>
      <c r="L459" s="12">
        <v>15.7827</v>
      </c>
      <c r="M459" s="12">
        <v>29</v>
      </c>
      <c r="N459" s="12">
        <v>12.541864</v>
      </c>
      <c r="O459" s="13">
        <f t="shared" si="94"/>
        <v>0.30872229890546604</v>
      </c>
      <c r="P459" s="6">
        <f t="shared" si="95"/>
        <v>-0.97451829718303751</v>
      </c>
      <c r="Q459" s="6">
        <f t="shared" si="96"/>
        <v>-2.3739911967048868</v>
      </c>
      <c r="R459" s="6">
        <f t="shared" si="97"/>
        <v>-4.2536228880426886E-2</v>
      </c>
      <c r="S459">
        <f t="shared" si="98"/>
        <v>0</v>
      </c>
      <c r="T459">
        <f t="shared" si="99"/>
        <v>1</v>
      </c>
      <c r="U459">
        <f t="shared" si="100"/>
        <v>0</v>
      </c>
      <c r="V459">
        <f t="shared" si="101"/>
        <v>0</v>
      </c>
      <c r="W459">
        <f t="shared" si="102"/>
        <v>0</v>
      </c>
      <c r="X459">
        <f t="shared" si="103"/>
        <v>0</v>
      </c>
      <c r="Y459">
        <f t="shared" si="104"/>
        <v>1</v>
      </c>
      <c r="Z459">
        <f t="shared" si="105"/>
        <v>0</v>
      </c>
      <c r="AA459">
        <f t="shared" si="106"/>
        <v>0</v>
      </c>
    </row>
    <row r="460" spans="2:27" x14ac:dyDescent="0.3">
      <c r="B460">
        <v>453</v>
      </c>
      <c r="C460" s="1">
        <v>40996</v>
      </c>
      <c r="D460">
        <v>2</v>
      </c>
      <c r="E460">
        <v>1</v>
      </c>
      <c r="F460">
        <v>3</v>
      </c>
      <c r="G460">
        <v>3</v>
      </c>
      <c r="H460">
        <v>1</v>
      </c>
      <c r="I460">
        <v>674</v>
      </c>
      <c r="J460">
        <v>5024</v>
      </c>
      <c r="K460" s="8">
        <v>5698</v>
      </c>
      <c r="L460" s="12">
        <v>23.547499999999999</v>
      </c>
      <c r="M460" s="12">
        <v>48.125</v>
      </c>
      <c r="N460" s="12">
        <v>19.541957</v>
      </c>
      <c r="O460" s="13">
        <f t="shared" si="94"/>
        <v>0.61659167422548966</v>
      </c>
      <c r="P460" s="6">
        <f t="shared" si="95"/>
        <v>-2.090264307475706E-2</v>
      </c>
      <c r="Q460" s="6">
        <f t="shared" si="96"/>
        <v>-1.0302984060232347</v>
      </c>
      <c r="R460" s="6">
        <f t="shared" si="97"/>
        <v>1.3065400173296062</v>
      </c>
      <c r="S460">
        <f t="shared" si="98"/>
        <v>0</v>
      </c>
      <c r="T460">
        <f t="shared" si="99"/>
        <v>0</v>
      </c>
      <c r="U460">
        <f t="shared" si="100"/>
        <v>1</v>
      </c>
      <c r="V460">
        <f t="shared" si="101"/>
        <v>0</v>
      </c>
      <c r="W460">
        <f t="shared" si="102"/>
        <v>0</v>
      </c>
      <c r="X460">
        <f t="shared" si="103"/>
        <v>0</v>
      </c>
      <c r="Y460">
        <f t="shared" si="104"/>
        <v>1</v>
      </c>
      <c r="Z460">
        <f t="shared" si="105"/>
        <v>0</v>
      </c>
      <c r="AA460">
        <f t="shared" si="106"/>
        <v>0</v>
      </c>
    </row>
    <row r="461" spans="2:27" x14ac:dyDescent="0.3">
      <c r="B461">
        <v>454</v>
      </c>
      <c r="C461" s="1">
        <v>40997</v>
      </c>
      <c r="D461">
        <v>2</v>
      </c>
      <c r="E461">
        <v>1</v>
      </c>
      <c r="F461">
        <v>3</v>
      </c>
      <c r="G461">
        <v>4</v>
      </c>
      <c r="H461">
        <v>1</v>
      </c>
      <c r="I461">
        <v>834</v>
      </c>
      <c r="J461">
        <v>5299</v>
      </c>
      <c r="K461" s="8">
        <v>6133</v>
      </c>
      <c r="L461" s="12">
        <v>24.115200000000002</v>
      </c>
      <c r="M461" s="12">
        <v>43.916699999999999</v>
      </c>
      <c r="N461" s="12">
        <v>21.416550000000001</v>
      </c>
      <c r="O461" s="13">
        <f t="shared" si="94"/>
        <v>0.84129499346074166</v>
      </c>
      <c r="P461" s="6">
        <f t="shared" si="95"/>
        <v>4.881809755439924E-2</v>
      </c>
      <c r="Q461" s="6">
        <f t="shared" si="96"/>
        <v>-1.3259670267304555</v>
      </c>
      <c r="R461" s="6">
        <f t="shared" si="97"/>
        <v>1.6678164871724506</v>
      </c>
      <c r="S461">
        <f t="shared" si="98"/>
        <v>0</v>
      </c>
      <c r="T461">
        <f t="shared" si="99"/>
        <v>0</v>
      </c>
      <c r="U461">
        <f t="shared" si="100"/>
        <v>0</v>
      </c>
      <c r="V461">
        <f t="shared" si="101"/>
        <v>1</v>
      </c>
      <c r="W461">
        <f t="shared" si="102"/>
        <v>0</v>
      </c>
      <c r="X461">
        <f t="shared" si="103"/>
        <v>0</v>
      </c>
      <c r="Y461">
        <f t="shared" si="104"/>
        <v>1</v>
      </c>
      <c r="Z461">
        <f t="shared" si="105"/>
        <v>0</v>
      </c>
      <c r="AA461">
        <f t="shared" si="106"/>
        <v>0</v>
      </c>
    </row>
    <row r="462" spans="2:27" x14ac:dyDescent="0.3">
      <c r="B462">
        <v>455</v>
      </c>
      <c r="C462" s="1">
        <v>40998</v>
      </c>
      <c r="D462">
        <v>2</v>
      </c>
      <c r="E462">
        <v>1</v>
      </c>
      <c r="F462">
        <v>3</v>
      </c>
      <c r="G462">
        <v>5</v>
      </c>
      <c r="H462">
        <v>2</v>
      </c>
      <c r="I462">
        <v>796</v>
      </c>
      <c r="J462">
        <v>4663</v>
      </c>
      <c r="K462" s="8">
        <v>5459</v>
      </c>
      <c r="L462" s="12">
        <v>18.78105</v>
      </c>
      <c r="M462" s="12">
        <v>58.083300000000001</v>
      </c>
      <c r="N462" s="12">
        <v>9.250489</v>
      </c>
      <c r="O462" s="13">
        <f t="shared" si="94"/>
        <v>0.49313398848474188</v>
      </c>
      <c r="P462" s="6">
        <f t="shared" si="95"/>
        <v>-0.60628299215321535</v>
      </c>
      <c r="Q462" s="6">
        <f t="shared" si="96"/>
        <v>-0.33064371752937333</v>
      </c>
      <c r="R462" s="6">
        <f t="shared" si="97"/>
        <v>-0.67685863429269044</v>
      </c>
      <c r="S462">
        <f t="shared" si="98"/>
        <v>0</v>
      </c>
      <c r="T462">
        <f t="shared" si="99"/>
        <v>0</v>
      </c>
      <c r="U462">
        <f t="shared" si="100"/>
        <v>0</v>
      </c>
      <c r="V462">
        <f t="shared" si="101"/>
        <v>0</v>
      </c>
      <c r="W462">
        <f t="shared" si="102"/>
        <v>1</v>
      </c>
      <c r="X462">
        <f t="shared" si="103"/>
        <v>0</v>
      </c>
      <c r="Y462">
        <f t="shared" si="104"/>
        <v>1</v>
      </c>
      <c r="Z462">
        <f t="shared" si="105"/>
        <v>0</v>
      </c>
      <c r="AA462">
        <f t="shared" si="106"/>
        <v>0</v>
      </c>
    </row>
    <row r="463" spans="2:27" x14ac:dyDescent="0.3">
      <c r="B463">
        <v>456</v>
      </c>
      <c r="C463" s="1">
        <v>40999</v>
      </c>
      <c r="D463">
        <v>2</v>
      </c>
      <c r="E463">
        <v>1</v>
      </c>
      <c r="F463">
        <v>3</v>
      </c>
      <c r="G463">
        <v>6</v>
      </c>
      <c r="H463">
        <v>2</v>
      </c>
      <c r="I463">
        <v>2301</v>
      </c>
      <c r="J463">
        <v>3934</v>
      </c>
      <c r="K463" s="8">
        <v>6235</v>
      </c>
      <c r="L463" s="12">
        <v>21.0854</v>
      </c>
      <c r="M463" s="12">
        <v>73.833299999999994</v>
      </c>
      <c r="N463" s="12">
        <v>16.791339000000001</v>
      </c>
      <c r="O463" s="13">
        <f t="shared" si="94"/>
        <v>0.89398404762624906</v>
      </c>
      <c r="P463" s="6">
        <f t="shared" si="95"/>
        <v>-0.32327966527494212</v>
      </c>
      <c r="Q463" s="6">
        <f t="shared" si="96"/>
        <v>0.77592681597316338</v>
      </c>
      <c r="R463" s="6">
        <f t="shared" si="97"/>
        <v>0.77643371642792558</v>
      </c>
      <c r="S463">
        <f t="shared" si="98"/>
        <v>0</v>
      </c>
      <c r="T463">
        <f t="shared" si="99"/>
        <v>0</v>
      </c>
      <c r="U463">
        <f t="shared" si="100"/>
        <v>0</v>
      </c>
      <c r="V463">
        <f t="shared" si="101"/>
        <v>0</v>
      </c>
      <c r="W463">
        <f t="shared" si="102"/>
        <v>0</v>
      </c>
      <c r="X463">
        <f t="shared" si="103"/>
        <v>0</v>
      </c>
      <c r="Y463">
        <f t="shared" si="104"/>
        <v>1</v>
      </c>
      <c r="Z463">
        <f t="shared" si="105"/>
        <v>0</v>
      </c>
      <c r="AA463">
        <f t="shared" si="106"/>
        <v>0</v>
      </c>
    </row>
    <row r="464" spans="2:27" x14ac:dyDescent="0.3">
      <c r="B464">
        <v>457</v>
      </c>
      <c r="C464" s="1">
        <v>41000</v>
      </c>
      <c r="D464">
        <v>2</v>
      </c>
      <c r="E464">
        <v>1</v>
      </c>
      <c r="F464">
        <v>4</v>
      </c>
      <c r="G464">
        <v>0</v>
      </c>
      <c r="H464">
        <v>2</v>
      </c>
      <c r="I464">
        <v>2347</v>
      </c>
      <c r="J464">
        <v>3694</v>
      </c>
      <c r="K464" s="8">
        <v>6041</v>
      </c>
      <c r="L464" s="12">
        <v>20.864350000000002</v>
      </c>
      <c r="M464" s="12">
        <v>67.625</v>
      </c>
      <c r="N464" s="12">
        <v>11.541888999999999</v>
      </c>
      <c r="O464" s="13">
        <f t="shared" si="94"/>
        <v>0.79377153284087232</v>
      </c>
      <c r="P464" s="6">
        <f t="shared" si="95"/>
        <v>-0.35042740125534516</v>
      </c>
      <c r="Q464" s="6">
        <f t="shared" si="96"/>
        <v>0.33974130212276366</v>
      </c>
      <c r="R464" s="6">
        <f t="shared" si="97"/>
        <v>-0.23525402838735904</v>
      </c>
      <c r="S464">
        <f t="shared" si="98"/>
        <v>0</v>
      </c>
      <c r="T464">
        <f t="shared" si="99"/>
        <v>0</v>
      </c>
      <c r="U464">
        <f t="shared" si="100"/>
        <v>0</v>
      </c>
      <c r="V464">
        <f t="shared" si="101"/>
        <v>0</v>
      </c>
      <c r="W464">
        <f t="shared" si="102"/>
        <v>0</v>
      </c>
      <c r="X464">
        <f t="shared" si="103"/>
        <v>0</v>
      </c>
      <c r="Y464">
        <f t="shared" si="104"/>
        <v>1</v>
      </c>
      <c r="Z464">
        <f t="shared" si="105"/>
        <v>0</v>
      </c>
      <c r="AA464">
        <f t="shared" si="106"/>
        <v>0</v>
      </c>
    </row>
    <row r="465" spans="2:27" x14ac:dyDescent="0.3">
      <c r="B465">
        <v>458</v>
      </c>
      <c r="C465" s="1">
        <v>41001</v>
      </c>
      <c r="D465">
        <v>2</v>
      </c>
      <c r="E465">
        <v>1</v>
      </c>
      <c r="F465">
        <v>4</v>
      </c>
      <c r="G465">
        <v>1</v>
      </c>
      <c r="H465">
        <v>1</v>
      </c>
      <c r="I465">
        <v>1208</v>
      </c>
      <c r="J465">
        <v>4728</v>
      </c>
      <c r="K465" s="8">
        <v>5936</v>
      </c>
      <c r="L465" s="12">
        <v>21.37565</v>
      </c>
      <c r="M465" s="12">
        <v>50.434800000000003</v>
      </c>
      <c r="N465" s="12">
        <v>20.913312999999999</v>
      </c>
      <c r="O465" s="13">
        <f t="shared" si="94"/>
        <v>0.73953280061167348</v>
      </c>
      <c r="P465" s="6">
        <f t="shared" si="95"/>
        <v>-0.28763329400911058</v>
      </c>
      <c r="Q465" s="6">
        <f t="shared" si="96"/>
        <v>-0.86801544613217674</v>
      </c>
      <c r="R465" s="6">
        <f t="shared" si="97"/>
        <v>1.5708313352731829</v>
      </c>
      <c r="S465">
        <f t="shared" si="98"/>
        <v>1</v>
      </c>
      <c r="T465">
        <f t="shared" si="99"/>
        <v>0</v>
      </c>
      <c r="U465">
        <f t="shared" si="100"/>
        <v>0</v>
      </c>
      <c r="V465">
        <f t="shared" si="101"/>
        <v>0</v>
      </c>
      <c r="W465">
        <f t="shared" si="102"/>
        <v>0</v>
      </c>
      <c r="X465">
        <f t="shared" si="103"/>
        <v>0</v>
      </c>
      <c r="Y465">
        <f t="shared" si="104"/>
        <v>1</v>
      </c>
      <c r="Z465">
        <f t="shared" si="105"/>
        <v>0</v>
      </c>
      <c r="AA465">
        <f t="shared" si="106"/>
        <v>0</v>
      </c>
    </row>
    <row r="466" spans="2:27" x14ac:dyDescent="0.3">
      <c r="B466">
        <v>459</v>
      </c>
      <c r="C466" s="1">
        <v>41002</v>
      </c>
      <c r="D466">
        <v>2</v>
      </c>
      <c r="E466">
        <v>1</v>
      </c>
      <c r="F466">
        <v>4</v>
      </c>
      <c r="G466">
        <v>2</v>
      </c>
      <c r="H466">
        <v>1</v>
      </c>
      <c r="I466">
        <v>1348</v>
      </c>
      <c r="J466">
        <v>5424</v>
      </c>
      <c r="K466" s="8">
        <v>6772</v>
      </c>
      <c r="L466" s="12">
        <v>23.074149999999999</v>
      </c>
      <c r="M466" s="12">
        <v>39.666699999999999</v>
      </c>
      <c r="N466" s="12">
        <v>6.7089109999999996</v>
      </c>
      <c r="O466" s="13">
        <f t="shared" si="94"/>
        <v>1.1713764210270086</v>
      </c>
      <c r="P466" s="6">
        <f t="shared" si="95"/>
        <v>-7.903601030535598E-2</v>
      </c>
      <c r="Q466" s="6">
        <f t="shared" si="96"/>
        <v>-1.6245654246597117</v>
      </c>
      <c r="R466" s="6">
        <f t="shared" si="97"/>
        <v>-1.1666781992170427</v>
      </c>
      <c r="S466">
        <f t="shared" si="98"/>
        <v>0</v>
      </c>
      <c r="T466">
        <f t="shared" si="99"/>
        <v>1</v>
      </c>
      <c r="U466">
        <f t="shared" si="100"/>
        <v>0</v>
      </c>
      <c r="V466">
        <f t="shared" si="101"/>
        <v>0</v>
      </c>
      <c r="W466">
        <f t="shared" si="102"/>
        <v>0</v>
      </c>
      <c r="X466">
        <f t="shared" si="103"/>
        <v>0</v>
      </c>
      <c r="Y466">
        <f t="shared" si="104"/>
        <v>1</v>
      </c>
      <c r="Z466">
        <f t="shared" si="105"/>
        <v>0</v>
      </c>
      <c r="AA466">
        <f t="shared" si="106"/>
        <v>0</v>
      </c>
    </row>
    <row r="467" spans="2:27" x14ac:dyDescent="0.3">
      <c r="B467">
        <v>460</v>
      </c>
      <c r="C467" s="1">
        <v>41003</v>
      </c>
      <c r="D467">
        <v>2</v>
      </c>
      <c r="E467">
        <v>1</v>
      </c>
      <c r="F467">
        <v>4</v>
      </c>
      <c r="G467">
        <v>3</v>
      </c>
      <c r="H467">
        <v>1</v>
      </c>
      <c r="I467">
        <v>1058</v>
      </c>
      <c r="J467">
        <v>5378</v>
      </c>
      <c r="K467" s="8">
        <v>6436</v>
      </c>
      <c r="L467" s="12">
        <v>26.672499999999999</v>
      </c>
      <c r="M467" s="12">
        <v>46.958300000000001</v>
      </c>
      <c r="N467" s="12">
        <v>12.125325</v>
      </c>
      <c r="O467" s="13">
        <f t="shared" si="94"/>
        <v>0.99781247789357252</v>
      </c>
      <c r="P467" s="6">
        <f t="shared" si="95"/>
        <v>0.36288688390447954</v>
      </c>
      <c r="Q467" s="6">
        <f t="shared" si="96"/>
        <v>-1.1122689356383082</v>
      </c>
      <c r="R467" s="6">
        <f t="shared" si="97"/>
        <v>-0.12281271528140489</v>
      </c>
      <c r="S467">
        <f t="shared" si="98"/>
        <v>0</v>
      </c>
      <c r="T467">
        <f t="shared" si="99"/>
        <v>0</v>
      </c>
      <c r="U467">
        <f t="shared" si="100"/>
        <v>1</v>
      </c>
      <c r="V467">
        <f t="shared" si="101"/>
        <v>0</v>
      </c>
      <c r="W467">
        <f t="shared" si="102"/>
        <v>0</v>
      </c>
      <c r="X467">
        <f t="shared" si="103"/>
        <v>0</v>
      </c>
      <c r="Y467">
        <f t="shared" si="104"/>
        <v>1</v>
      </c>
      <c r="Z467">
        <f t="shared" si="105"/>
        <v>0</v>
      </c>
      <c r="AA467">
        <f t="shared" si="106"/>
        <v>0</v>
      </c>
    </row>
    <row r="468" spans="2:27" x14ac:dyDescent="0.3">
      <c r="B468">
        <v>461</v>
      </c>
      <c r="C468" s="1">
        <v>41004</v>
      </c>
      <c r="D468">
        <v>2</v>
      </c>
      <c r="E468">
        <v>1</v>
      </c>
      <c r="F468">
        <v>4</v>
      </c>
      <c r="G468">
        <v>4</v>
      </c>
      <c r="H468">
        <v>1</v>
      </c>
      <c r="I468">
        <v>1192</v>
      </c>
      <c r="J468">
        <v>5265</v>
      </c>
      <c r="K468" s="8">
        <v>6457</v>
      </c>
      <c r="L468" s="12">
        <v>21.558150000000001</v>
      </c>
      <c r="M468" s="12">
        <v>37.416699999999999</v>
      </c>
      <c r="N468" s="12">
        <v>14.708443000000001</v>
      </c>
      <c r="O468" s="13">
        <f t="shared" si="94"/>
        <v>1.0086602243394123</v>
      </c>
      <c r="P468" s="6">
        <f t="shared" si="95"/>
        <v>-0.26521998563352306</v>
      </c>
      <c r="Q468" s="6">
        <f t="shared" si="96"/>
        <v>-1.7826469294457883</v>
      </c>
      <c r="R468" s="6">
        <f t="shared" si="97"/>
        <v>0.3750125471769038</v>
      </c>
      <c r="S468">
        <f t="shared" si="98"/>
        <v>0</v>
      </c>
      <c r="T468">
        <f t="shared" si="99"/>
        <v>0</v>
      </c>
      <c r="U468">
        <f t="shared" si="100"/>
        <v>0</v>
      </c>
      <c r="V468">
        <f t="shared" si="101"/>
        <v>1</v>
      </c>
      <c r="W468">
        <f t="shared" si="102"/>
        <v>0</v>
      </c>
      <c r="X468">
        <f t="shared" si="103"/>
        <v>0</v>
      </c>
      <c r="Y468">
        <f t="shared" si="104"/>
        <v>1</v>
      </c>
      <c r="Z468">
        <f t="shared" si="105"/>
        <v>0</v>
      </c>
      <c r="AA468">
        <f t="shared" si="106"/>
        <v>0</v>
      </c>
    </row>
    <row r="469" spans="2:27" x14ac:dyDescent="0.3">
      <c r="B469">
        <v>462</v>
      </c>
      <c r="C469" s="1">
        <v>41005</v>
      </c>
      <c r="D469">
        <v>2</v>
      </c>
      <c r="E469">
        <v>1</v>
      </c>
      <c r="F469">
        <v>4</v>
      </c>
      <c r="G469">
        <v>5</v>
      </c>
      <c r="H469">
        <v>1</v>
      </c>
      <c r="I469">
        <v>1807</v>
      </c>
      <c r="J469">
        <v>4653</v>
      </c>
      <c r="K469" s="8">
        <v>6460</v>
      </c>
      <c r="L469" s="12">
        <v>19.538350000000001</v>
      </c>
      <c r="M469" s="12">
        <v>37.708300000000001</v>
      </c>
      <c r="N469" s="12">
        <v>20.125996000000001</v>
      </c>
      <c r="O469" s="13">
        <f t="shared" si="94"/>
        <v>1.0102099024031037</v>
      </c>
      <c r="P469" s="6">
        <f t="shared" si="95"/>
        <v>-0.5132769733431749</v>
      </c>
      <c r="Q469" s="6">
        <f t="shared" si="96"/>
        <v>-1.7621595664255127</v>
      </c>
      <c r="R469" s="6">
        <f t="shared" si="97"/>
        <v>1.4190975421739564</v>
      </c>
      <c r="S469">
        <f t="shared" si="98"/>
        <v>0</v>
      </c>
      <c r="T469">
        <f t="shared" si="99"/>
        <v>0</v>
      </c>
      <c r="U469">
        <f t="shared" si="100"/>
        <v>0</v>
      </c>
      <c r="V469">
        <f t="shared" si="101"/>
        <v>0</v>
      </c>
      <c r="W469">
        <f t="shared" si="102"/>
        <v>1</v>
      </c>
      <c r="X469">
        <f t="shared" si="103"/>
        <v>0</v>
      </c>
      <c r="Y469">
        <f t="shared" si="104"/>
        <v>1</v>
      </c>
      <c r="Z469">
        <f t="shared" si="105"/>
        <v>0</v>
      </c>
      <c r="AA469">
        <f t="shared" si="106"/>
        <v>0</v>
      </c>
    </row>
    <row r="470" spans="2:27" x14ac:dyDescent="0.3">
      <c r="B470">
        <v>463</v>
      </c>
      <c r="C470" s="1">
        <v>41006</v>
      </c>
      <c r="D470">
        <v>2</v>
      </c>
      <c r="E470">
        <v>1</v>
      </c>
      <c r="F470">
        <v>4</v>
      </c>
      <c r="G470">
        <v>6</v>
      </c>
      <c r="H470">
        <v>1</v>
      </c>
      <c r="I470">
        <v>3252</v>
      </c>
      <c r="J470">
        <v>3605</v>
      </c>
      <c r="K470" s="8">
        <v>6857</v>
      </c>
      <c r="L470" s="12">
        <v>21.306450000000002</v>
      </c>
      <c r="M470" s="12">
        <v>25.416699999999999</v>
      </c>
      <c r="N470" s="12">
        <v>18.416357000000001</v>
      </c>
      <c r="O470" s="13">
        <f t="shared" si="94"/>
        <v>1.2152839661649315</v>
      </c>
      <c r="P470" s="6">
        <f t="shared" si="95"/>
        <v>-0.29613192929453863</v>
      </c>
      <c r="Q470" s="6">
        <f t="shared" si="96"/>
        <v>-2.6257482883048642</v>
      </c>
      <c r="R470" s="6">
        <f t="shared" si="97"/>
        <v>1.0896114389901455</v>
      </c>
      <c r="S470">
        <f t="shared" si="98"/>
        <v>0</v>
      </c>
      <c r="T470">
        <f t="shared" si="99"/>
        <v>0</v>
      </c>
      <c r="U470">
        <f t="shared" si="100"/>
        <v>0</v>
      </c>
      <c r="V470">
        <f t="shared" si="101"/>
        <v>0</v>
      </c>
      <c r="W470">
        <f t="shared" si="102"/>
        <v>0</v>
      </c>
      <c r="X470">
        <f t="shared" si="103"/>
        <v>0</v>
      </c>
      <c r="Y470">
        <f t="shared" si="104"/>
        <v>1</v>
      </c>
      <c r="Z470">
        <f t="shared" si="105"/>
        <v>0</v>
      </c>
      <c r="AA470">
        <f t="shared" si="106"/>
        <v>0</v>
      </c>
    </row>
    <row r="471" spans="2:27" x14ac:dyDescent="0.3">
      <c r="B471">
        <v>464</v>
      </c>
      <c r="C471" s="1">
        <v>41007</v>
      </c>
      <c r="D471">
        <v>2</v>
      </c>
      <c r="E471">
        <v>1</v>
      </c>
      <c r="F471">
        <v>4</v>
      </c>
      <c r="G471">
        <v>0</v>
      </c>
      <c r="H471">
        <v>1</v>
      </c>
      <c r="I471">
        <v>2230</v>
      </c>
      <c r="J471">
        <v>2939</v>
      </c>
      <c r="K471" s="8">
        <v>5169</v>
      </c>
      <c r="L471" s="12">
        <v>24.62125</v>
      </c>
      <c r="M471" s="12">
        <v>27.583300000000001</v>
      </c>
      <c r="N471" s="12">
        <v>15.583932000000001</v>
      </c>
      <c r="O471" s="13">
        <f t="shared" si="94"/>
        <v>0.34333177566124051</v>
      </c>
      <c r="P471" s="6">
        <f t="shared" si="95"/>
        <v>0.1109674383953087</v>
      </c>
      <c r="Q471" s="6">
        <f t="shared" si="96"/>
        <v>-2.4735263379628578</v>
      </c>
      <c r="R471" s="6">
        <f t="shared" si="97"/>
        <v>0.54373907891272155</v>
      </c>
      <c r="S471">
        <f t="shared" si="98"/>
        <v>0</v>
      </c>
      <c r="T471">
        <f t="shared" si="99"/>
        <v>0</v>
      </c>
      <c r="U471">
        <f t="shared" si="100"/>
        <v>0</v>
      </c>
      <c r="V471">
        <f t="shared" si="101"/>
        <v>0</v>
      </c>
      <c r="W471">
        <f t="shared" si="102"/>
        <v>0</v>
      </c>
      <c r="X471">
        <f t="shared" si="103"/>
        <v>0</v>
      </c>
      <c r="Y471">
        <f t="shared" si="104"/>
        <v>1</v>
      </c>
      <c r="Z471">
        <f t="shared" si="105"/>
        <v>0</v>
      </c>
      <c r="AA471">
        <f t="shared" si="106"/>
        <v>0</v>
      </c>
    </row>
    <row r="472" spans="2:27" x14ac:dyDescent="0.3">
      <c r="B472">
        <v>465</v>
      </c>
      <c r="C472" s="1">
        <v>41008</v>
      </c>
      <c r="D472">
        <v>2</v>
      </c>
      <c r="E472">
        <v>1</v>
      </c>
      <c r="F472">
        <v>4</v>
      </c>
      <c r="G472">
        <v>1</v>
      </c>
      <c r="H472">
        <v>1</v>
      </c>
      <c r="I472">
        <v>905</v>
      </c>
      <c r="J472">
        <v>4680</v>
      </c>
      <c r="K472" s="8">
        <v>5585</v>
      </c>
      <c r="L472" s="12">
        <v>23.831900000000001</v>
      </c>
      <c r="M472" s="12">
        <v>31.75</v>
      </c>
      <c r="N472" s="12">
        <v>23.999131999999999</v>
      </c>
      <c r="O472" s="13">
        <f t="shared" si="94"/>
        <v>0.55822046715978046</v>
      </c>
      <c r="P472" s="6">
        <f t="shared" si="95"/>
        <v>1.4025274196569498E-2</v>
      </c>
      <c r="Q472" s="6">
        <f t="shared" si="96"/>
        <v>-2.1807804686330154</v>
      </c>
      <c r="R472" s="6">
        <f t="shared" si="97"/>
        <v>2.1655384503077402</v>
      </c>
      <c r="S472">
        <f t="shared" si="98"/>
        <v>1</v>
      </c>
      <c r="T472">
        <f t="shared" si="99"/>
        <v>0</v>
      </c>
      <c r="U472">
        <f t="shared" si="100"/>
        <v>0</v>
      </c>
      <c r="V472">
        <f t="shared" si="101"/>
        <v>0</v>
      </c>
      <c r="W472">
        <f t="shared" si="102"/>
        <v>0</v>
      </c>
      <c r="X472">
        <f t="shared" si="103"/>
        <v>0</v>
      </c>
      <c r="Y472">
        <f t="shared" si="104"/>
        <v>1</v>
      </c>
      <c r="Z472">
        <f t="shared" si="105"/>
        <v>0</v>
      </c>
      <c r="AA472">
        <f t="shared" si="106"/>
        <v>0</v>
      </c>
    </row>
    <row r="473" spans="2:27" x14ac:dyDescent="0.3">
      <c r="B473">
        <v>466</v>
      </c>
      <c r="C473" s="1">
        <v>41009</v>
      </c>
      <c r="D473">
        <v>2</v>
      </c>
      <c r="E473">
        <v>1</v>
      </c>
      <c r="F473">
        <v>4</v>
      </c>
      <c r="G473">
        <v>2</v>
      </c>
      <c r="H473">
        <v>1</v>
      </c>
      <c r="I473">
        <v>819</v>
      </c>
      <c r="J473">
        <v>5099</v>
      </c>
      <c r="K473" s="8">
        <v>5918</v>
      </c>
      <c r="L473" s="12">
        <v>21.81165</v>
      </c>
      <c r="M473" s="12">
        <v>43.5</v>
      </c>
      <c r="N473" s="12">
        <v>16.708124999999999</v>
      </c>
      <c r="O473" s="13">
        <f t="shared" si="94"/>
        <v>0.73023473222952517</v>
      </c>
      <c r="P473" s="6">
        <f t="shared" si="95"/>
        <v>-0.23408697920496749</v>
      </c>
      <c r="Q473" s="6">
        <f t="shared" si="96"/>
        <v>-1.3552437214168369</v>
      </c>
      <c r="R473" s="6">
        <f t="shared" si="97"/>
        <v>0.760396496529258</v>
      </c>
      <c r="S473">
        <f t="shared" si="98"/>
        <v>0</v>
      </c>
      <c r="T473">
        <f t="shared" si="99"/>
        <v>1</v>
      </c>
      <c r="U473">
        <f t="shared" si="100"/>
        <v>0</v>
      </c>
      <c r="V473">
        <f t="shared" si="101"/>
        <v>0</v>
      </c>
      <c r="W473">
        <f t="shared" si="102"/>
        <v>0</v>
      </c>
      <c r="X473">
        <f t="shared" si="103"/>
        <v>0</v>
      </c>
      <c r="Y473">
        <f t="shared" si="104"/>
        <v>1</v>
      </c>
      <c r="Z473">
        <f t="shared" si="105"/>
        <v>0</v>
      </c>
      <c r="AA473">
        <f t="shared" si="106"/>
        <v>0</v>
      </c>
    </row>
    <row r="474" spans="2:27" x14ac:dyDescent="0.3">
      <c r="B474">
        <v>467</v>
      </c>
      <c r="C474" s="1">
        <v>41010</v>
      </c>
      <c r="D474">
        <v>2</v>
      </c>
      <c r="E474">
        <v>1</v>
      </c>
      <c r="F474">
        <v>4</v>
      </c>
      <c r="G474">
        <v>3</v>
      </c>
      <c r="H474">
        <v>1</v>
      </c>
      <c r="I474">
        <v>482</v>
      </c>
      <c r="J474">
        <v>4380</v>
      </c>
      <c r="K474" s="8">
        <v>4862</v>
      </c>
      <c r="L474" s="12">
        <v>16.863700000000001</v>
      </c>
      <c r="M474" s="12">
        <v>46.956499999999998</v>
      </c>
      <c r="N474" s="12">
        <v>19.783358</v>
      </c>
      <c r="O474" s="13">
        <f t="shared" si="94"/>
        <v>0.18474805381015455</v>
      </c>
      <c r="P474" s="6">
        <f t="shared" si="95"/>
        <v>-0.8417578240103798</v>
      </c>
      <c r="Q474" s="6">
        <f t="shared" si="96"/>
        <v>-1.1123954008421373</v>
      </c>
      <c r="R474" s="6">
        <f t="shared" si="97"/>
        <v>1.3530634499341943</v>
      </c>
      <c r="S474">
        <f t="shared" si="98"/>
        <v>0</v>
      </c>
      <c r="T474">
        <f t="shared" si="99"/>
        <v>0</v>
      </c>
      <c r="U474">
        <f t="shared" si="100"/>
        <v>1</v>
      </c>
      <c r="V474">
        <f t="shared" si="101"/>
        <v>0</v>
      </c>
      <c r="W474">
        <f t="shared" si="102"/>
        <v>0</v>
      </c>
      <c r="X474">
        <f t="shared" si="103"/>
        <v>0</v>
      </c>
      <c r="Y474">
        <f t="shared" si="104"/>
        <v>1</v>
      </c>
      <c r="Z474">
        <f t="shared" si="105"/>
        <v>0</v>
      </c>
      <c r="AA474">
        <f t="shared" si="106"/>
        <v>0</v>
      </c>
    </row>
    <row r="475" spans="2:27" x14ac:dyDescent="0.3">
      <c r="B475">
        <v>468</v>
      </c>
      <c r="C475" s="1">
        <v>41011</v>
      </c>
      <c r="D475">
        <v>2</v>
      </c>
      <c r="E475">
        <v>1</v>
      </c>
      <c r="F475">
        <v>4</v>
      </c>
      <c r="G475">
        <v>4</v>
      </c>
      <c r="H475">
        <v>1</v>
      </c>
      <c r="I475">
        <v>663</v>
      </c>
      <c r="J475">
        <v>4746</v>
      </c>
      <c r="K475" s="8">
        <v>5409</v>
      </c>
      <c r="L475" s="12">
        <v>19.380199999999999</v>
      </c>
      <c r="M475" s="12">
        <v>46.625</v>
      </c>
      <c r="N475" s="12">
        <v>19.458742999999998</v>
      </c>
      <c r="O475" s="13">
        <f t="shared" si="94"/>
        <v>0.46730602075655203</v>
      </c>
      <c r="P475" s="6">
        <f t="shared" si="95"/>
        <v>-0.53269979372454046</v>
      </c>
      <c r="Q475" s="6">
        <f t="shared" si="96"/>
        <v>-1.1356860758806193</v>
      </c>
      <c r="R475" s="6">
        <f t="shared" si="97"/>
        <v>1.2905027974309387</v>
      </c>
      <c r="S475">
        <f t="shared" si="98"/>
        <v>0</v>
      </c>
      <c r="T475">
        <f t="shared" si="99"/>
        <v>0</v>
      </c>
      <c r="U475">
        <f t="shared" si="100"/>
        <v>0</v>
      </c>
      <c r="V475">
        <f t="shared" si="101"/>
        <v>1</v>
      </c>
      <c r="W475">
        <f t="shared" si="102"/>
        <v>0</v>
      </c>
      <c r="X475">
        <f t="shared" si="103"/>
        <v>0</v>
      </c>
      <c r="Y475">
        <f t="shared" si="104"/>
        <v>1</v>
      </c>
      <c r="Z475">
        <f t="shared" si="105"/>
        <v>0</v>
      </c>
      <c r="AA475">
        <f t="shared" si="106"/>
        <v>0</v>
      </c>
    </row>
    <row r="476" spans="2:27" x14ac:dyDescent="0.3">
      <c r="B476">
        <v>469</v>
      </c>
      <c r="C476" s="1">
        <v>41012</v>
      </c>
      <c r="D476">
        <v>2</v>
      </c>
      <c r="E476">
        <v>1</v>
      </c>
      <c r="F476">
        <v>4</v>
      </c>
      <c r="G476">
        <v>5</v>
      </c>
      <c r="H476">
        <v>1</v>
      </c>
      <c r="I476">
        <v>1252</v>
      </c>
      <c r="J476">
        <v>5146</v>
      </c>
      <c r="K476" s="8">
        <v>6398</v>
      </c>
      <c r="L476" s="12">
        <v>21.590399999999999</v>
      </c>
      <c r="M476" s="12">
        <v>40.833300000000001</v>
      </c>
      <c r="N476" s="12">
        <v>10.416556999999999</v>
      </c>
      <c r="O476" s="13">
        <f t="shared" si="94"/>
        <v>0.97818322242014821</v>
      </c>
      <c r="P476" s="6">
        <f t="shared" si="95"/>
        <v>-0.2612592777150976</v>
      </c>
      <c r="Q476" s="6">
        <f t="shared" si="96"/>
        <v>-1.5426019208892949</v>
      </c>
      <c r="R476" s="6">
        <f t="shared" si="97"/>
        <v>-0.45213095706531081</v>
      </c>
      <c r="S476">
        <f t="shared" si="98"/>
        <v>0</v>
      </c>
      <c r="T476">
        <f t="shared" si="99"/>
        <v>0</v>
      </c>
      <c r="U476">
        <f t="shared" si="100"/>
        <v>0</v>
      </c>
      <c r="V476">
        <f t="shared" si="101"/>
        <v>0</v>
      </c>
      <c r="W476">
        <f t="shared" si="102"/>
        <v>1</v>
      </c>
      <c r="X476">
        <f t="shared" si="103"/>
        <v>0</v>
      </c>
      <c r="Y476">
        <f t="shared" si="104"/>
        <v>1</v>
      </c>
      <c r="Z476">
        <f t="shared" si="105"/>
        <v>0</v>
      </c>
      <c r="AA476">
        <f t="shared" si="106"/>
        <v>0</v>
      </c>
    </row>
    <row r="477" spans="2:27" x14ac:dyDescent="0.3">
      <c r="B477">
        <v>470</v>
      </c>
      <c r="C477" s="1">
        <v>41013</v>
      </c>
      <c r="D477">
        <v>2</v>
      </c>
      <c r="E477">
        <v>1</v>
      </c>
      <c r="F477">
        <v>4</v>
      </c>
      <c r="G477">
        <v>6</v>
      </c>
      <c r="H477">
        <v>1</v>
      </c>
      <c r="I477">
        <v>2795</v>
      </c>
      <c r="J477">
        <v>4665</v>
      </c>
      <c r="K477" s="8">
        <v>7460</v>
      </c>
      <c r="L477" s="12">
        <v>24.399799999999999</v>
      </c>
      <c r="M477" s="12">
        <v>50.291699999999999</v>
      </c>
      <c r="N477" s="12">
        <v>12.791439</v>
      </c>
      <c r="O477" s="13">
        <f t="shared" si="94"/>
        <v>1.5267692569669016</v>
      </c>
      <c r="P477" s="6">
        <f t="shared" si="95"/>
        <v>8.3770577355451972E-2</v>
      </c>
      <c r="Q477" s="6">
        <f t="shared" si="96"/>
        <v>-0.87806942983657155</v>
      </c>
      <c r="R477" s="6">
        <f t="shared" si="97"/>
        <v>5.5625184001976977E-3</v>
      </c>
      <c r="S477">
        <f t="shared" si="98"/>
        <v>0</v>
      </c>
      <c r="T477">
        <f t="shared" si="99"/>
        <v>0</v>
      </c>
      <c r="U477">
        <f t="shared" si="100"/>
        <v>0</v>
      </c>
      <c r="V477">
        <f t="shared" si="101"/>
        <v>0</v>
      </c>
      <c r="W477">
        <f t="shared" si="102"/>
        <v>0</v>
      </c>
      <c r="X477">
        <f t="shared" si="103"/>
        <v>0</v>
      </c>
      <c r="Y477">
        <f t="shared" si="104"/>
        <v>1</v>
      </c>
      <c r="Z477">
        <f t="shared" si="105"/>
        <v>0</v>
      </c>
      <c r="AA477">
        <f t="shared" si="106"/>
        <v>0</v>
      </c>
    </row>
    <row r="478" spans="2:27" x14ac:dyDescent="0.3">
      <c r="B478">
        <v>471</v>
      </c>
      <c r="C478" s="1">
        <v>41014</v>
      </c>
      <c r="D478">
        <v>2</v>
      </c>
      <c r="E478">
        <v>1</v>
      </c>
      <c r="F478">
        <v>4</v>
      </c>
      <c r="G478">
        <v>0</v>
      </c>
      <c r="H478">
        <v>1</v>
      </c>
      <c r="I478">
        <v>2846</v>
      </c>
      <c r="J478">
        <v>4286</v>
      </c>
      <c r="K478" s="8">
        <v>7132</v>
      </c>
      <c r="L478" s="12">
        <v>28.693750000000001</v>
      </c>
      <c r="M478" s="12">
        <v>50.791699999999999</v>
      </c>
      <c r="N478" s="12">
        <v>15.083643</v>
      </c>
      <c r="O478" s="13">
        <f t="shared" si="94"/>
        <v>1.3573377886699758</v>
      </c>
      <c r="P478" s="6">
        <f t="shared" si="95"/>
        <v>0.61112194995465008</v>
      </c>
      <c r="Q478" s="6">
        <f t="shared" si="96"/>
        <v>-0.84294020655077673</v>
      </c>
      <c r="R478" s="6">
        <f t="shared" si="97"/>
        <v>0.44732207329005741</v>
      </c>
      <c r="S478">
        <f t="shared" si="98"/>
        <v>0</v>
      </c>
      <c r="T478">
        <f t="shared" si="99"/>
        <v>0</v>
      </c>
      <c r="U478">
        <f t="shared" si="100"/>
        <v>0</v>
      </c>
      <c r="V478">
        <f t="shared" si="101"/>
        <v>0</v>
      </c>
      <c r="W478">
        <f t="shared" si="102"/>
        <v>0</v>
      </c>
      <c r="X478">
        <f t="shared" si="103"/>
        <v>0</v>
      </c>
      <c r="Y478">
        <f t="shared" si="104"/>
        <v>1</v>
      </c>
      <c r="Z478">
        <f t="shared" si="105"/>
        <v>0</v>
      </c>
      <c r="AA478">
        <f t="shared" si="106"/>
        <v>0</v>
      </c>
    </row>
    <row r="479" spans="2:27" x14ac:dyDescent="0.3">
      <c r="B479">
        <v>472</v>
      </c>
      <c r="C479" s="1">
        <v>41015</v>
      </c>
      <c r="D479">
        <v>2</v>
      </c>
      <c r="E479">
        <v>1</v>
      </c>
      <c r="F479">
        <v>4</v>
      </c>
      <c r="G479">
        <v>1</v>
      </c>
      <c r="H479">
        <v>1</v>
      </c>
      <c r="I479">
        <v>1198</v>
      </c>
      <c r="J479">
        <v>5172</v>
      </c>
      <c r="K479" s="8">
        <v>6370</v>
      </c>
      <c r="L479" s="12">
        <v>30.74625</v>
      </c>
      <c r="M479" s="12">
        <v>56.166699999999999</v>
      </c>
      <c r="N479" s="12">
        <v>19.083542999999999</v>
      </c>
      <c r="O479" s="13">
        <f t="shared" si="94"/>
        <v>0.96371956049236185</v>
      </c>
      <c r="P479" s="6">
        <f t="shared" si="95"/>
        <v>0.86319491127461245</v>
      </c>
      <c r="Q479" s="6">
        <f t="shared" si="96"/>
        <v>-0.46530105622848222</v>
      </c>
      <c r="R479" s="6">
        <f t="shared" si="97"/>
        <v>1.218193271317785</v>
      </c>
      <c r="S479">
        <f t="shared" si="98"/>
        <v>1</v>
      </c>
      <c r="T479">
        <f t="shared" si="99"/>
        <v>0</v>
      </c>
      <c r="U479">
        <f t="shared" si="100"/>
        <v>0</v>
      </c>
      <c r="V479">
        <f t="shared" si="101"/>
        <v>0</v>
      </c>
      <c r="W479">
        <f t="shared" si="102"/>
        <v>0</v>
      </c>
      <c r="X479">
        <f t="shared" si="103"/>
        <v>0</v>
      </c>
      <c r="Y479">
        <f t="shared" si="104"/>
        <v>1</v>
      </c>
      <c r="Z479">
        <f t="shared" si="105"/>
        <v>0</v>
      </c>
      <c r="AA479">
        <f t="shared" si="106"/>
        <v>0</v>
      </c>
    </row>
    <row r="480" spans="2:27" x14ac:dyDescent="0.3">
      <c r="B480">
        <v>473</v>
      </c>
      <c r="C480" s="1">
        <v>41016</v>
      </c>
      <c r="D480">
        <v>2</v>
      </c>
      <c r="E480">
        <v>1</v>
      </c>
      <c r="F480">
        <v>4</v>
      </c>
      <c r="G480">
        <v>2</v>
      </c>
      <c r="H480">
        <v>1</v>
      </c>
      <c r="I480">
        <v>989</v>
      </c>
      <c r="J480">
        <v>5702</v>
      </c>
      <c r="K480" s="8">
        <v>6691</v>
      </c>
      <c r="L480" s="12">
        <v>29.92435</v>
      </c>
      <c r="M480" s="12">
        <v>39.041699999999999</v>
      </c>
      <c r="N480" s="12">
        <v>18.333143</v>
      </c>
      <c r="O480" s="13">
        <f t="shared" si="94"/>
        <v>1.129535113307341</v>
      </c>
      <c r="P480" s="6">
        <f t="shared" si="95"/>
        <v>0.76225519536285746</v>
      </c>
      <c r="Q480" s="6">
        <f t="shared" si="96"/>
        <v>-1.6684769537669553</v>
      </c>
      <c r="R480" s="6">
        <f t="shared" si="97"/>
        <v>1.0735742190914779</v>
      </c>
      <c r="S480">
        <f t="shared" si="98"/>
        <v>0</v>
      </c>
      <c r="T480">
        <f t="shared" si="99"/>
        <v>1</v>
      </c>
      <c r="U480">
        <f t="shared" si="100"/>
        <v>0</v>
      </c>
      <c r="V480">
        <f t="shared" si="101"/>
        <v>0</v>
      </c>
      <c r="W480">
        <f t="shared" si="102"/>
        <v>0</v>
      </c>
      <c r="X480">
        <f t="shared" si="103"/>
        <v>0</v>
      </c>
      <c r="Y480">
        <f t="shared" si="104"/>
        <v>1</v>
      </c>
      <c r="Z480">
        <f t="shared" si="105"/>
        <v>0</v>
      </c>
      <c r="AA480">
        <f t="shared" si="106"/>
        <v>0</v>
      </c>
    </row>
    <row r="481" spans="2:27" x14ac:dyDescent="0.3">
      <c r="B481">
        <v>474</v>
      </c>
      <c r="C481" s="1">
        <v>41017</v>
      </c>
      <c r="D481">
        <v>2</v>
      </c>
      <c r="E481">
        <v>1</v>
      </c>
      <c r="F481">
        <v>4</v>
      </c>
      <c r="G481">
        <v>3</v>
      </c>
      <c r="H481">
        <v>2</v>
      </c>
      <c r="I481">
        <v>347</v>
      </c>
      <c r="J481">
        <v>4020</v>
      </c>
      <c r="K481" s="8">
        <v>4367</v>
      </c>
      <c r="L481" s="12">
        <v>22.851900000000001</v>
      </c>
      <c r="M481" s="12">
        <v>56.916699999999999</v>
      </c>
      <c r="N481" s="12">
        <v>11.250104</v>
      </c>
      <c r="O481" s="13">
        <f t="shared" si="94"/>
        <v>-7.0948826698925438E-2</v>
      </c>
      <c r="P481" s="6">
        <f t="shared" si="95"/>
        <v>-0.10633112146411916</v>
      </c>
      <c r="Q481" s="6">
        <f t="shared" si="96"/>
        <v>-0.41260722129978999</v>
      </c>
      <c r="R481" s="6">
        <f t="shared" si="97"/>
        <v>-0.29148759735571322</v>
      </c>
      <c r="S481">
        <f t="shared" si="98"/>
        <v>0</v>
      </c>
      <c r="T481">
        <f t="shared" si="99"/>
        <v>0</v>
      </c>
      <c r="U481">
        <f t="shared" si="100"/>
        <v>1</v>
      </c>
      <c r="V481">
        <f t="shared" si="101"/>
        <v>0</v>
      </c>
      <c r="W481">
        <f t="shared" si="102"/>
        <v>0</v>
      </c>
      <c r="X481">
        <f t="shared" si="103"/>
        <v>0</v>
      </c>
      <c r="Y481">
        <f t="shared" si="104"/>
        <v>1</v>
      </c>
      <c r="Z481">
        <f t="shared" si="105"/>
        <v>0</v>
      </c>
      <c r="AA481">
        <f t="shared" si="106"/>
        <v>0</v>
      </c>
    </row>
    <row r="482" spans="2:27" x14ac:dyDescent="0.3">
      <c r="B482">
        <v>475</v>
      </c>
      <c r="C482" s="1">
        <v>41018</v>
      </c>
      <c r="D482">
        <v>2</v>
      </c>
      <c r="E482">
        <v>1</v>
      </c>
      <c r="F482">
        <v>4</v>
      </c>
      <c r="G482">
        <v>4</v>
      </c>
      <c r="H482">
        <v>1</v>
      </c>
      <c r="I482">
        <v>846</v>
      </c>
      <c r="J482">
        <v>5719</v>
      </c>
      <c r="K482" s="8">
        <v>6565</v>
      </c>
      <c r="L482" s="12">
        <v>24.6523</v>
      </c>
      <c r="M482" s="12">
        <v>61.25</v>
      </c>
      <c r="N482" s="12">
        <v>4.4172564000000003</v>
      </c>
      <c r="O482" s="13">
        <f t="shared" si="94"/>
        <v>1.0644486346323023</v>
      </c>
      <c r="P482" s="6">
        <f t="shared" si="95"/>
        <v>0.11478077113537445</v>
      </c>
      <c r="Q482" s="6">
        <f t="shared" si="96"/>
        <v>-0.10815629477112045</v>
      </c>
      <c r="R482" s="6">
        <f t="shared" si="97"/>
        <v>-1.6083318723008084</v>
      </c>
      <c r="S482">
        <f t="shared" si="98"/>
        <v>0</v>
      </c>
      <c r="T482">
        <f t="shared" si="99"/>
        <v>0</v>
      </c>
      <c r="U482">
        <f t="shared" si="100"/>
        <v>0</v>
      </c>
      <c r="V482">
        <f t="shared" si="101"/>
        <v>1</v>
      </c>
      <c r="W482">
        <f t="shared" si="102"/>
        <v>0</v>
      </c>
      <c r="X482">
        <f t="shared" si="103"/>
        <v>0</v>
      </c>
      <c r="Y482">
        <f t="shared" si="104"/>
        <v>1</v>
      </c>
      <c r="Z482">
        <f t="shared" si="105"/>
        <v>0</v>
      </c>
      <c r="AA482">
        <f t="shared" si="106"/>
        <v>0</v>
      </c>
    </row>
    <row r="483" spans="2:27" x14ac:dyDescent="0.3">
      <c r="B483">
        <v>476</v>
      </c>
      <c r="C483" s="1">
        <v>41019</v>
      </c>
      <c r="D483">
        <v>2</v>
      </c>
      <c r="E483">
        <v>1</v>
      </c>
      <c r="F483">
        <v>4</v>
      </c>
      <c r="G483">
        <v>5</v>
      </c>
      <c r="H483">
        <v>1</v>
      </c>
      <c r="I483">
        <v>1340</v>
      </c>
      <c r="J483">
        <v>5950</v>
      </c>
      <c r="K483" s="8">
        <v>7290</v>
      </c>
      <c r="L483" s="12">
        <v>25.78875</v>
      </c>
      <c r="M483" s="12">
        <v>69.458299999999994</v>
      </c>
      <c r="N483" s="12">
        <v>10.041357</v>
      </c>
      <c r="O483" s="13">
        <f t="shared" si="94"/>
        <v>1.4389541666910559</v>
      </c>
      <c r="P483" s="6">
        <f t="shared" si="95"/>
        <v>0.25435120567475156</v>
      </c>
      <c r="Q483" s="6">
        <f t="shared" si="96"/>
        <v>0.46854611222245857</v>
      </c>
      <c r="R483" s="6">
        <f t="shared" si="97"/>
        <v>-0.52444048317846437</v>
      </c>
      <c r="S483">
        <f t="shared" si="98"/>
        <v>0</v>
      </c>
      <c r="T483">
        <f t="shared" si="99"/>
        <v>0</v>
      </c>
      <c r="U483">
        <f t="shared" si="100"/>
        <v>0</v>
      </c>
      <c r="V483">
        <f t="shared" si="101"/>
        <v>0</v>
      </c>
      <c r="W483">
        <f t="shared" si="102"/>
        <v>1</v>
      </c>
      <c r="X483">
        <f t="shared" si="103"/>
        <v>0</v>
      </c>
      <c r="Y483">
        <f t="shared" si="104"/>
        <v>1</v>
      </c>
      <c r="Z483">
        <f t="shared" si="105"/>
        <v>0</v>
      </c>
      <c r="AA483">
        <f t="shared" si="106"/>
        <v>0</v>
      </c>
    </row>
    <row r="484" spans="2:27" x14ac:dyDescent="0.3">
      <c r="B484">
        <v>477</v>
      </c>
      <c r="C484" s="1">
        <v>41020</v>
      </c>
      <c r="D484">
        <v>2</v>
      </c>
      <c r="E484">
        <v>1</v>
      </c>
      <c r="F484">
        <v>4</v>
      </c>
      <c r="G484">
        <v>6</v>
      </c>
      <c r="H484">
        <v>1</v>
      </c>
      <c r="I484">
        <v>2541</v>
      </c>
      <c r="J484">
        <v>4083</v>
      </c>
      <c r="K484" s="8">
        <v>6624</v>
      </c>
      <c r="L484" s="12">
        <v>27.146049999999999</v>
      </c>
      <c r="M484" s="12">
        <v>68.291700000000006</v>
      </c>
      <c r="N484" s="12">
        <v>19.000329000000001</v>
      </c>
      <c r="O484" s="13">
        <f t="shared" si="94"/>
        <v>1.0949256365515665</v>
      </c>
      <c r="P484" s="6">
        <f t="shared" si="95"/>
        <v>0.42104481366480512</v>
      </c>
      <c r="Q484" s="6">
        <f t="shared" si="96"/>
        <v>0.3865826084520429</v>
      </c>
      <c r="R484" s="6">
        <f t="shared" si="97"/>
        <v>1.2021560514191181</v>
      </c>
      <c r="S484">
        <f t="shared" si="98"/>
        <v>0</v>
      </c>
      <c r="T484">
        <f t="shared" si="99"/>
        <v>0</v>
      </c>
      <c r="U484">
        <f t="shared" si="100"/>
        <v>0</v>
      </c>
      <c r="V484">
        <f t="shared" si="101"/>
        <v>0</v>
      </c>
      <c r="W484">
        <f t="shared" si="102"/>
        <v>0</v>
      </c>
      <c r="X484">
        <f t="shared" si="103"/>
        <v>0</v>
      </c>
      <c r="Y484">
        <f t="shared" si="104"/>
        <v>1</v>
      </c>
      <c r="Z484">
        <f t="shared" si="105"/>
        <v>0</v>
      </c>
      <c r="AA484">
        <f t="shared" si="106"/>
        <v>0</v>
      </c>
    </row>
    <row r="485" spans="2:27" x14ac:dyDescent="0.3">
      <c r="B485">
        <v>478</v>
      </c>
      <c r="C485" s="1">
        <v>41021</v>
      </c>
      <c r="D485">
        <v>2</v>
      </c>
      <c r="E485">
        <v>1</v>
      </c>
      <c r="F485">
        <v>4</v>
      </c>
      <c r="G485">
        <v>0</v>
      </c>
      <c r="H485">
        <v>3</v>
      </c>
      <c r="I485">
        <v>120</v>
      </c>
      <c r="J485">
        <v>907</v>
      </c>
      <c r="K485" s="8">
        <v>1027</v>
      </c>
      <c r="L485" s="12">
        <v>19.475200000000001</v>
      </c>
      <c r="M485" s="12">
        <v>83.541700000000006</v>
      </c>
      <c r="N485" s="12">
        <v>23.084582000000001</v>
      </c>
      <c r="O485" s="13">
        <f t="shared" si="94"/>
        <v>-1.7962570709420105</v>
      </c>
      <c r="P485" s="6">
        <f t="shared" si="95"/>
        <v>-0.52103259210437136</v>
      </c>
      <c r="Q485" s="6">
        <f t="shared" si="96"/>
        <v>1.4580239186687851</v>
      </c>
      <c r="R485" s="6">
        <f t="shared" si="97"/>
        <v>1.9892839804069282</v>
      </c>
      <c r="S485">
        <f t="shared" si="98"/>
        <v>0</v>
      </c>
      <c r="T485">
        <f t="shared" si="99"/>
        <v>0</v>
      </c>
      <c r="U485">
        <f t="shared" si="100"/>
        <v>0</v>
      </c>
      <c r="V485">
        <f t="shared" si="101"/>
        <v>0</v>
      </c>
      <c r="W485">
        <f t="shared" si="102"/>
        <v>0</v>
      </c>
      <c r="X485">
        <f t="shared" si="103"/>
        <v>1</v>
      </c>
      <c r="Y485">
        <f t="shared" si="104"/>
        <v>1</v>
      </c>
      <c r="Z485">
        <f t="shared" si="105"/>
        <v>0</v>
      </c>
      <c r="AA485">
        <f t="shared" si="106"/>
        <v>0</v>
      </c>
    </row>
    <row r="486" spans="2:27" x14ac:dyDescent="0.3">
      <c r="B486">
        <v>479</v>
      </c>
      <c r="C486" s="1">
        <v>41022</v>
      </c>
      <c r="D486">
        <v>2</v>
      </c>
      <c r="E486">
        <v>1</v>
      </c>
      <c r="F486">
        <v>4</v>
      </c>
      <c r="G486">
        <v>1</v>
      </c>
      <c r="H486">
        <v>2</v>
      </c>
      <c r="I486">
        <v>195</v>
      </c>
      <c r="J486">
        <v>3019</v>
      </c>
      <c r="K486" s="8">
        <v>3214</v>
      </c>
      <c r="L486" s="12">
        <v>15.05625</v>
      </c>
      <c r="M486" s="12">
        <v>76.666700000000006</v>
      </c>
      <c r="N486" s="12">
        <v>20.334232</v>
      </c>
      <c r="O486" s="13">
        <f t="shared" si="94"/>
        <v>-0.6665417625109844</v>
      </c>
      <c r="P486" s="6">
        <f t="shared" si="95"/>
        <v>-1.0637355457827387</v>
      </c>
      <c r="Q486" s="6">
        <f t="shared" si="96"/>
        <v>0.97499709848910632</v>
      </c>
      <c r="R486" s="6">
        <f t="shared" si="97"/>
        <v>1.4592293291667566</v>
      </c>
      <c r="S486">
        <f t="shared" si="98"/>
        <v>1</v>
      </c>
      <c r="T486">
        <f t="shared" si="99"/>
        <v>0</v>
      </c>
      <c r="U486">
        <f t="shared" si="100"/>
        <v>0</v>
      </c>
      <c r="V486">
        <f t="shared" si="101"/>
        <v>0</v>
      </c>
      <c r="W486">
        <f t="shared" si="102"/>
        <v>0</v>
      </c>
      <c r="X486">
        <f t="shared" si="103"/>
        <v>0</v>
      </c>
      <c r="Y486">
        <f t="shared" si="104"/>
        <v>1</v>
      </c>
      <c r="Z486">
        <f t="shared" si="105"/>
        <v>0</v>
      </c>
      <c r="AA486">
        <f t="shared" si="106"/>
        <v>0</v>
      </c>
    </row>
    <row r="487" spans="2:27" x14ac:dyDescent="0.3">
      <c r="B487">
        <v>480</v>
      </c>
      <c r="C487" s="1">
        <v>41023</v>
      </c>
      <c r="D487">
        <v>2</v>
      </c>
      <c r="E487">
        <v>1</v>
      </c>
      <c r="F487">
        <v>4</v>
      </c>
      <c r="G487">
        <v>2</v>
      </c>
      <c r="H487">
        <v>1</v>
      </c>
      <c r="I487">
        <v>518</v>
      </c>
      <c r="J487">
        <v>5115</v>
      </c>
      <c r="K487" s="8">
        <v>5633</v>
      </c>
      <c r="L487" s="12">
        <v>20.264150000000001</v>
      </c>
      <c r="M487" s="12">
        <v>45.416699999999999</v>
      </c>
      <c r="N487" s="12">
        <v>16.708660999999999</v>
      </c>
      <c r="O487" s="13">
        <f t="shared" si="94"/>
        <v>0.58301531617884272</v>
      </c>
      <c r="P487" s="6">
        <f t="shared" si="95"/>
        <v>-0.42413955296508538</v>
      </c>
      <c r="Q487" s="6">
        <f t="shared" si="96"/>
        <v>-1.2205793568730712</v>
      </c>
      <c r="R487" s="6">
        <f t="shared" si="97"/>
        <v>0.76049979585227689</v>
      </c>
      <c r="S487">
        <f t="shared" si="98"/>
        <v>0</v>
      </c>
      <c r="T487">
        <f t="shared" si="99"/>
        <v>1</v>
      </c>
      <c r="U487">
        <f t="shared" si="100"/>
        <v>0</v>
      </c>
      <c r="V487">
        <f t="shared" si="101"/>
        <v>0</v>
      </c>
      <c r="W487">
        <f t="shared" si="102"/>
        <v>0</v>
      </c>
      <c r="X487">
        <f t="shared" si="103"/>
        <v>0</v>
      </c>
      <c r="Y487">
        <f t="shared" si="104"/>
        <v>1</v>
      </c>
      <c r="Z487">
        <f t="shared" si="105"/>
        <v>0</v>
      </c>
      <c r="AA487">
        <f t="shared" si="106"/>
        <v>0</v>
      </c>
    </row>
    <row r="488" spans="2:27" x14ac:dyDescent="0.3">
      <c r="B488">
        <v>481</v>
      </c>
      <c r="C488" s="1">
        <v>41024</v>
      </c>
      <c r="D488">
        <v>2</v>
      </c>
      <c r="E488">
        <v>1</v>
      </c>
      <c r="F488">
        <v>4</v>
      </c>
      <c r="G488">
        <v>3</v>
      </c>
      <c r="H488">
        <v>1</v>
      </c>
      <c r="I488">
        <v>655</v>
      </c>
      <c r="J488">
        <v>5541</v>
      </c>
      <c r="K488" s="8">
        <v>6196</v>
      </c>
      <c r="L488" s="12">
        <v>23.51585</v>
      </c>
      <c r="M488" s="12">
        <v>42.791699999999999</v>
      </c>
      <c r="N488" s="12">
        <v>7.9590639999999997</v>
      </c>
      <c r="O488" s="13">
        <f t="shared" si="94"/>
        <v>0.87383823279826101</v>
      </c>
      <c r="P488" s="6">
        <f t="shared" si="95"/>
        <v>-2.4789663404002654E-2</v>
      </c>
      <c r="Q488" s="6">
        <f t="shared" si="96"/>
        <v>-1.4050077791234941</v>
      </c>
      <c r="R488" s="6">
        <f t="shared" si="97"/>
        <v>-0.9257454406910901</v>
      </c>
      <c r="S488">
        <f t="shared" si="98"/>
        <v>0</v>
      </c>
      <c r="T488">
        <f t="shared" si="99"/>
        <v>0</v>
      </c>
      <c r="U488">
        <f t="shared" si="100"/>
        <v>1</v>
      </c>
      <c r="V488">
        <f t="shared" si="101"/>
        <v>0</v>
      </c>
      <c r="W488">
        <f t="shared" si="102"/>
        <v>0</v>
      </c>
      <c r="X488">
        <f t="shared" si="103"/>
        <v>0</v>
      </c>
      <c r="Y488">
        <f t="shared" si="104"/>
        <v>1</v>
      </c>
      <c r="Z488">
        <f t="shared" si="105"/>
        <v>0</v>
      </c>
      <c r="AA488">
        <f t="shared" si="106"/>
        <v>0</v>
      </c>
    </row>
    <row r="489" spans="2:27" x14ac:dyDescent="0.3">
      <c r="B489">
        <v>482</v>
      </c>
      <c r="C489" s="1">
        <v>41025</v>
      </c>
      <c r="D489">
        <v>2</v>
      </c>
      <c r="E489">
        <v>1</v>
      </c>
      <c r="F489">
        <v>4</v>
      </c>
      <c r="G489">
        <v>4</v>
      </c>
      <c r="H489">
        <v>2</v>
      </c>
      <c r="I489">
        <v>475</v>
      </c>
      <c r="J489">
        <v>4551</v>
      </c>
      <c r="K489" s="8">
        <v>5026</v>
      </c>
      <c r="L489" s="12">
        <v>24.17915</v>
      </c>
      <c r="M489" s="12">
        <v>75.666700000000006</v>
      </c>
      <c r="N489" s="12">
        <v>11.833875000000001</v>
      </c>
      <c r="O489" s="13">
        <f t="shared" si="94"/>
        <v>0.26946378795861742</v>
      </c>
      <c r="P489" s="6">
        <f t="shared" si="95"/>
        <v>5.667196643450214E-2</v>
      </c>
      <c r="Q489" s="6">
        <f t="shared" si="96"/>
        <v>0.90473865191751668</v>
      </c>
      <c r="R489" s="6">
        <f t="shared" si="97"/>
        <v>-0.17898172217287237</v>
      </c>
      <c r="S489">
        <f t="shared" si="98"/>
        <v>0</v>
      </c>
      <c r="T489">
        <f t="shared" si="99"/>
        <v>0</v>
      </c>
      <c r="U489">
        <f t="shared" si="100"/>
        <v>0</v>
      </c>
      <c r="V489">
        <f t="shared" si="101"/>
        <v>1</v>
      </c>
      <c r="W489">
        <f t="shared" si="102"/>
        <v>0</v>
      </c>
      <c r="X489">
        <f t="shared" si="103"/>
        <v>0</v>
      </c>
      <c r="Y489">
        <f t="shared" si="104"/>
        <v>1</v>
      </c>
      <c r="Z489">
        <f t="shared" si="105"/>
        <v>0</v>
      </c>
      <c r="AA489">
        <f t="shared" si="106"/>
        <v>0</v>
      </c>
    </row>
    <row r="490" spans="2:27" x14ac:dyDescent="0.3">
      <c r="B490">
        <v>483</v>
      </c>
      <c r="C490" s="1">
        <v>41026</v>
      </c>
      <c r="D490">
        <v>2</v>
      </c>
      <c r="E490">
        <v>1</v>
      </c>
      <c r="F490">
        <v>4</v>
      </c>
      <c r="G490">
        <v>5</v>
      </c>
      <c r="H490">
        <v>1</v>
      </c>
      <c r="I490">
        <v>1014</v>
      </c>
      <c r="J490">
        <v>5219</v>
      </c>
      <c r="K490" s="8">
        <v>6233</v>
      </c>
      <c r="L490" s="12">
        <v>22.63185</v>
      </c>
      <c r="M490" s="12">
        <v>40.083300000000001</v>
      </c>
      <c r="N490" s="12">
        <v>23.291411</v>
      </c>
      <c r="O490" s="13">
        <f t="shared" si="94"/>
        <v>0.89295092891712147</v>
      </c>
      <c r="P490" s="6">
        <f t="shared" si="95"/>
        <v>-0.13335604479588914</v>
      </c>
      <c r="Q490" s="6">
        <f t="shared" si="96"/>
        <v>-1.5952957558179872</v>
      </c>
      <c r="R490" s="6">
        <f t="shared" si="97"/>
        <v>2.029144606676804</v>
      </c>
      <c r="S490">
        <f t="shared" si="98"/>
        <v>0</v>
      </c>
      <c r="T490">
        <f t="shared" si="99"/>
        <v>0</v>
      </c>
      <c r="U490">
        <f t="shared" si="100"/>
        <v>0</v>
      </c>
      <c r="V490">
        <f t="shared" si="101"/>
        <v>0</v>
      </c>
      <c r="W490">
        <f t="shared" si="102"/>
        <v>1</v>
      </c>
      <c r="X490">
        <f t="shared" si="103"/>
        <v>0</v>
      </c>
      <c r="Y490">
        <f t="shared" si="104"/>
        <v>1</v>
      </c>
      <c r="Z490">
        <f t="shared" si="105"/>
        <v>0</v>
      </c>
      <c r="AA490">
        <f t="shared" si="106"/>
        <v>0</v>
      </c>
    </row>
    <row r="491" spans="2:27" x14ac:dyDescent="0.3">
      <c r="B491">
        <v>484</v>
      </c>
      <c r="C491" s="1">
        <v>41027</v>
      </c>
      <c r="D491">
        <v>2</v>
      </c>
      <c r="E491">
        <v>1</v>
      </c>
      <c r="F491">
        <v>4</v>
      </c>
      <c r="G491">
        <v>6</v>
      </c>
      <c r="H491">
        <v>2</v>
      </c>
      <c r="I491">
        <v>1120</v>
      </c>
      <c r="J491">
        <v>3100</v>
      </c>
      <c r="K491" s="8">
        <v>4220</v>
      </c>
      <c r="L491" s="12">
        <v>18.8752</v>
      </c>
      <c r="M491" s="12">
        <v>48.958300000000001</v>
      </c>
      <c r="N491" s="12">
        <v>8.7083250000000003</v>
      </c>
      <c r="O491" s="13">
        <f t="shared" si="94"/>
        <v>-0.14688305181980374</v>
      </c>
      <c r="P491" s="6">
        <f t="shared" si="95"/>
        <v>-0.59472018128438497</v>
      </c>
      <c r="Q491" s="6">
        <f t="shared" si="96"/>
        <v>-0.97175204249512903</v>
      </c>
      <c r="R491" s="6">
        <f t="shared" si="97"/>
        <v>-0.78134589952619748</v>
      </c>
      <c r="S491">
        <f t="shared" si="98"/>
        <v>0</v>
      </c>
      <c r="T491">
        <f t="shared" si="99"/>
        <v>0</v>
      </c>
      <c r="U491">
        <f t="shared" si="100"/>
        <v>0</v>
      </c>
      <c r="V491">
        <f t="shared" si="101"/>
        <v>0</v>
      </c>
      <c r="W491">
        <f t="shared" si="102"/>
        <v>0</v>
      </c>
      <c r="X491">
        <f t="shared" si="103"/>
        <v>0</v>
      </c>
      <c r="Y491">
        <f t="shared" si="104"/>
        <v>1</v>
      </c>
      <c r="Z491">
        <f t="shared" si="105"/>
        <v>0</v>
      </c>
      <c r="AA491">
        <f t="shared" si="106"/>
        <v>0</v>
      </c>
    </row>
    <row r="492" spans="2:27" x14ac:dyDescent="0.3">
      <c r="B492">
        <v>485</v>
      </c>
      <c r="C492" s="1">
        <v>41028</v>
      </c>
      <c r="D492">
        <v>2</v>
      </c>
      <c r="E492">
        <v>1</v>
      </c>
      <c r="F492">
        <v>4</v>
      </c>
      <c r="G492">
        <v>0</v>
      </c>
      <c r="H492">
        <v>1</v>
      </c>
      <c r="I492">
        <v>2229</v>
      </c>
      <c r="J492">
        <v>4075</v>
      </c>
      <c r="K492" s="8">
        <v>6304</v>
      </c>
      <c r="L492" s="12">
        <v>22.506049999999998</v>
      </c>
      <c r="M492" s="12">
        <v>58.708300000000001</v>
      </c>
      <c r="N492" s="12">
        <v>7.8328360000000004</v>
      </c>
      <c r="O492" s="13">
        <f t="shared" si="94"/>
        <v>0.92962664309115117</v>
      </c>
      <c r="P492" s="6">
        <f t="shared" si="95"/>
        <v>-0.1488058759939655</v>
      </c>
      <c r="Q492" s="6">
        <f t="shared" si="96"/>
        <v>-0.28673218842212977</v>
      </c>
      <c r="R492" s="6">
        <f t="shared" si="97"/>
        <v>-0.95007243126201524</v>
      </c>
      <c r="S492">
        <f t="shared" si="98"/>
        <v>0</v>
      </c>
      <c r="T492">
        <f t="shared" si="99"/>
        <v>0</v>
      </c>
      <c r="U492">
        <f t="shared" si="100"/>
        <v>0</v>
      </c>
      <c r="V492">
        <f t="shared" si="101"/>
        <v>0</v>
      </c>
      <c r="W492">
        <f t="shared" si="102"/>
        <v>0</v>
      </c>
      <c r="X492">
        <f t="shared" si="103"/>
        <v>0</v>
      </c>
      <c r="Y492">
        <f t="shared" si="104"/>
        <v>1</v>
      </c>
      <c r="Z492">
        <f t="shared" si="105"/>
        <v>0</v>
      </c>
      <c r="AA492">
        <f t="shared" si="106"/>
        <v>0</v>
      </c>
    </row>
    <row r="493" spans="2:27" x14ac:dyDescent="0.3">
      <c r="B493">
        <v>486</v>
      </c>
      <c r="C493" s="1">
        <v>41029</v>
      </c>
      <c r="D493">
        <v>2</v>
      </c>
      <c r="E493">
        <v>1</v>
      </c>
      <c r="F493">
        <v>4</v>
      </c>
      <c r="G493">
        <v>1</v>
      </c>
      <c r="H493">
        <v>2</v>
      </c>
      <c r="I493">
        <v>665</v>
      </c>
      <c r="J493">
        <v>4907</v>
      </c>
      <c r="K493" s="8">
        <v>5572</v>
      </c>
      <c r="L493" s="12">
        <v>22.884799999999998</v>
      </c>
      <c r="M493" s="12">
        <v>57</v>
      </c>
      <c r="N493" s="12">
        <v>11.499746</v>
      </c>
      <c r="O493" s="13">
        <f t="shared" si="94"/>
        <v>0.55150519555045108</v>
      </c>
      <c r="P493" s="6">
        <f t="shared" si="95"/>
        <v>-0.10229058532408201</v>
      </c>
      <c r="Q493" s="6">
        <f t="shared" si="96"/>
        <v>-0.40675469270037651</v>
      </c>
      <c r="R493" s="6">
        <f t="shared" si="97"/>
        <v>-0.24337593765971136</v>
      </c>
      <c r="S493">
        <f t="shared" si="98"/>
        <v>1</v>
      </c>
      <c r="T493">
        <f t="shared" si="99"/>
        <v>0</v>
      </c>
      <c r="U493">
        <f t="shared" si="100"/>
        <v>0</v>
      </c>
      <c r="V493">
        <f t="shared" si="101"/>
        <v>0</v>
      </c>
      <c r="W493">
        <f t="shared" si="102"/>
        <v>0</v>
      </c>
      <c r="X493">
        <f t="shared" si="103"/>
        <v>0</v>
      </c>
      <c r="Y493">
        <f t="shared" si="104"/>
        <v>1</v>
      </c>
      <c r="Z493">
        <f t="shared" si="105"/>
        <v>0</v>
      </c>
      <c r="AA493">
        <f t="shared" si="106"/>
        <v>0</v>
      </c>
    </row>
    <row r="494" spans="2:27" x14ac:dyDescent="0.3">
      <c r="B494">
        <v>487</v>
      </c>
      <c r="C494" s="1">
        <v>41030</v>
      </c>
      <c r="D494">
        <v>2</v>
      </c>
      <c r="E494">
        <v>1</v>
      </c>
      <c r="F494">
        <v>5</v>
      </c>
      <c r="G494">
        <v>2</v>
      </c>
      <c r="H494">
        <v>2</v>
      </c>
      <c r="I494">
        <v>653</v>
      </c>
      <c r="J494">
        <v>5087</v>
      </c>
      <c r="K494" s="8">
        <v>5740</v>
      </c>
      <c r="L494" s="12">
        <v>28.851050000000001</v>
      </c>
      <c r="M494" s="12">
        <v>65.958299999999994</v>
      </c>
      <c r="N494" s="12">
        <v>10.458432</v>
      </c>
      <c r="O494" s="13">
        <f t="shared" si="94"/>
        <v>0.63828716711716915</v>
      </c>
      <c r="P494" s="6">
        <f t="shared" si="95"/>
        <v>0.6304403795846768</v>
      </c>
      <c r="Q494" s="6">
        <f t="shared" si="96"/>
        <v>0.22264154922189475</v>
      </c>
      <c r="R494" s="6">
        <f t="shared" si="97"/>
        <v>-0.44406069745446758</v>
      </c>
      <c r="S494">
        <f t="shared" si="98"/>
        <v>0</v>
      </c>
      <c r="T494">
        <f t="shared" si="99"/>
        <v>1</v>
      </c>
      <c r="U494">
        <f t="shared" si="100"/>
        <v>0</v>
      </c>
      <c r="V494">
        <f t="shared" si="101"/>
        <v>0</v>
      </c>
      <c r="W494">
        <f t="shared" si="102"/>
        <v>0</v>
      </c>
      <c r="X494">
        <f t="shared" si="103"/>
        <v>0</v>
      </c>
      <c r="Y494">
        <f t="shared" si="104"/>
        <v>1</v>
      </c>
      <c r="Z494">
        <f t="shared" si="105"/>
        <v>0</v>
      </c>
      <c r="AA494">
        <f t="shared" si="106"/>
        <v>0</v>
      </c>
    </row>
    <row r="495" spans="2:27" x14ac:dyDescent="0.3">
      <c r="B495">
        <v>488</v>
      </c>
      <c r="C495" s="1">
        <v>41031</v>
      </c>
      <c r="D495">
        <v>2</v>
      </c>
      <c r="E495">
        <v>1</v>
      </c>
      <c r="F495">
        <v>5</v>
      </c>
      <c r="G495">
        <v>3</v>
      </c>
      <c r="H495">
        <v>1</v>
      </c>
      <c r="I495">
        <v>667</v>
      </c>
      <c r="J495">
        <v>5502</v>
      </c>
      <c r="K495" s="8">
        <v>6169</v>
      </c>
      <c r="L495" s="12">
        <v>26.8948</v>
      </c>
      <c r="M495" s="12">
        <v>79.708299999999994</v>
      </c>
      <c r="N495" s="12">
        <v>9.2498860000000001</v>
      </c>
      <c r="O495" s="13">
        <f t="shared" si="94"/>
        <v>0.85989113022503838</v>
      </c>
      <c r="P495" s="6">
        <f t="shared" si="95"/>
        <v>0.39018813569567462</v>
      </c>
      <c r="Q495" s="6">
        <f t="shared" si="96"/>
        <v>1.1886951895812525</v>
      </c>
      <c r="R495" s="6">
        <f t="shared" si="97"/>
        <v>-0.6769748460310866</v>
      </c>
      <c r="S495">
        <f t="shared" si="98"/>
        <v>0</v>
      </c>
      <c r="T495">
        <f t="shared" si="99"/>
        <v>0</v>
      </c>
      <c r="U495">
        <f t="shared" si="100"/>
        <v>1</v>
      </c>
      <c r="V495">
        <f t="shared" si="101"/>
        <v>0</v>
      </c>
      <c r="W495">
        <f t="shared" si="102"/>
        <v>0</v>
      </c>
      <c r="X495">
        <f t="shared" si="103"/>
        <v>0</v>
      </c>
      <c r="Y495">
        <f t="shared" si="104"/>
        <v>1</v>
      </c>
      <c r="Z495">
        <f t="shared" si="105"/>
        <v>0</v>
      </c>
      <c r="AA495">
        <f t="shared" si="106"/>
        <v>0</v>
      </c>
    </row>
    <row r="496" spans="2:27" x14ac:dyDescent="0.3">
      <c r="B496">
        <v>489</v>
      </c>
      <c r="C496" s="1">
        <v>41032</v>
      </c>
      <c r="D496">
        <v>2</v>
      </c>
      <c r="E496">
        <v>1</v>
      </c>
      <c r="F496">
        <v>5</v>
      </c>
      <c r="G496">
        <v>4</v>
      </c>
      <c r="H496">
        <v>2</v>
      </c>
      <c r="I496">
        <v>764</v>
      </c>
      <c r="J496">
        <v>5657</v>
      </c>
      <c r="K496" s="8">
        <v>6421</v>
      </c>
      <c r="L496" s="12">
        <v>26.862100000000002</v>
      </c>
      <c r="M496" s="12">
        <v>76.833299999999994</v>
      </c>
      <c r="N496" s="12">
        <v>8.9576320000000003</v>
      </c>
      <c r="O496" s="13">
        <f t="shared" si="94"/>
        <v>0.99006408757511555</v>
      </c>
      <c r="P496" s="6">
        <f t="shared" si="95"/>
        <v>0.38617216208536409</v>
      </c>
      <c r="Q496" s="6">
        <f t="shared" si="96"/>
        <v>0.98670215568793229</v>
      </c>
      <c r="R496" s="6">
        <f t="shared" si="97"/>
        <v>-0.73329880190708241</v>
      </c>
      <c r="S496">
        <f t="shared" si="98"/>
        <v>0</v>
      </c>
      <c r="T496">
        <f t="shared" si="99"/>
        <v>0</v>
      </c>
      <c r="U496">
        <f t="shared" si="100"/>
        <v>0</v>
      </c>
      <c r="V496">
        <f t="shared" si="101"/>
        <v>1</v>
      </c>
      <c r="W496">
        <f t="shared" si="102"/>
        <v>0</v>
      </c>
      <c r="X496">
        <f t="shared" si="103"/>
        <v>0</v>
      </c>
      <c r="Y496">
        <f t="shared" si="104"/>
        <v>1</v>
      </c>
      <c r="Z496">
        <f t="shared" si="105"/>
        <v>0</v>
      </c>
      <c r="AA496">
        <f t="shared" si="106"/>
        <v>0</v>
      </c>
    </row>
    <row r="497" spans="2:27" x14ac:dyDescent="0.3">
      <c r="B497">
        <v>490</v>
      </c>
      <c r="C497" s="1">
        <v>41033</v>
      </c>
      <c r="D497">
        <v>2</v>
      </c>
      <c r="E497">
        <v>1</v>
      </c>
      <c r="F497">
        <v>5</v>
      </c>
      <c r="G497">
        <v>5</v>
      </c>
      <c r="H497">
        <v>1</v>
      </c>
      <c r="I497">
        <v>1069</v>
      </c>
      <c r="J497">
        <v>5227</v>
      </c>
      <c r="K497" s="8">
        <v>6296</v>
      </c>
      <c r="L497" s="12">
        <v>29.545850000000002</v>
      </c>
      <c r="M497" s="12">
        <v>73.541700000000006</v>
      </c>
      <c r="N497" s="12">
        <v>10.916846</v>
      </c>
      <c r="O497" s="13">
        <f t="shared" si="94"/>
        <v>0.92549416825464081</v>
      </c>
      <c r="P497" s="6">
        <f t="shared" si="95"/>
        <v>0.71577060785513247</v>
      </c>
      <c r="Q497" s="6">
        <f t="shared" si="96"/>
        <v>0.75543945295288861</v>
      </c>
      <c r="R497" s="6">
        <f t="shared" si="97"/>
        <v>-0.35571395144264667</v>
      </c>
      <c r="S497">
        <f t="shared" si="98"/>
        <v>0</v>
      </c>
      <c r="T497">
        <f t="shared" si="99"/>
        <v>0</v>
      </c>
      <c r="U497">
        <f t="shared" si="100"/>
        <v>0</v>
      </c>
      <c r="V497">
        <f t="shared" si="101"/>
        <v>0</v>
      </c>
      <c r="W497">
        <f t="shared" si="102"/>
        <v>1</v>
      </c>
      <c r="X497">
        <f t="shared" si="103"/>
        <v>0</v>
      </c>
      <c r="Y497">
        <f t="shared" si="104"/>
        <v>1</v>
      </c>
      <c r="Z497">
        <f t="shared" si="105"/>
        <v>0</v>
      </c>
      <c r="AA497">
        <f t="shared" si="106"/>
        <v>0</v>
      </c>
    </row>
    <row r="498" spans="2:27" x14ac:dyDescent="0.3">
      <c r="B498">
        <v>491</v>
      </c>
      <c r="C498" s="1">
        <v>41034</v>
      </c>
      <c r="D498">
        <v>2</v>
      </c>
      <c r="E498">
        <v>1</v>
      </c>
      <c r="F498">
        <v>5</v>
      </c>
      <c r="G498">
        <v>6</v>
      </c>
      <c r="H498">
        <v>2</v>
      </c>
      <c r="I498">
        <v>2496</v>
      </c>
      <c r="J498">
        <v>4387</v>
      </c>
      <c r="K498" s="8">
        <v>6883</v>
      </c>
      <c r="L498" s="12">
        <v>29.230399999999999</v>
      </c>
      <c r="M498" s="12">
        <v>75.666700000000006</v>
      </c>
      <c r="N498" s="12">
        <v>10.250463999999999</v>
      </c>
      <c r="O498" s="13">
        <f t="shared" si="94"/>
        <v>1.2287145093835901</v>
      </c>
      <c r="P498" s="6">
        <f t="shared" si="95"/>
        <v>0.67702935784374019</v>
      </c>
      <c r="Q498" s="6">
        <f t="shared" si="96"/>
        <v>0.90473865191751668</v>
      </c>
      <c r="R498" s="6">
        <f t="shared" si="97"/>
        <v>-0.4841408347857587</v>
      </c>
      <c r="S498">
        <f t="shared" si="98"/>
        <v>0</v>
      </c>
      <c r="T498">
        <f t="shared" si="99"/>
        <v>0</v>
      </c>
      <c r="U498">
        <f t="shared" si="100"/>
        <v>0</v>
      </c>
      <c r="V498">
        <f t="shared" si="101"/>
        <v>0</v>
      </c>
      <c r="W498">
        <f t="shared" si="102"/>
        <v>0</v>
      </c>
      <c r="X498">
        <f t="shared" si="103"/>
        <v>0</v>
      </c>
      <c r="Y498">
        <f t="shared" si="104"/>
        <v>1</v>
      </c>
      <c r="Z498">
        <f t="shared" si="105"/>
        <v>0</v>
      </c>
      <c r="AA498">
        <f t="shared" si="106"/>
        <v>0</v>
      </c>
    </row>
    <row r="499" spans="2:27" x14ac:dyDescent="0.3">
      <c r="B499">
        <v>492</v>
      </c>
      <c r="C499" s="1">
        <v>41035</v>
      </c>
      <c r="D499">
        <v>2</v>
      </c>
      <c r="E499">
        <v>1</v>
      </c>
      <c r="F499">
        <v>5</v>
      </c>
      <c r="G499">
        <v>0</v>
      </c>
      <c r="H499">
        <v>2</v>
      </c>
      <c r="I499">
        <v>2135</v>
      </c>
      <c r="J499">
        <v>4224</v>
      </c>
      <c r="K499" s="8">
        <v>6359</v>
      </c>
      <c r="L499" s="12">
        <v>27.336849999999998</v>
      </c>
      <c r="M499" s="12">
        <v>74</v>
      </c>
      <c r="N499" s="12">
        <v>10.041893</v>
      </c>
      <c r="O499" s="13">
        <f t="shared" si="94"/>
        <v>0.95803740759216005</v>
      </c>
      <c r="P499" s="6">
        <f t="shared" si="95"/>
        <v>0.44447746702404928</v>
      </c>
      <c r="Q499" s="6">
        <f t="shared" si="96"/>
        <v>0.78763889901664774</v>
      </c>
      <c r="R499" s="6">
        <f t="shared" si="97"/>
        <v>-0.52433718385544559</v>
      </c>
      <c r="S499">
        <f t="shared" si="98"/>
        <v>0</v>
      </c>
      <c r="T499">
        <f t="shared" si="99"/>
        <v>0</v>
      </c>
      <c r="U499">
        <f t="shared" si="100"/>
        <v>0</v>
      </c>
      <c r="V499">
        <f t="shared" si="101"/>
        <v>0</v>
      </c>
      <c r="W499">
        <f t="shared" si="102"/>
        <v>0</v>
      </c>
      <c r="X499">
        <f t="shared" si="103"/>
        <v>0</v>
      </c>
      <c r="Y499">
        <f t="shared" si="104"/>
        <v>1</v>
      </c>
      <c r="Z499">
        <f t="shared" si="105"/>
        <v>0</v>
      </c>
      <c r="AA499">
        <f t="shared" si="106"/>
        <v>0</v>
      </c>
    </row>
    <row r="500" spans="2:27" x14ac:dyDescent="0.3">
      <c r="B500">
        <v>493</v>
      </c>
      <c r="C500" s="1">
        <v>41036</v>
      </c>
      <c r="D500">
        <v>2</v>
      </c>
      <c r="E500">
        <v>1</v>
      </c>
      <c r="F500">
        <v>5</v>
      </c>
      <c r="G500">
        <v>1</v>
      </c>
      <c r="H500">
        <v>2</v>
      </c>
      <c r="I500">
        <v>1008</v>
      </c>
      <c r="J500">
        <v>5265</v>
      </c>
      <c r="K500" s="8">
        <v>6273</v>
      </c>
      <c r="L500" s="12">
        <v>26.357099999999999</v>
      </c>
      <c r="M500" s="12">
        <v>66.416700000000006</v>
      </c>
      <c r="N500" s="12">
        <v>15.458307</v>
      </c>
      <c r="O500" s="13">
        <f t="shared" si="94"/>
        <v>0.91361330309967337</v>
      </c>
      <c r="P500" s="6">
        <f t="shared" si="95"/>
        <v>0.32415177452551913</v>
      </c>
      <c r="Q500" s="6">
        <f t="shared" si="96"/>
        <v>0.2548480211303123</v>
      </c>
      <c r="R500" s="6">
        <f t="shared" si="97"/>
        <v>0.51952830008019213</v>
      </c>
      <c r="S500">
        <f t="shared" si="98"/>
        <v>1</v>
      </c>
      <c r="T500">
        <f t="shared" si="99"/>
        <v>0</v>
      </c>
      <c r="U500">
        <f t="shared" si="100"/>
        <v>0</v>
      </c>
      <c r="V500">
        <f t="shared" si="101"/>
        <v>0</v>
      </c>
      <c r="W500">
        <f t="shared" si="102"/>
        <v>0</v>
      </c>
      <c r="X500">
        <f t="shared" si="103"/>
        <v>0</v>
      </c>
      <c r="Y500">
        <f t="shared" si="104"/>
        <v>1</v>
      </c>
      <c r="Z500">
        <f t="shared" si="105"/>
        <v>0</v>
      </c>
      <c r="AA500">
        <f t="shared" si="106"/>
        <v>0</v>
      </c>
    </row>
    <row r="501" spans="2:27" x14ac:dyDescent="0.3">
      <c r="B501">
        <v>494</v>
      </c>
      <c r="C501" s="1">
        <v>41037</v>
      </c>
      <c r="D501">
        <v>2</v>
      </c>
      <c r="E501">
        <v>1</v>
      </c>
      <c r="F501">
        <v>5</v>
      </c>
      <c r="G501">
        <v>2</v>
      </c>
      <c r="H501">
        <v>2</v>
      </c>
      <c r="I501">
        <v>738</v>
      </c>
      <c r="J501">
        <v>4990</v>
      </c>
      <c r="K501" s="8">
        <v>5728</v>
      </c>
      <c r="L501" s="12">
        <v>27.873550000000002</v>
      </c>
      <c r="M501" s="12">
        <v>68.583299999999994</v>
      </c>
      <c r="N501" s="12">
        <v>19.833943000000001</v>
      </c>
      <c r="O501" s="13">
        <f t="shared" si="94"/>
        <v>0.6320884548624035</v>
      </c>
      <c r="P501" s="6">
        <f t="shared" si="95"/>
        <v>0.51039101554557176</v>
      </c>
      <c r="Q501" s="6">
        <f t="shared" si="96"/>
        <v>0.4070699714723176</v>
      </c>
      <c r="R501" s="6">
        <f t="shared" si="97"/>
        <v>1.362812323544093</v>
      </c>
      <c r="S501">
        <f t="shared" si="98"/>
        <v>0</v>
      </c>
      <c r="T501">
        <f t="shared" si="99"/>
        <v>1</v>
      </c>
      <c r="U501">
        <f t="shared" si="100"/>
        <v>0</v>
      </c>
      <c r="V501">
        <f t="shared" si="101"/>
        <v>0</v>
      </c>
      <c r="W501">
        <f t="shared" si="102"/>
        <v>0</v>
      </c>
      <c r="X501">
        <f t="shared" si="103"/>
        <v>0</v>
      </c>
      <c r="Y501">
        <f t="shared" si="104"/>
        <v>1</v>
      </c>
      <c r="Z501">
        <f t="shared" si="105"/>
        <v>0</v>
      </c>
      <c r="AA501">
        <f t="shared" si="106"/>
        <v>0</v>
      </c>
    </row>
    <row r="502" spans="2:27" x14ac:dyDescent="0.3">
      <c r="B502">
        <v>495</v>
      </c>
      <c r="C502" s="1">
        <v>41038</v>
      </c>
      <c r="D502">
        <v>2</v>
      </c>
      <c r="E502">
        <v>1</v>
      </c>
      <c r="F502">
        <v>5</v>
      </c>
      <c r="G502">
        <v>3</v>
      </c>
      <c r="H502">
        <v>2</v>
      </c>
      <c r="I502">
        <v>620</v>
      </c>
      <c r="J502">
        <v>4097</v>
      </c>
      <c r="K502" s="8">
        <v>4717</v>
      </c>
      <c r="L502" s="12">
        <v>27.651250000000001</v>
      </c>
      <c r="M502" s="12">
        <v>74.416700000000006</v>
      </c>
      <c r="N502" s="12">
        <v>14.499604</v>
      </c>
      <c r="O502" s="13">
        <f t="shared" si="94"/>
        <v>0.10984694739840384</v>
      </c>
      <c r="P502" s="6">
        <f t="shared" si="95"/>
        <v>0.48308976375437668</v>
      </c>
      <c r="Q502" s="6">
        <f t="shared" si="96"/>
        <v>0.81691559370302957</v>
      </c>
      <c r="R502" s="6">
        <f t="shared" si="97"/>
        <v>0.33476454844570713</v>
      </c>
      <c r="S502">
        <f t="shared" si="98"/>
        <v>0</v>
      </c>
      <c r="T502">
        <f t="shared" si="99"/>
        <v>0</v>
      </c>
      <c r="U502">
        <f t="shared" si="100"/>
        <v>1</v>
      </c>
      <c r="V502">
        <f t="shared" si="101"/>
        <v>0</v>
      </c>
      <c r="W502">
        <f t="shared" si="102"/>
        <v>0</v>
      </c>
      <c r="X502">
        <f t="shared" si="103"/>
        <v>0</v>
      </c>
      <c r="Y502">
        <f t="shared" si="104"/>
        <v>1</v>
      </c>
      <c r="Z502">
        <f t="shared" si="105"/>
        <v>0</v>
      </c>
      <c r="AA502">
        <f t="shared" si="106"/>
        <v>0</v>
      </c>
    </row>
    <row r="503" spans="2:27" x14ac:dyDescent="0.3">
      <c r="B503">
        <v>496</v>
      </c>
      <c r="C503" s="1">
        <v>41039</v>
      </c>
      <c r="D503">
        <v>2</v>
      </c>
      <c r="E503">
        <v>1</v>
      </c>
      <c r="F503">
        <v>5</v>
      </c>
      <c r="G503">
        <v>4</v>
      </c>
      <c r="H503">
        <v>1</v>
      </c>
      <c r="I503">
        <v>1026</v>
      </c>
      <c r="J503">
        <v>5546</v>
      </c>
      <c r="K503" s="8">
        <v>6572</v>
      </c>
      <c r="L503" s="12">
        <v>24.58915</v>
      </c>
      <c r="M503" s="12">
        <v>55.208300000000001</v>
      </c>
      <c r="N503" s="12">
        <v>21.042221000000001</v>
      </c>
      <c r="O503" s="13">
        <f t="shared" si="94"/>
        <v>1.0680645501142489</v>
      </c>
      <c r="P503" s="6">
        <f t="shared" si="95"/>
        <v>0.10702515237417801</v>
      </c>
      <c r="Q503" s="6">
        <f t="shared" si="96"/>
        <v>-0.53263675142269362</v>
      </c>
      <c r="R503" s="6">
        <f t="shared" si="97"/>
        <v>1.5956748224592026</v>
      </c>
      <c r="S503">
        <f t="shared" si="98"/>
        <v>0</v>
      </c>
      <c r="T503">
        <f t="shared" si="99"/>
        <v>0</v>
      </c>
      <c r="U503">
        <f t="shared" si="100"/>
        <v>0</v>
      </c>
      <c r="V503">
        <f t="shared" si="101"/>
        <v>1</v>
      </c>
      <c r="W503">
        <f t="shared" si="102"/>
        <v>0</v>
      </c>
      <c r="X503">
        <f t="shared" si="103"/>
        <v>0</v>
      </c>
      <c r="Y503">
        <f t="shared" si="104"/>
        <v>1</v>
      </c>
      <c r="Z503">
        <f t="shared" si="105"/>
        <v>0</v>
      </c>
      <c r="AA503">
        <f t="shared" si="106"/>
        <v>0</v>
      </c>
    </row>
    <row r="504" spans="2:27" x14ac:dyDescent="0.3">
      <c r="B504">
        <v>497</v>
      </c>
      <c r="C504" s="1">
        <v>41040</v>
      </c>
      <c r="D504">
        <v>2</v>
      </c>
      <c r="E504">
        <v>1</v>
      </c>
      <c r="F504">
        <v>5</v>
      </c>
      <c r="G504">
        <v>5</v>
      </c>
      <c r="H504">
        <v>1</v>
      </c>
      <c r="I504">
        <v>1319</v>
      </c>
      <c r="J504">
        <v>5711</v>
      </c>
      <c r="K504" s="8">
        <v>7030</v>
      </c>
      <c r="L504" s="12">
        <v>26.041650000000001</v>
      </c>
      <c r="M504" s="12">
        <v>36.041699999999999</v>
      </c>
      <c r="N504" s="12">
        <v>15.874779</v>
      </c>
      <c r="O504" s="13">
        <f t="shared" si="94"/>
        <v>1.3046487345044684</v>
      </c>
      <c r="P504" s="6">
        <f t="shared" si="95"/>
        <v>0.28541052451412724</v>
      </c>
      <c r="Q504" s="6">
        <f t="shared" si="96"/>
        <v>-1.8792522934817242</v>
      </c>
      <c r="R504" s="6">
        <f t="shared" si="97"/>
        <v>0.59979187406579293</v>
      </c>
      <c r="S504">
        <f t="shared" si="98"/>
        <v>0</v>
      </c>
      <c r="T504">
        <f t="shared" si="99"/>
        <v>0</v>
      </c>
      <c r="U504">
        <f t="shared" si="100"/>
        <v>0</v>
      </c>
      <c r="V504">
        <f t="shared" si="101"/>
        <v>0</v>
      </c>
      <c r="W504">
        <f t="shared" si="102"/>
        <v>1</v>
      </c>
      <c r="X504">
        <f t="shared" si="103"/>
        <v>0</v>
      </c>
      <c r="Y504">
        <f t="shared" si="104"/>
        <v>1</v>
      </c>
      <c r="Z504">
        <f t="shared" si="105"/>
        <v>0</v>
      </c>
      <c r="AA504">
        <f t="shared" si="106"/>
        <v>0</v>
      </c>
    </row>
    <row r="505" spans="2:27" x14ac:dyDescent="0.3">
      <c r="B505">
        <v>498</v>
      </c>
      <c r="C505" s="1">
        <v>41041</v>
      </c>
      <c r="D505">
        <v>2</v>
      </c>
      <c r="E505">
        <v>1</v>
      </c>
      <c r="F505">
        <v>5</v>
      </c>
      <c r="G505">
        <v>6</v>
      </c>
      <c r="H505">
        <v>1</v>
      </c>
      <c r="I505">
        <v>2622</v>
      </c>
      <c r="J505">
        <v>4807</v>
      </c>
      <c r="K505" s="8">
        <v>7429</v>
      </c>
      <c r="L505" s="12">
        <v>27.240849999999998</v>
      </c>
      <c r="M505" s="12">
        <v>48.041699999999999</v>
      </c>
      <c r="N505" s="12">
        <v>8.2499110000000009</v>
      </c>
      <c r="O505" s="13">
        <f t="shared" si="94"/>
        <v>1.5107559169754239</v>
      </c>
      <c r="P505" s="6">
        <f t="shared" si="95"/>
        <v>0.43268745275524717</v>
      </c>
      <c r="Q505" s="6">
        <f t="shared" si="96"/>
        <v>-1.0361509346226483</v>
      </c>
      <c r="R505" s="6">
        <f t="shared" si="97"/>
        <v>-0.86969264553801839</v>
      </c>
      <c r="S505">
        <f t="shared" si="98"/>
        <v>0</v>
      </c>
      <c r="T505">
        <f t="shared" si="99"/>
        <v>0</v>
      </c>
      <c r="U505">
        <f t="shared" si="100"/>
        <v>0</v>
      </c>
      <c r="V505">
        <f t="shared" si="101"/>
        <v>0</v>
      </c>
      <c r="W505">
        <f t="shared" si="102"/>
        <v>0</v>
      </c>
      <c r="X505">
        <f t="shared" si="103"/>
        <v>0</v>
      </c>
      <c r="Y505">
        <f t="shared" si="104"/>
        <v>1</v>
      </c>
      <c r="Z505">
        <f t="shared" si="105"/>
        <v>0</v>
      </c>
      <c r="AA505">
        <f t="shared" si="106"/>
        <v>0</v>
      </c>
    </row>
    <row r="506" spans="2:27" x14ac:dyDescent="0.3">
      <c r="B506">
        <v>499</v>
      </c>
      <c r="C506" s="1">
        <v>41042</v>
      </c>
      <c r="D506">
        <v>2</v>
      </c>
      <c r="E506">
        <v>1</v>
      </c>
      <c r="F506">
        <v>5</v>
      </c>
      <c r="G506">
        <v>0</v>
      </c>
      <c r="H506">
        <v>1</v>
      </c>
      <c r="I506">
        <v>2172</v>
      </c>
      <c r="J506">
        <v>3946</v>
      </c>
      <c r="K506" s="8">
        <v>6118</v>
      </c>
      <c r="L506" s="12">
        <v>29.261900000000001</v>
      </c>
      <c r="M506" s="12">
        <v>57.625</v>
      </c>
      <c r="N506" s="12">
        <v>15.082839</v>
      </c>
      <c r="O506" s="13">
        <f t="shared" si="94"/>
        <v>0.83354660314228479</v>
      </c>
      <c r="P506" s="6">
        <f t="shared" si="95"/>
        <v>0.68089795627569105</v>
      </c>
      <c r="Q506" s="6">
        <f t="shared" si="96"/>
        <v>-0.36284316359313296</v>
      </c>
      <c r="R506" s="6">
        <f t="shared" si="97"/>
        <v>0.44716712430552913</v>
      </c>
      <c r="S506">
        <f t="shared" si="98"/>
        <v>0</v>
      </c>
      <c r="T506">
        <f t="shared" si="99"/>
        <v>0</v>
      </c>
      <c r="U506">
        <f t="shared" si="100"/>
        <v>0</v>
      </c>
      <c r="V506">
        <f t="shared" si="101"/>
        <v>0</v>
      </c>
      <c r="W506">
        <f t="shared" si="102"/>
        <v>0</v>
      </c>
      <c r="X506">
        <f t="shared" si="103"/>
        <v>0</v>
      </c>
      <c r="Y506">
        <f t="shared" si="104"/>
        <v>1</v>
      </c>
      <c r="Z506">
        <f t="shared" si="105"/>
        <v>0</v>
      </c>
      <c r="AA506">
        <f t="shared" si="106"/>
        <v>0</v>
      </c>
    </row>
    <row r="507" spans="2:27" x14ac:dyDescent="0.3">
      <c r="B507">
        <v>500</v>
      </c>
      <c r="C507" s="1">
        <v>41043</v>
      </c>
      <c r="D507">
        <v>2</v>
      </c>
      <c r="E507">
        <v>1</v>
      </c>
      <c r="F507">
        <v>5</v>
      </c>
      <c r="G507">
        <v>1</v>
      </c>
      <c r="H507">
        <v>2</v>
      </c>
      <c r="I507">
        <v>342</v>
      </c>
      <c r="J507">
        <v>2501</v>
      </c>
      <c r="K507" s="8">
        <v>2843</v>
      </c>
      <c r="L507" s="12">
        <v>27.495000000000001</v>
      </c>
      <c r="M507" s="12">
        <v>78.958299999999994</v>
      </c>
      <c r="N507" s="12">
        <v>14.250363999999999</v>
      </c>
      <c r="O507" s="13">
        <f t="shared" si="94"/>
        <v>-0.85818528305415354</v>
      </c>
      <c r="P507" s="6">
        <f t="shared" si="95"/>
        <v>0.46390028740541484</v>
      </c>
      <c r="Q507" s="6">
        <f t="shared" si="96"/>
        <v>1.1360013546525602</v>
      </c>
      <c r="R507" s="6">
        <f t="shared" si="97"/>
        <v>0.28673036324196927</v>
      </c>
      <c r="S507">
        <f t="shared" si="98"/>
        <v>1</v>
      </c>
      <c r="T507">
        <f t="shared" si="99"/>
        <v>0</v>
      </c>
      <c r="U507">
        <f t="shared" si="100"/>
        <v>0</v>
      </c>
      <c r="V507">
        <f t="shared" si="101"/>
        <v>0</v>
      </c>
      <c r="W507">
        <f t="shared" si="102"/>
        <v>0</v>
      </c>
      <c r="X507">
        <f t="shared" si="103"/>
        <v>0</v>
      </c>
      <c r="Y507">
        <f t="shared" si="104"/>
        <v>1</v>
      </c>
      <c r="Z507">
        <f t="shared" si="105"/>
        <v>0</v>
      </c>
      <c r="AA507">
        <f t="shared" si="106"/>
        <v>0</v>
      </c>
    </row>
    <row r="508" spans="2:27" x14ac:dyDescent="0.3">
      <c r="B508">
        <v>501</v>
      </c>
      <c r="C508" s="1">
        <v>41044</v>
      </c>
      <c r="D508">
        <v>2</v>
      </c>
      <c r="E508">
        <v>1</v>
      </c>
      <c r="F508">
        <v>5</v>
      </c>
      <c r="G508">
        <v>2</v>
      </c>
      <c r="H508">
        <v>2</v>
      </c>
      <c r="I508">
        <v>625</v>
      </c>
      <c r="J508">
        <v>4490</v>
      </c>
      <c r="K508" s="8">
        <v>5115</v>
      </c>
      <c r="L508" s="12">
        <v>28.8202</v>
      </c>
      <c r="M508" s="12">
        <v>79.458299999999994</v>
      </c>
      <c r="N508" s="12">
        <v>9.8752639999999996</v>
      </c>
      <c r="O508" s="13">
        <f t="shared" si="94"/>
        <v>0.31543757051479543</v>
      </c>
      <c r="P508" s="6">
        <f t="shared" si="95"/>
        <v>0.62665160937433773</v>
      </c>
      <c r="Q508" s="6">
        <f t="shared" si="96"/>
        <v>1.1711305779383552</v>
      </c>
      <c r="R508" s="6">
        <f t="shared" si="97"/>
        <v>-0.55645036089891231</v>
      </c>
      <c r="S508">
        <f t="shared" si="98"/>
        <v>0</v>
      </c>
      <c r="T508">
        <f t="shared" si="99"/>
        <v>1</v>
      </c>
      <c r="U508">
        <f t="shared" si="100"/>
        <v>0</v>
      </c>
      <c r="V508">
        <f t="shared" si="101"/>
        <v>0</v>
      </c>
      <c r="W508">
        <f t="shared" si="102"/>
        <v>0</v>
      </c>
      <c r="X508">
        <f t="shared" si="103"/>
        <v>0</v>
      </c>
      <c r="Y508">
        <f t="shared" si="104"/>
        <v>1</v>
      </c>
      <c r="Z508">
        <f t="shared" si="105"/>
        <v>0</v>
      </c>
      <c r="AA508">
        <f t="shared" si="106"/>
        <v>0</v>
      </c>
    </row>
    <row r="509" spans="2:27" x14ac:dyDescent="0.3">
      <c r="B509">
        <v>502</v>
      </c>
      <c r="C509" s="1">
        <v>41045</v>
      </c>
      <c r="D509">
        <v>2</v>
      </c>
      <c r="E509">
        <v>1</v>
      </c>
      <c r="F509">
        <v>5</v>
      </c>
      <c r="G509">
        <v>3</v>
      </c>
      <c r="H509">
        <v>1</v>
      </c>
      <c r="I509">
        <v>991</v>
      </c>
      <c r="J509">
        <v>6433</v>
      </c>
      <c r="K509" s="8">
        <v>7424</v>
      </c>
      <c r="L509" s="12">
        <v>29.798749999999998</v>
      </c>
      <c r="M509" s="12">
        <v>69.791700000000006</v>
      </c>
      <c r="N509" s="12">
        <v>8.208304</v>
      </c>
      <c r="O509" s="13">
        <f t="shared" si="94"/>
        <v>1.5081731202026047</v>
      </c>
      <c r="P509" s="6">
        <f t="shared" si="95"/>
        <v>0.74682992669450776</v>
      </c>
      <c r="Q509" s="6">
        <f t="shared" si="96"/>
        <v>0.49197027830942736</v>
      </c>
      <c r="R509" s="6">
        <f t="shared" si="97"/>
        <v>-0.87771125548735218</v>
      </c>
      <c r="S509">
        <f t="shared" si="98"/>
        <v>0</v>
      </c>
      <c r="T509">
        <f t="shared" si="99"/>
        <v>0</v>
      </c>
      <c r="U509">
        <f t="shared" si="100"/>
        <v>1</v>
      </c>
      <c r="V509">
        <f t="shared" si="101"/>
        <v>0</v>
      </c>
      <c r="W509">
        <f t="shared" si="102"/>
        <v>0</v>
      </c>
      <c r="X509">
        <f t="shared" si="103"/>
        <v>0</v>
      </c>
      <c r="Y509">
        <f t="shared" si="104"/>
        <v>1</v>
      </c>
      <c r="Z509">
        <f t="shared" si="105"/>
        <v>0</v>
      </c>
      <c r="AA509">
        <f t="shared" si="106"/>
        <v>0</v>
      </c>
    </row>
    <row r="510" spans="2:27" x14ac:dyDescent="0.3">
      <c r="B510">
        <v>503</v>
      </c>
      <c r="C510" s="1">
        <v>41046</v>
      </c>
      <c r="D510">
        <v>2</v>
      </c>
      <c r="E510">
        <v>1</v>
      </c>
      <c r="F510">
        <v>5</v>
      </c>
      <c r="G510">
        <v>4</v>
      </c>
      <c r="H510">
        <v>1</v>
      </c>
      <c r="I510">
        <v>1242</v>
      </c>
      <c r="J510">
        <v>6142</v>
      </c>
      <c r="K510" s="8">
        <v>7384</v>
      </c>
      <c r="L510" s="12">
        <v>28.630649999999999</v>
      </c>
      <c r="M510" s="12">
        <v>52</v>
      </c>
      <c r="N510" s="12">
        <v>15.374825</v>
      </c>
      <c r="O510" s="13">
        <f t="shared" si="94"/>
        <v>1.487510746020053</v>
      </c>
      <c r="P510" s="6">
        <f t="shared" si="95"/>
        <v>0.60337247182588505</v>
      </c>
      <c r="Q510" s="6">
        <f t="shared" si="96"/>
        <v>-0.75804692555832476</v>
      </c>
      <c r="R510" s="6">
        <f t="shared" si="97"/>
        <v>0.5034394305200155</v>
      </c>
      <c r="S510">
        <f t="shared" si="98"/>
        <v>0</v>
      </c>
      <c r="T510">
        <f t="shared" si="99"/>
        <v>0</v>
      </c>
      <c r="U510">
        <f t="shared" si="100"/>
        <v>0</v>
      </c>
      <c r="V510">
        <f t="shared" si="101"/>
        <v>1</v>
      </c>
      <c r="W510">
        <f t="shared" si="102"/>
        <v>0</v>
      </c>
      <c r="X510">
        <f t="shared" si="103"/>
        <v>0</v>
      </c>
      <c r="Y510">
        <f t="shared" si="104"/>
        <v>1</v>
      </c>
      <c r="Z510">
        <f t="shared" si="105"/>
        <v>0</v>
      </c>
      <c r="AA510">
        <f t="shared" si="106"/>
        <v>0</v>
      </c>
    </row>
    <row r="511" spans="2:27" x14ac:dyDescent="0.3">
      <c r="B511">
        <v>504</v>
      </c>
      <c r="C511" s="1">
        <v>41047</v>
      </c>
      <c r="D511">
        <v>2</v>
      </c>
      <c r="E511">
        <v>1</v>
      </c>
      <c r="F511">
        <v>5</v>
      </c>
      <c r="G511">
        <v>5</v>
      </c>
      <c r="H511">
        <v>1</v>
      </c>
      <c r="I511">
        <v>1521</v>
      </c>
      <c r="J511">
        <v>6118</v>
      </c>
      <c r="K511" s="8">
        <v>7639</v>
      </c>
      <c r="L511" s="12">
        <v>27.556049999999999</v>
      </c>
      <c r="M511" s="12">
        <v>52.333300000000001</v>
      </c>
      <c r="N511" s="12">
        <v>9.1667389999999997</v>
      </c>
      <c r="O511" s="13">
        <f t="shared" si="94"/>
        <v>1.6192333814338213</v>
      </c>
      <c r="P511" s="6">
        <f t="shared" si="95"/>
        <v>0.47139799960448098</v>
      </c>
      <c r="Q511" s="6">
        <f t="shared" si="96"/>
        <v>-0.73462978531601386</v>
      </c>
      <c r="R511" s="6">
        <f t="shared" si="97"/>
        <v>-0.69299915351437658</v>
      </c>
      <c r="S511">
        <f t="shared" si="98"/>
        <v>0</v>
      </c>
      <c r="T511">
        <f t="shared" si="99"/>
        <v>0</v>
      </c>
      <c r="U511">
        <f t="shared" si="100"/>
        <v>0</v>
      </c>
      <c r="V511">
        <f t="shared" si="101"/>
        <v>0</v>
      </c>
      <c r="W511">
        <f t="shared" si="102"/>
        <v>1</v>
      </c>
      <c r="X511">
        <f t="shared" si="103"/>
        <v>0</v>
      </c>
      <c r="Y511">
        <f t="shared" si="104"/>
        <v>1</v>
      </c>
      <c r="Z511">
        <f t="shared" si="105"/>
        <v>0</v>
      </c>
      <c r="AA511">
        <f t="shared" si="106"/>
        <v>0</v>
      </c>
    </row>
    <row r="512" spans="2:27" x14ac:dyDescent="0.3">
      <c r="B512">
        <v>505</v>
      </c>
      <c r="C512" s="1">
        <v>41048</v>
      </c>
      <c r="D512">
        <v>2</v>
      </c>
      <c r="E512">
        <v>1</v>
      </c>
      <c r="F512">
        <v>5</v>
      </c>
      <c r="G512">
        <v>6</v>
      </c>
      <c r="H512">
        <v>1</v>
      </c>
      <c r="I512">
        <v>3410</v>
      </c>
      <c r="J512">
        <v>4884</v>
      </c>
      <c r="K512" s="8">
        <v>8294</v>
      </c>
      <c r="L512" s="12">
        <v>28.345400000000001</v>
      </c>
      <c r="M512" s="12">
        <v>45.625</v>
      </c>
      <c r="N512" s="12">
        <v>5.6263249999999996</v>
      </c>
      <c r="O512" s="13">
        <f t="shared" si="94"/>
        <v>1.957579758673109</v>
      </c>
      <c r="P512" s="6">
        <f t="shared" si="95"/>
        <v>0.56834016380322061</v>
      </c>
      <c r="Q512" s="6">
        <f t="shared" si="96"/>
        <v>-1.205944522452209</v>
      </c>
      <c r="R512" s="6">
        <f t="shared" si="97"/>
        <v>-1.375317006884246</v>
      </c>
      <c r="S512">
        <f t="shared" si="98"/>
        <v>0</v>
      </c>
      <c r="T512">
        <f t="shared" si="99"/>
        <v>0</v>
      </c>
      <c r="U512">
        <f t="shared" si="100"/>
        <v>0</v>
      </c>
      <c r="V512">
        <f t="shared" si="101"/>
        <v>0</v>
      </c>
      <c r="W512">
        <f t="shared" si="102"/>
        <v>0</v>
      </c>
      <c r="X512">
        <f t="shared" si="103"/>
        <v>0</v>
      </c>
      <c r="Y512">
        <f t="shared" si="104"/>
        <v>1</v>
      </c>
      <c r="Z512">
        <f t="shared" si="105"/>
        <v>0</v>
      </c>
      <c r="AA512">
        <f t="shared" si="106"/>
        <v>0</v>
      </c>
    </row>
    <row r="513" spans="2:27" x14ac:dyDescent="0.3">
      <c r="B513">
        <v>506</v>
      </c>
      <c r="C513" s="1">
        <v>41049</v>
      </c>
      <c r="D513">
        <v>2</v>
      </c>
      <c r="E513">
        <v>1</v>
      </c>
      <c r="F513">
        <v>5</v>
      </c>
      <c r="G513">
        <v>0</v>
      </c>
      <c r="H513">
        <v>1</v>
      </c>
      <c r="I513">
        <v>2704</v>
      </c>
      <c r="J513">
        <v>4425</v>
      </c>
      <c r="K513" s="8">
        <v>7129</v>
      </c>
      <c r="L513" s="12">
        <v>29.198350000000001</v>
      </c>
      <c r="M513" s="12">
        <v>53.041699999999999</v>
      </c>
      <c r="N513" s="12">
        <v>17.042589</v>
      </c>
      <c r="O513" s="13">
        <f t="shared" si="94"/>
        <v>1.3557881106062843</v>
      </c>
      <c r="P513" s="6">
        <f t="shared" si="95"/>
        <v>0.67309321245504139</v>
      </c>
      <c r="Q513" s="6">
        <f t="shared" si="96"/>
        <v>-0.68485870176469998</v>
      </c>
      <c r="R513" s="6">
        <f t="shared" si="97"/>
        <v>0.82485527409298365</v>
      </c>
      <c r="S513">
        <f t="shared" si="98"/>
        <v>0</v>
      </c>
      <c r="T513">
        <f t="shared" si="99"/>
        <v>0</v>
      </c>
      <c r="U513">
        <f t="shared" si="100"/>
        <v>0</v>
      </c>
      <c r="V513">
        <f t="shared" si="101"/>
        <v>0</v>
      </c>
      <c r="W513">
        <f t="shared" si="102"/>
        <v>0</v>
      </c>
      <c r="X513">
        <f t="shared" si="103"/>
        <v>0</v>
      </c>
      <c r="Y513">
        <f t="shared" si="104"/>
        <v>1</v>
      </c>
      <c r="Z513">
        <f t="shared" si="105"/>
        <v>0</v>
      </c>
      <c r="AA513">
        <f t="shared" si="106"/>
        <v>0</v>
      </c>
    </row>
    <row r="514" spans="2:27" x14ac:dyDescent="0.3">
      <c r="B514">
        <v>507</v>
      </c>
      <c r="C514" s="1">
        <v>41050</v>
      </c>
      <c r="D514">
        <v>2</v>
      </c>
      <c r="E514">
        <v>1</v>
      </c>
      <c r="F514">
        <v>5</v>
      </c>
      <c r="G514">
        <v>1</v>
      </c>
      <c r="H514">
        <v>2</v>
      </c>
      <c r="I514">
        <v>630</v>
      </c>
      <c r="J514">
        <v>3729</v>
      </c>
      <c r="K514" s="8">
        <v>4359</v>
      </c>
      <c r="L514" s="12">
        <v>28.283349999999999</v>
      </c>
      <c r="M514" s="12">
        <v>81.125</v>
      </c>
      <c r="N514" s="12">
        <v>15.624668</v>
      </c>
      <c r="O514" s="13">
        <f t="shared" si="94"/>
        <v>-7.5081301535435824E-2</v>
      </c>
      <c r="P514" s="6">
        <f t="shared" si="95"/>
        <v>0.56071963895552057</v>
      </c>
      <c r="Q514" s="6">
        <f t="shared" si="96"/>
        <v>1.288230330839224</v>
      </c>
      <c r="R514" s="6">
        <f t="shared" si="97"/>
        <v>0.55158982746214946</v>
      </c>
      <c r="S514">
        <f t="shared" si="98"/>
        <v>1</v>
      </c>
      <c r="T514">
        <f t="shared" si="99"/>
        <v>0</v>
      </c>
      <c r="U514">
        <f t="shared" si="100"/>
        <v>0</v>
      </c>
      <c r="V514">
        <f t="shared" si="101"/>
        <v>0</v>
      </c>
      <c r="W514">
        <f t="shared" si="102"/>
        <v>0</v>
      </c>
      <c r="X514">
        <f t="shared" si="103"/>
        <v>0</v>
      </c>
      <c r="Y514">
        <f t="shared" si="104"/>
        <v>1</v>
      </c>
      <c r="Z514">
        <f t="shared" si="105"/>
        <v>0</v>
      </c>
      <c r="AA514">
        <f t="shared" si="106"/>
        <v>0</v>
      </c>
    </row>
    <row r="515" spans="2:27" x14ac:dyDescent="0.3">
      <c r="B515">
        <v>508</v>
      </c>
      <c r="C515" s="1">
        <v>41051</v>
      </c>
      <c r="D515">
        <v>2</v>
      </c>
      <c r="E515">
        <v>1</v>
      </c>
      <c r="F515">
        <v>5</v>
      </c>
      <c r="G515">
        <v>2</v>
      </c>
      <c r="H515">
        <v>2</v>
      </c>
      <c r="I515">
        <v>819</v>
      </c>
      <c r="J515">
        <v>5254</v>
      </c>
      <c r="K515" s="8">
        <v>6073</v>
      </c>
      <c r="L515" s="12">
        <v>29.041250000000002</v>
      </c>
      <c r="M515" s="12">
        <v>76.583299999999994</v>
      </c>
      <c r="N515" s="12">
        <v>7.9171889999999996</v>
      </c>
      <c r="O515" s="13">
        <f t="shared" si="94"/>
        <v>0.81030143218691386</v>
      </c>
      <c r="P515" s="6">
        <f t="shared" si="95"/>
        <v>0.65379934535474116</v>
      </c>
      <c r="Q515" s="6">
        <f t="shared" si="96"/>
        <v>0.96913754404503494</v>
      </c>
      <c r="R515" s="6">
        <f t="shared" si="97"/>
        <v>-0.93381570030193317</v>
      </c>
      <c r="S515">
        <f t="shared" si="98"/>
        <v>0</v>
      </c>
      <c r="T515">
        <f t="shared" si="99"/>
        <v>1</v>
      </c>
      <c r="U515">
        <f t="shared" si="100"/>
        <v>0</v>
      </c>
      <c r="V515">
        <f t="shared" si="101"/>
        <v>0</v>
      </c>
      <c r="W515">
        <f t="shared" si="102"/>
        <v>0</v>
      </c>
      <c r="X515">
        <f t="shared" si="103"/>
        <v>0</v>
      </c>
      <c r="Y515">
        <f t="shared" si="104"/>
        <v>1</v>
      </c>
      <c r="Z515">
        <f t="shared" si="105"/>
        <v>0</v>
      </c>
      <c r="AA515">
        <f t="shared" si="106"/>
        <v>0</v>
      </c>
    </row>
    <row r="516" spans="2:27" x14ac:dyDescent="0.3">
      <c r="B516">
        <v>509</v>
      </c>
      <c r="C516" s="1">
        <v>41052</v>
      </c>
      <c r="D516">
        <v>2</v>
      </c>
      <c r="E516">
        <v>1</v>
      </c>
      <c r="F516">
        <v>5</v>
      </c>
      <c r="G516">
        <v>3</v>
      </c>
      <c r="H516">
        <v>2</v>
      </c>
      <c r="I516">
        <v>766</v>
      </c>
      <c r="J516">
        <v>4494</v>
      </c>
      <c r="K516" s="8">
        <v>5260</v>
      </c>
      <c r="L516" s="12">
        <v>29.230599999999999</v>
      </c>
      <c r="M516" s="12">
        <v>77.458299999999994</v>
      </c>
      <c r="N516" s="12">
        <v>6.8339999999999996</v>
      </c>
      <c r="O516" s="13">
        <f t="shared" si="94"/>
        <v>0.39033867692654611</v>
      </c>
      <c r="P516" s="6">
        <f t="shared" si="95"/>
        <v>0.67705392037346679</v>
      </c>
      <c r="Q516" s="6">
        <f t="shared" si="96"/>
        <v>1.0306136847951759</v>
      </c>
      <c r="R516" s="6">
        <f t="shared" si="97"/>
        <v>-1.1425707197075325</v>
      </c>
      <c r="S516">
        <f t="shared" si="98"/>
        <v>0</v>
      </c>
      <c r="T516">
        <f t="shared" si="99"/>
        <v>0</v>
      </c>
      <c r="U516">
        <f t="shared" si="100"/>
        <v>1</v>
      </c>
      <c r="V516">
        <f t="shared" si="101"/>
        <v>0</v>
      </c>
      <c r="W516">
        <f t="shared" si="102"/>
        <v>0</v>
      </c>
      <c r="X516">
        <f t="shared" si="103"/>
        <v>0</v>
      </c>
      <c r="Y516">
        <f t="shared" si="104"/>
        <v>1</v>
      </c>
      <c r="Z516">
        <f t="shared" si="105"/>
        <v>0</v>
      </c>
      <c r="AA516">
        <f t="shared" si="106"/>
        <v>0</v>
      </c>
    </row>
    <row r="517" spans="2:27" x14ac:dyDescent="0.3">
      <c r="B517">
        <v>510</v>
      </c>
      <c r="C517" s="1">
        <v>41053</v>
      </c>
      <c r="D517">
        <v>2</v>
      </c>
      <c r="E517">
        <v>1</v>
      </c>
      <c r="F517">
        <v>5</v>
      </c>
      <c r="G517">
        <v>4</v>
      </c>
      <c r="H517">
        <v>1</v>
      </c>
      <c r="I517">
        <v>1059</v>
      </c>
      <c r="J517">
        <v>5711</v>
      </c>
      <c r="K517" s="8">
        <v>6770</v>
      </c>
      <c r="L517" s="12">
        <v>30.335000000000001</v>
      </c>
      <c r="M517" s="12">
        <v>71.666700000000006</v>
      </c>
      <c r="N517" s="12">
        <v>11.584032000000001</v>
      </c>
      <c r="O517" s="13">
        <f t="shared" si="94"/>
        <v>1.1703433023178811</v>
      </c>
      <c r="P517" s="6">
        <f t="shared" si="95"/>
        <v>0.81268820952414511</v>
      </c>
      <c r="Q517" s="6">
        <f t="shared" si="96"/>
        <v>0.62370486563115801</v>
      </c>
      <c r="R517" s="6">
        <f t="shared" si="97"/>
        <v>-0.22713211911500639</v>
      </c>
      <c r="S517">
        <f t="shared" si="98"/>
        <v>0</v>
      </c>
      <c r="T517">
        <f t="shared" si="99"/>
        <v>0</v>
      </c>
      <c r="U517">
        <f t="shared" si="100"/>
        <v>0</v>
      </c>
      <c r="V517">
        <f t="shared" si="101"/>
        <v>1</v>
      </c>
      <c r="W517">
        <f t="shared" si="102"/>
        <v>0</v>
      </c>
      <c r="X517">
        <f t="shared" si="103"/>
        <v>0</v>
      </c>
      <c r="Y517">
        <f t="shared" si="104"/>
        <v>1</v>
      </c>
      <c r="Z517">
        <f t="shared" si="105"/>
        <v>0</v>
      </c>
      <c r="AA517">
        <f t="shared" si="106"/>
        <v>0</v>
      </c>
    </row>
    <row r="518" spans="2:27" x14ac:dyDescent="0.3">
      <c r="B518">
        <v>511</v>
      </c>
      <c r="C518" s="1">
        <v>41054</v>
      </c>
      <c r="D518">
        <v>2</v>
      </c>
      <c r="E518">
        <v>1</v>
      </c>
      <c r="F518">
        <v>5</v>
      </c>
      <c r="G518">
        <v>5</v>
      </c>
      <c r="H518">
        <v>1</v>
      </c>
      <c r="I518">
        <v>1417</v>
      </c>
      <c r="J518">
        <v>5317</v>
      </c>
      <c r="K518" s="8">
        <v>6734</v>
      </c>
      <c r="L518" s="12">
        <v>31.376449999999998</v>
      </c>
      <c r="M518" s="12">
        <v>74.708299999999994</v>
      </c>
      <c r="N518" s="12">
        <v>9.4168500000000002</v>
      </c>
      <c r="O518" s="13">
        <f t="shared" si="94"/>
        <v>1.1517471655535843</v>
      </c>
      <c r="P518" s="6">
        <f t="shared" si="95"/>
        <v>0.94059144244335313</v>
      </c>
      <c r="Q518" s="6">
        <f t="shared" si="96"/>
        <v>0.83740295672330423</v>
      </c>
      <c r="R518" s="6">
        <f t="shared" si="97"/>
        <v>-0.64479710691073322</v>
      </c>
      <c r="S518">
        <f t="shared" si="98"/>
        <v>0</v>
      </c>
      <c r="T518">
        <f t="shared" si="99"/>
        <v>0</v>
      </c>
      <c r="U518">
        <f t="shared" si="100"/>
        <v>0</v>
      </c>
      <c r="V518">
        <f t="shared" si="101"/>
        <v>0</v>
      </c>
      <c r="W518">
        <f t="shared" si="102"/>
        <v>1</v>
      </c>
      <c r="X518">
        <f t="shared" si="103"/>
        <v>0</v>
      </c>
      <c r="Y518">
        <f t="shared" si="104"/>
        <v>1</v>
      </c>
      <c r="Z518">
        <f t="shared" si="105"/>
        <v>0</v>
      </c>
      <c r="AA518">
        <f t="shared" si="106"/>
        <v>0</v>
      </c>
    </row>
    <row r="519" spans="2:27" x14ac:dyDescent="0.3">
      <c r="B519">
        <v>512</v>
      </c>
      <c r="C519" s="1">
        <v>41055</v>
      </c>
      <c r="D519">
        <v>2</v>
      </c>
      <c r="E519">
        <v>1</v>
      </c>
      <c r="F519">
        <v>5</v>
      </c>
      <c r="G519">
        <v>6</v>
      </c>
      <c r="H519">
        <v>1</v>
      </c>
      <c r="I519">
        <v>2855</v>
      </c>
      <c r="J519">
        <v>3681</v>
      </c>
      <c r="K519" s="8">
        <v>6536</v>
      </c>
      <c r="L519" s="12">
        <v>32.134799999999998</v>
      </c>
      <c r="M519" s="12">
        <v>73.25</v>
      </c>
      <c r="N519" s="12">
        <v>13.332464</v>
      </c>
      <c r="O519" s="13">
        <f t="shared" si="94"/>
        <v>1.0494684133499523</v>
      </c>
      <c r="P519" s="6">
        <f t="shared" si="95"/>
        <v>1.0337264145344585</v>
      </c>
      <c r="Q519" s="6">
        <f t="shared" si="96"/>
        <v>0.73494506408795546</v>
      </c>
      <c r="R519" s="6">
        <f t="shared" si="97"/>
        <v>0.10983027257228976</v>
      </c>
      <c r="S519">
        <f t="shared" si="98"/>
        <v>0</v>
      </c>
      <c r="T519">
        <f t="shared" si="99"/>
        <v>0</v>
      </c>
      <c r="U519">
        <f t="shared" si="100"/>
        <v>0</v>
      </c>
      <c r="V519">
        <f t="shared" si="101"/>
        <v>0</v>
      </c>
      <c r="W519">
        <f t="shared" si="102"/>
        <v>0</v>
      </c>
      <c r="X519">
        <f t="shared" si="103"/>
        <v>0</v>
      </c>
      <c r="Y519">
        <f t="shared" si="104"/>
        <v>1</v>
      </c>
      <c r="Z519">
        <f t="shared" si="105"/>
        <v>0</v>
      </c>
      <c r="AA519">
        <f t="shared" si="106"/>
        <v>0</v>
      </c>
    </row>
    <row r="520" spans="2:27" x14ac:dyDescent="0.3">
      <c r="B520">
        <v>513</v>
      </c>
      <c r="C520" s="1">
        <v>41056</v>
      </c>
      <c r="D520">
        <v>2</v>
      </c>
      <c r="E520">
        <v>1</v>
      </c>
      <c r="F520">
        <v>5</v>
      </c>
      <c r="G520">
        <v>0</v>
      </c>
      <c r="H520">
        <v>1</v>
      </c>
      <c r="I520">
        <v>3283</v>
      </c>
      <c r="J520">
        <v>3308</v>
      </c>
      <c r="K520" s="8">
        <v>6591</v>
      </c>
      <c r="L520" s="12">
        <v>32.071249999999999</v>
      </c>
      <c r="M520" s="12">
        <v>69.708299999999994</v>
      </c>
      <c r="N520" s="12">
        <v>14.416456999999999</v>
      </c>
      <c r="O520" s="13">
        <f t="shared" si="94"/>
        <v>1.0778791778509611</v>
      </c>
      <c r="P520" s="6">
        <f t="shared" si="95"/>
        <v>1.0259216707138088</v>
      </c>
      <c r="Q520" s="6">
        <f t="shared" si="96"/>
        <v>0.48611072386535598</v>
      </c>
      <c r="R520" s="6">
        <f t="shared" si="97"/>
        <v>0.31874024096241715</v>
      </c>
      <c r="S520">
        <f t="shared" si="98"/>
        <v>0</v>
      </c>
      <c r="T520">
        <f t="shared" si="99"/>
        <v>0</v>
      </c>
      <c r="U520">
        <f t="shared" si="100"/>
        <v>0</v>
      </c>
      <c r="V520">
        <f t="shared" si="101"/>
        <v>0</v>
      </c>
      <c r="W520">
        <f t="shared" si="102"/>
        <v>0</v>
      </c>
      <c r="X520">
        <f t="shared" si="103"/>
        <v>0</v>
      </c>
      <c r="Y520">
        <f t="shared" si="104"/>
        <v>1</v>
      </c>
      <c r="Z520">
        <f t="shared" si="105"/>
        <v>0</v>
      </c>
      <c r="AA520">
        <f t="shared" si="106"/>
        <v>0</v>
      </c>
    </row>
    <row r="521" spans="2:27" x14ac:dyDescent="0.3">
      <c r="B521">
        <v>514</v>
      </c>
      <c r="C521" s="1">
        <v>41057</v>
      </c>
      <c r="D521">
        <v>2</v>
      </c>
      <c r="E521">
        <v>1</v>
      </c>
      <c r="F521">
        <v>5</v>
      </c>
      <c r="G521">
        <v>1</v>
      </c>
      <c r="H521">
        <v>1</v>
      </c>
      <c r="I521">
        <v>2557</v>
      </c>
      <c r="J521">
        <v>3486</v>
      </c>
      <c r="K521" s="8">
        <v>6043</v>
      </c>
      <c r="L521" s="12">
        <v>33.965000000000003</v>
      </c>
      <c r="M521" s="12">
        <v>67.625</v>
      </c>
      <c r="N521" s="12">
        <v>13.166907</v>
      </c>
      <c r="O521" s="13">
        <f t="shared" ref="O521:O584" si="107">(K521-K$2)/K$3</f>
        <v>0.79480465154999991</v>
      </c>
      <c r="P521" s="6">
        <f t="shared" ref="P521:P584" si="108">(L521-L$2)/L$3</f>
        <v>1.2584981240632267</v>
      </c>
      <c r="Q521" s="6">
        <f t="shared" ref="Q521:Q584" si="109">(M521-M$2)/M$3</f>
        <v>0.33974130212276366</v>
      </c>
      <c r="R521" s="6">
        <f t="shared" ref="R521:R584" si="110">(N521-N$2)/N$3</f>
        <v>7.7923694174860739E-2</v>
      </c>
      <c r="S521">
        <f t="shared" ref="S521:S584" si="111">IF($G521=1,1,0)</f>
        <v>1</v>
      </c>
      <c r="T521">
        <f t="shared" ref="T521:T584" si="112">IF($G521=2,1,0)</f>
        <v>0</v>
      </c>
      <c r="U521">
        <f t="shared" ref="U521:U584" si="113">IF($G521=3,1,0)</f>
        <v>0</v>
      </c>
      <c r="V521">
        <f t="shared" ref="V521:V584" si="114">IF($G521=4,1,0)</f>
        <v>0</v>
      </c>
      <c r="W521">
        <f t="shared" ref="W521:W584" si="115">IF($G521=5,1,0)</f>
        <v>0</v>
      </c>
      <c r="X521">
        <f t="shared" ref="X521:X584" si="116">IF($H521=3,1,0)</f>
        <v>0</v>
      </c>
      <c r="Y521">
        <f t="shared" ref="Y521:Y584" si="117">IF($D521=2,1,0)</f>
        <v>1</v>
      </c>
      <c r="Z521">
        <f t="shared" ref="Z521:Z584" si="118">IF($D521=3,1,0)</f>
        <v>0</v>
      </c>
      <c r="AA521">
        <f t="shared" ref="AA521:AA584" si="119">IF($D521=4,1,0)</f>
        <v>0</v>
      </c>
    </row>
    <row r="522" spans="2:27" x14ac:dyDescent="0.3">
      <c r="B522">
        <v>515</v>
      </c>
      <c r="C522" s="1">
        <v>41058</v>
      </c>
      <c r="D522">
        <v>2</v>
      </c>
      <c r="E522">
        <v>1</v>
      </c>
      <c r="F522">
        <v>5</v>
      </c>
      <c r="G522">
        <v>2</v>
      </c>
      <c r="H522">
        <v>1</v>
      </c>
      <c r="I522">
        <v>880</v>
      </c>
      <c r="J522">
        <v>4863</v>
      </c>
      <c r="K522" s="8">
        <v>5743</v>
      </c>
      <c r="L522" s="12">
        <v>33.6496</v>
      </c>
      <c r="M522" s="12">
        <v>68.458299999999994</v>
      </c>
      <c r="N522" s="12">
        <v>19.791799999999999</v>
      </c>
      <c r="O522" s="13">
        <f t="shared" si="107"/>
        <v>0.63983684518086048</v>
      </c>
      <c r="P522" s="6">
        <f t="shared" si="108"/>
        <v>1.2197630146842657</v>
      </c>
      <c r="Q522" s="6">
        <f t="shared" si="109"/>
        <v>0.39828766565086893</v>
      </c>
      <c r="R522" s="6">
        <f t="shared" si="110"/>
        <v>1.35469041427174</v>
      </c>
      <c r="S522">
        <f t="shared" si="111"/>
        <v>0</v>
      </c>
      <c r="T522">
        <f t="shared" si="112"/>
        <v>1</v>
      </c>
      <c r="U522">
        <f t="shared" si="113"/>
        <v>0</v>
      </c>
      <c r="V522">
        <f t="shared" si="114"/>
        <v>0</v>
      </c>
      <c r="W522">
        <f t="shared" si="115"/>
        <v>0</v>
      </c>
      <c r="X522">
        <f t="shared" si="116"/>
        <v>0</v>
      </c>
      <c r="Y522">
        <f t="shared" si="117"/>
        <v>1</v>
      </c>
      <c r="Z522">
        <f t="shared" si="118"/>
        <v>0</v>
      </c>
      <c r="AA522">
        <f t="shared" si="119"/>
        <v>0</v>
      </c>
    </row>
    <row r="523" spans="2:27" x14ac:dyDescent="0.3">
      <c r="B523">
        <v>516</v>
      </c>
      <c r="C523" s="1">
        <v>41059</v>
      </c>
      <c r="D523">
        <v>2</v>
      </c>
      <c r="E523">
        <v>1</v>
      </c>
      <c r="F523">
        <v>5</v>
      </c>
      <c r="G523">
        <v>3</v>
      </c>
      <c r="H523">
        <v>2</v>
      </c>
      <c r="I523">
        <v>745</v>
      </c>
      <c r="J523">
        <v>6110</v>
      </c>
      <c r="K523" s="8">
        <v>6855</v>
      </c>
      <c r="L523" s="12">
        <v>30.556450000000002</v>
      </c>
      <c r="M523" s="12">
        <v>67</v>
      </c>
      <c r="N523" s="12">
        <v>9.0000429999999998</v>
      </c>
      <c r="O523" s="13">
        <f t="shared" si="107"/>
        <v>1.2142508474558038</v>
      </c>
      <c r="P523" s="6">
        <f t="shared" si="108"/>
        <v>0.83988507056400175</v>
      </c>
      <c r="Q523" s="6">
        <f t="shared" si="109"/>
        <v>0.2958297730155201</v>
      </c>
      <c r="R523" s="6">
        <f t="shared" si="110"/>
        <v>-0.72512524297322056</v>
      </c>
      <c r="S523">
        <f t="shared" si="111"/>
        <v>0</v>
      </c>
      <c r="T523">
        <f t="shared" si="112"/>
        <v>0</v>
      </c>
      <c r="U523">
        <f t="shared" si="113"/>
        <v>1</v>
      </c>
      <c r="V523">
        <f t="shared" si="114"/>
        <v>0</v>
      </c>
      <c r="W523">
        <f t="shared" si="115"/>
        <v>0</v>
      </c>
      <c r="X523">
        <f t="shared" si="116"/>
        <v>0</v>
      </c>
      <c r="Y523">
        <f t="shared" si="117"/>
        <v>1</v>
      </c>
      <c r="Z523">
        <f t="shared" si="118"/>
        <v>0</v>
      </c>
      <c r="AA523">
        <f t="shared" si="119"/>
        <v>0</v>
      </c>
    </row>
    <row r="524" spans="2:27" x14ac:dyDescent="0.3">
      <c r="B524">
        <v>517</v>
      </c>
      <c r="C524" s="1">
        <v>41060</v>
      </c>
      <c r="D524">
        <v>2</v>
      </c>
      <c r="E524">
        <v>1</v>
      </c>
      <c r="F524">
        <v>5</v>
      </c>
      <c r="G524">
        <v>4</v>
      </c>
      <c r="H524">
        <v>1</v>
      </c>
      <c r="I524">
        <v>1100</v>
      </c>
      <c r="J524">
        <v>6238</v>
      </c>
      <c r="K524" s="8">
        <v>7338</v>
      </c>
      <c r="L524" s="12">
        <v>31.56645</v>
      </c>
      <c r="M524" s="12">
        <v>49.291699999999999</v>
      </c>
      <c r="N524" s="12">
        <v>13.083693</v>
      </c>
      <c r="O524" s="13">
        <f t="shared" si="107"/>
        <v>1.4637490157101183</v>
      </c>
      <c r="P524" s="6">
        <f t="shared" si="108"/>
        <v>0.96392584568369077</v>
      </c>
      <c r="Q524" s="6">
        <f t="shared" si="109"/>
        <v>-0.94832787640816119</v>
      </c>
      <c r="R524" s="6">
        <f t="shared" si="110"/>
        <v>6.1886474276193454E-2</v>
      </c>
      <c r="S524">
        <f t="shared" si="111"/>
        <v>0</v>
      </c>
      <c r="T524">
        <f t="shared" si="112"/>
        <v>0</v>
      </c>
      <c r="U524">
        <f t="shared" si="113"/>
        <v>0</v>
      </c>
      <c r="V524">
        <f t="shared" si="114"/>
        <v>1</v>
      </c>
      <c r="W524">
        <f t="shared" si="115"/>
        <v>0</v>
      </c>
      <c r="X524">
        <f t="shared" si="116"/>
        <v>0</v>
      </c>
      <c r="Y524">
        <f t="shared" si="117"/>
        <v>1</v>
      </c>
      <c r="Z524">
        <f t="shared" si="118"/>
        <v>0</v>
      </c>
      <c r="AA524">
        <f t="shared" si="119"/>
        <v>0</v>
      </c>
    </row>
    <row r="525" spans="2:27" x14ac:dyDescent="0.3">
      <c r="B525">
        <v>518</v>
      </c>
      <c r="C525" s="1">
        <v>41061</v>
      </c>
      <c r="D525">
        <v>2</v>
      </c>
      <c r="E525">
        <v>1</v>
      </c>
      <c r="F525">
        <v>6</v>
      </c>
      <c r="G525">
        <v>5</v>
      </c>
      <c r="H525">
        <v>2</v>
      </c>
      <c r="I525">
        <v>533</v>
      </c>
      <c r="J525">
        <v>3594</v>
      </c>
      <c r="K525" s="8">
        <v>4127</v>
      </c>
      <c r="L525" s="12">
        <v>30.398099999999999</v>
      </c>
      <c r="M525" s="12">
        <v>75.541700000000006</v>
      </c>
      <c r="N525" s="12">
        <v>15.916721000000001</v>
      </c>
      <c r="O525" s="13">
        <f t="shared" si="107"/>
        <v>-0.19492307179423693</v>
      </c>
      <c r="P525" s="6">
        <f t="shared" si="108"/>
        <v>0.8204376876529097</v>
      </c>
      <c r="Q525" s="6">
        <f t="shared" si="109"/>
        <v>0.89595634609606789</v>
      </c>
      <c r="R525" s="6">
        <f t="shared" si="110"/>
        <v>0.60787504609201337</v>
      </c>
      <c r="S525">
        <f t="shared" si="111"/>
        <v>0</v>
      </c>
      <c r="T525">
        <f t="shared" si="112"/>
        <v>0</v>
      </c>
      <c r="U525">
        <f t="shared" si="113"/>
        <v>0</v>
      </c>
      <c r="V525">
        <f t="shared" si="114"/>
        <v>0</v>
      </c>
      <c r="W525">
        <f t="shared" si="115"/>
        <v>1</v>
      </c>
      <c r="X525">
        <f t="shared" si="116"/>
        <v>0</v>
      </c>
      <c r="Y525">
        <f t="shared" si="117"/>
        <v>1</v>
      </c>
      <c r="Z525">
        <f t="shared" si="118"/>
        <v>0</v>
      </c>
      <c r="AA525">
        <f t="shared" si="119"/>
        <v>0</v>
      </c>
    </row>
    <row r="526" spans="2:27" x14ac:dyDescent="0.3">
      <c r="B526">
        <v>519</v>
      </c>
      <c r="C526" s="1">
        <v>41062</v>
      </c>
      <c r="D526">
        <v>2</v>
      </c>
      <c r="E526">
        <v>1</v>
      </c>
      <c r="F526">
        <v>6</v>
      </c>
      <c r="G526">
        <v>6</v>
      </c>
      <c r="H526">
        <v>1</v>
      </c>
      <c r="I526">
        <v>2795</v>
      </c>
      <c r="J526">
        <v>5325</v>
      </c>
      <c r="K526" s="8">
        <v>8120</v>
      </c>
      <c r="L526" s="12">
        <v>28.314399999999999</v>
      </c>
      <c r="M526" s="12">
        <v>54.916699999999999</v>
      </c>
      <c r="N526" s="12">
        <v>12.499654</v>
      </c>
      <c r="O526" s="13">
        <f t="shared" si="107"/>
        <v>1.8676984309790081</v>
      </c>
      <c r="P526" s="6">
        <f t="shared" si="108"/>
        <v>0.56453297169558625</v>
      </c>
      <c r="Q526" s="6">
        <f t="shared" si="109"/>
        <v>-0.55312411444296927</v>
      </c>
      <c r="R526" s="6">
        <f t="shared" si="110"/>
        <v>-5.0671050568156822E-2</v>
      </c>
      <c r="S526">
        <f t="shared" si="111"/>
        <v>0</v>
      </c>
      <c r="T526">
        <f t="shared" si="112"/>
        <v>0</v>
      </c>
      <c r="U526">
        <f t="shared" si="113"/>
        <v>0</v>
      </c>
      <c r="V526">
        <f t="shared" si="114"/>
        <v>0</v>
      </c>
      <c r="W526">
        <f t="shared" si="115"/>
        <v>0</v>
      </c>
      <c r="X526">
        <f t="shared" si="116"/>
        <v>0</v>
      </c>
      <c r="Y526">
        <f t="shared" si="117"/>
        <v>1</v>
      </c>
      <c r="Z526">
        <f t="shared" si="118"/>
        <v>0</v>
      </c>
      <c r="AA526">
        <f t="shared" si="119"/>
        <v>0</v>
      </c>
    </row>
    <row r="527" spans="2:27" x14ac:dyDescent="0.3">
      <c r="B527">
        <v>520</v>
      </c>
      <c r="C527" s="1">
        <v>41063</v>
      </c>
      <c r="D527">
        <v>2</v>
      </c>
      <c r="E527">
        <v>1</v>
      </c>
      <c r="F527">
        <v>6</v>
      </c>
      <c r="G527">
        <v>0</v>
      </c>
      <c r="H527">
        <v>1</v>
      </c>
      <c r="I527">
        <v>2494</v>
      </c>
      <c r="J527">
        <v>5147</v>
      </c>
      <c r="K527" s="8">
        <v>7641</v>
      </c>
      <c r="L527" s="12">
        <v>28.75665</v>
      </c>
      <c r="M527" s="12">
        <v>49.333300000000001</v>
      </c>
      <c r="N527" s="12">
        <v>12.333829</v>
      </c>
      <c r="O527" s="13">
        <f t="shared" si="107"/>
        <v>1.620266500142949</v>
      </c>
      <c r="P527" s="6">
        <f t="shared" si="108"/>
        <v>0.61884686555368806</v>
      </c>
      <c r="Q527" s="6">
        <f t="shared" si="109"/>
        <v>-0.94540512503078289</v>
      </c>
      <c r="R527" s="6">
        <f t="shared" si="110"/>
        <v>-8.2629278627095265E-2</v>
      </c>
      <c r="S527">
        <f t="shared" si="111"/>
        <v>0</v>
      </c>
      <c r="T527">
        <f t="shared" si="112"/>
        <v>0</v>
      </c>
      <c r="U527">
        <f t="shared" si="113"/>
        <v>0</v>
      </c>
      <c r="V527">
        <f t="shared" si="114"/>
        <v>0</v>
      </c>
      <c r="W527">
        <f t="shared" si="115"/>
        <v>0</v>
      </c>
      <c r="X527">
        <f t="shared" si="116"/>
        <v>0</v>
      </c>
      <c r="Y527">
        <f t="shared" si="117"/>
        <v>1</v>
      </c>
      <c r="Z527">
        <f t="shared" si="118"/>
        <v>0</v>
      </c>
      <c r="AA527">
        <f t="shared" si="119"/>
        <v>0</v>
      </c>
    </row>
    <row r="528" spans="2:27" x14ac:dyDescent="0.3">
      <c r="B528">
        <v>521</v>
      </c>
      <c r="C528" s="1">
        <v>41064</v>
      </c>
      <c r="D528">
        <v>2</v>
      </c>
      <c r="E528">
        <v>1</v>
      </c>
      <c r="F528">
        <v>6</v>
      </c>
      <c r="G528">
        <v>1</v>
      </c>
      <c r="H528">
        <v>1</v>
      </c>
      <c r="I528">
        <v>1071</v>
      </c>
      <c r="J528">
        <v>5927</v>
      </c>
      <c r="K528" s="8">
        <v>6998</v>
      </c>
      <c r="L528" s="12">
        <v>28.914149999999999</v>
      </c>
      <c r="M528" s="12">
        <v>48.708300000000001</v>
      </c>
      <c r="N528" s="12">
        <v>19.083811000000001</v>
      </c>
      <c r="O528" s="13">
        <f t="shared" si="107"/>
        <v>1.288118835158427</v>
      </c>
      <c r="P528" s="6">
        <f t="shared" si="108"/>
        <v>0.63818985771344139</v>
      </c>
      <c r="Q528" s="6">
        <f t="shared" si="109"/>
        <v>-0.98931665413802639</v>
      </c>
      <c r="R528" s="6">
        <f t="shared" si="110"/>
        <v>1.2182449209792947</v>
      </c>
      <c r="S528">
        <f t="shared" si="111"/>
        <v>1</v>
      </c>
      <c r="T528">
        <f t="shared" si="112"/>
        <v>0</v>
      </c>
      <c r="U528">
        <f t="shared" si="113"/>
        <v>0</v>
      </c>
      <c r="V528">
        <f t="shared" si="114"/>
        <v>0</v>
      </c>
      <c r="W528">
        <f t="shared" si="115"/>
        <v>0</v>
      </c>
      <c r="X528">
        <f t="shared" si="116"/>
        <v>0</v>
      </c>
      <c r="Y528">
        <f t="shared" si="117"/>
        <v>1</v>
      </c>
      <c r="Z528">
        <f t="shared" si="118"/>
        <v>0</v>
      </c>
      <c r="AA528">
        <f t="shared" si="119"/>
        <v>0</v>
      </c>
    </row>
    <row r="529" spans="2:27" x14ac:dyDescent="0.3">
      <c r="B529">
        <v>522</v>
      </c>
      <c r="C529" s="1">
        <v>41065</v>
      </c>
      <c r="D529">
        <v>2</v>
      </c>
      <c r="E529">
        <v>1</v>
      </c>
      <c r="F529">
        <v>6</v>
      </c>
      <c r="G529">
        <v>2</v>
      </c>
      <c r="H529">
        <v>2</v>
      </c>
      <c r="I529">
        <v>968</v>
      </c>
      <c r="J529">
        <v>6033</v>
      </c>
      <c r="K529" s="8">
        <v>7001</v>
      </c>
      <c r="L529" s="12">
        <v>26.294599999999999</v>
      </c>
      <c r="M529" s="12">
        <v>61.333300000000001</v>
      </c>
      <c r="N529" s="12">
        <v>14.041525</v>
      </c>
      <c r="O529" s="13">
        <f t="shared" si="107"/>
        <v>1.2896685132221184</v>
      </c>
      <c r="P529" s="6">
        <f t="shared" si="108"/>
        <v>0.31647598398593441</v>
      </c>
      <c r="Q529" s="6">
        <f t="shared" si="109"/>
        <v>-0.10230376617170693</v>
      </c>
      <c r="R529" s="6">
        <f t="shared" si="110"/>
        <v>0.24648236451077293</v>
      </c>
      <c r="S529">
        <f t="shared" si="111"/>
        <v>0</v>
      </c>
      <c r="T529">
        <f t="shared" si="112"/>
        <v>1</v>
      </c>
      <c r="U529">
        <f t="shared" si="113"/>
        <v>0</v>
      </c>
      <c r="V529">
        <f t="shared" si="114"/>
        <v>0</v>
      </c>
      <c r="W529">
        <f t="shared" si="115"/>
        <v>0</v>
      </c>
      <c r="X529">
        <f t="shared" si="116"/>
        <v>0</v>
      </c>
      <c r="Y529">
        <f t="shared" si="117"/>
        <v>1</v>
      </c>
      <c r="Z529">
        <f t="shared" si="118"/>
        <v>0</v>
      </c>
      <c r="AA529">
        <f t="shared" si="119"/>
        <v>0</v>
      </c>
    </row>
    <row r="530" spans="2:27" x14ac:dyDescent="0.3">
      <c r="B530">
        <v>523</v>
      </c>
      <c r="C530" s="1">
        <v>41066</v>
      </c>
      <c r="D530">
        <v>2</v>
      </c>
      <c r="E530">
        <v>1</v>
      </c>
      <c r="F530">
        <v>6</v>
      </c>
      <c r="G530">
        <v>3</v>
      </c>
      <c r="H530">
        <v>1</v>
      </c>
      <c r="I530">
        <v>1027</v>
      </c>
      <c r="J530">
        <v>6028</v>
      </c>
      <c r="K530" s="8">
        <v>7055</v>
      </c>
      <c r="L530" s="12">
        <v>27.114599999999999</v>
      </c>
      <c r="M530" s="12">
        <v>61.125</v>
      </c>
      <c r="N530" s="12">
        <v>5.1673749999999998</v>
      </c>
      <c r="O530" s="13">
        <f t="shared" si="107"/>
        <v>1.3175627183685634</v>
      </c>
      <c r="P530" s="6">
        <f t="shared" si="108"/>
        <v>0.41718235586528613</v>
      </c>
      <c r="Q530" s="6">
        <f t="shared" si="109"/>
        <v>-0.11693860059256915</v>
      </c>
      <c r="R530" s="6">
        <f t="shared" si="110"/>
        <v>-1.4637670522190858</v>
      </c>
      <c r="S530">
        <f t="shared" si="111"/>
        <v>0</v>
      </c>
      <c r="T530">
        <f t="shared" si="112"/>
        <v>0</v>
      </c>
      <c r="U530">
        <f t="shared" si="113"/>
        <v>1</v>
      </c>
      <c r="V530">
        <f t="shared" si="114"/>
        <v>0</v>
      </c>
      <c r="W530">
        <f t="shared" si="115"/>
        <v>0</v>
      </c>
      <c r="X530">
        <f t="shared" si="116"/>
        <v>0</v>
      </c>
      <c r="Y530">
        <f t="shared" si="117"/>
        <v>1</v>
      </c>
      <c r="Z530">
        <f t="shared" si="118"/>
        <v>0</v>
      </c>
      <c r="AA530">
        <f t="shared" si="119"/>
        <v>0</v>
      </c>
    </row>
    <row r="531" spans="2:27" x14ac:dyDescent="0.3">
      <c r="B531">
        <v>524</v>
      </c>
      <c r="C531" s="1">
        <v>41067</v>
      </c>
      <c r="D531">
        <v>2</v>
      </c>
      <c r="E531">
        <v>1</v>
      </c>
      <c r="F531">
        <v>6</v>
      </c>
      <c r="G531">
        <v>4</v>
      </c>
      <c r="H531">
        <v>1</v>
      </c>
      <c r="I531">
        <v>1038</v>
      </c>
      <c r="J531">
        <v>6456</v>
      </c>
      <c r="K531" s="8">
        <v>7494</v>
      </c>
      <c r="L531" s="12">
        <v>28.472100000000001</v>
      </c>
      <c r="M531" s="12">
        <v>56.708300000000001</v>
      </c>
      <c r="N531" s="12">
        <v>10.542450000000001</v>
      </c>
      <c r="O531" s="13">
        <f t="shared" si="107"/>
        <v>1.5443322750220707</v>
      </c>
      <c r="P531" s="6">
        <f t="shared" si="108"/>
        <v>0.58390052638506673</v>
      </c>
      <c r="Q531" s="6">
        <f t="shared" si="109"/>
        <v>-0.42724908156530911</v>
      </c>
      <c r="R531" s="6">
        <f t="shared" si="110"/>
        <v>-0.427868528571272</v>
      </c>
      <c r="S531">
        <f t="shared" si="111"/>
        <v>0</v>
      </c>
      <c r="T531">
        <f t="shared" si="112"/>
        <v>0</v>
      </c>
      <c r="U531">
        <f t="shared" si="113"/>
        <v>0</v>
      </c>
      <c r="V531">
        <f t="shared" si="114"/>
        <v>1</v>
      </c>
      <c r="W531">
        <f t="shared" si="115"/>
        <v>0</v>
      </c>
      <c r="X531">
        <f t="shared" si="116"/>
        <v>0</v>
      </c>
      <c r="Y531">
        <f t="shared" si="117"/>
        <v>1</v>
      </c>
      <c r="Z531">
        <f t="shared" si="118"/>
        <v>0</v>
      </c>
      <c r="AA531">
        <f t="shared" si="119"/>
        <v>0</v>
      </c>
    </row>
    <row r="532" spans="2:27" x14ac:dyDescent="0.3">
      <c r="B532">
        <v>525</v>
      </c>
      <c r="C532" s="1">
        <v>41068</v>
      </c>
      <c r="D532">
        <v>2</v>
      </c>
      <c r="E532">
        <v>1</v>
      </c>
      <c r="F532">
        <v>6</v>
      </c>
      <c r="G532">
        <v>5</v>
      </c>
      <c r="H532">
        <v>1</v>
      </c>
      <c r="I532">
        <v>1488</v>
      </c>
      <c r="J532">
        <v>6248</v>
      </c>
      <c r="K532" s="8">
        <v>7736</v>
      </c>
      <c r="L532" s="12">
        <v>29.8931</v>
      </c>
      <c r="M532" s="12">
        <v>46.791699999999999</v>
      </c>
      <c r="N532" s="12">
        <v>11.750660999999999</v>
      </c>
      <c r="O532" s="13">
        <f t="shared" si="107"/>
        <v>1.6693396388265098</v>
      </c>
      <c r="P532" s="6">
        <f t="shared" si="108"/>
        <v>0.75841730009306507</v>
      </c>
      <c r="Q532" s="6">
        <f t="shared" si="109"/>
        <v>-1.1239739928371353</v>
      </c>
      <c r="R532" s="6">
        <f t="shared" si="110"/>
        <v>-0.19501894207154</v>
      </c>
      <c r="S532">
        <f t="shared" si="111"/>
        <v>0</v>
      </c>
      <c r="T532">
        <f t="shared" si="112"/>
        <v>0</v>
      </c>
      <c r="U532">
        <f t="shared" si="113"/>
        <v>0</v>
      </c>
      <c r="V532">
        <f t="shared" si="114"/>
        <v>0</v>
      </c>
      <c r="W532">
        <f t="shared" si="115"/>
        <v>1</v>
      </c>
      <c r="X532">
        <f t="shared" si="116"/>
        <v>0</v>
      </c>
      <c r="Y532">
        <f t="shared" si="117"/>
        <v>1</v>
      </c>
      <c r="Z532">
        <f t="shared" si="118"/>
        <v>0</v>
      </c>
      <c r="AA532">
        <f t="shared" si="119"/>
        <v>0</v>
      </c>
    </row>
    <row r="533" spans="2:27" x14ac:dyDescent="0.3">
      <c r="B533">
        <v>526</v>
      </c>
      <c r="C533" s="1">
        <v>41069</v>
      </c>
      <c r="D533">
        <v>2</v>
      </c>
      <c r="E533">
        <v>1</v>
      </c>
      <c r="F533">
        <v>6</v>
      </c>
      <c r="G533">
        <v>6</v>
      </c>
      <c r="H533">
        <v>1</v>
      </c>
      <c r="I533">
        <v>2708</v>
      </c>
      <c r="J533">
        <v>4790</v>
      </c>
      <c r="K533" s="8">
        <v>7498</v>
      </c>
      <c r="L533" s="12">
        <v>32.418349999999997</v>
      </c>
      <c r="M533" s="12">
        <v>43.708300000000001</v>
      </c>
      <c r="N533" s="12">
        <v>9.6672290000000007</v>
      </c>
      <c r="O533" s="13">
        <f t="shared" si="107"/>
        <v>1.5463985124403259</v>
      </c>
      <c r="P533" s="6">
        <f t="shared" si="108"/>
        <v>1.0685499410544461</v>
      </c>
      <c r="Q533" s="6">
        <f t="shared" si="109"/>
        <v>-1.3406088869959747</v>
      </c>
      <c r="R533" s="6">
        <f t="shared" si="110"/>
        <v>-0.59654341064558036</v>
      </c>
      <c r="S533">
        <f t="shared" si="111"/>
        <v>0</v>
      </c>
      <c r="T533">
        <f t="shared" si="112"/>
        <v>0</v>
      </c>
      <c r="U533">
        <f t="shared" si="113"/>
        <v>0</v>
      </c>
      <c r="V533">
        <f t="shared" si="114"/>
        <v>0</v>
      </c>
      <c r="W533">
        <f t="shared" si="115"/>
        <v>0</v>
      </c>
      <c r="X533">
        <f t="shared" si="116"/>
        <v>0</v>
      </c>
      <c r="Y533">
        <f t="shared" si="117"/>
        <v>1</v>
      </c>
      <c r="Z533">
        <f t="shared" si="118"/>
        <v>0</v>
      </c>
      <c r="AA533">
        <f t="shared" si="119"/>
        <v>0</v>
      </c>
    </row>
    <row r="534" spans="2:27" x14ac:dyDescent="0.3">
      <c r="B534">
        <v>527</v>
      </c>
      <c r="C534" s="1">
        <v>41070</v>
      </c>
      <c r="D534">
        <v>2</v>
      </c>
      <c r="E534">
        <v>1</v>
      </c>
      <c r="F534">
        <v>6</v>
      </c>
      <c r="G534">
        <v>0</v>
      </c>
      <c r="H534">
        <v>1</v>
      </c>
      <c r="I534">
        <v>2224</v>
      </c>
      <c r="J534">
        <v>4374</v>
      </c>
      <c r="K534" s="8">
        <v>6598</v>
      </c>
      <c r="L534" s="12">
        <v>33.175849999999997</v>
      </c>
      <c r="M534" s="12">
        <v>53.833300000000001</v>
      </c>
      <c r="N534" s="12">
        <v>8.9593070000000008</v>
      </c>
      <c r="O534" s="13">
        <f t="shared" si="107"/>
        <v>1.0814950933329077</v>
      </c>
      <c r="P534" s="6">
        <f t="shared" si="108"/>
        <v>1.1615805223942133</v>
      </c>
      <c r="Q534" s="6">
        <f t="shared" si="109"/>
        <v>-0.6292421154586294</v>
      </c>
      <c r="R534" s="6">
        <f t="shared" si="110"/>
        <v>-0.73297599152264858</v>
      </c>
      <c r="S534">
        <f t="shared" si="111"/>
        <v>0</v>
      </c>
      <c r="T534">
        <f t="shared" si="112"/>
        <v>0</v>
      </c>
      <c r="U534">
        <f t="shared" si="113"/>
        <v>0</v>
      </c>
      <c r="V534">
        <f t="shared" si="114"/>
        <v>0</v>
      </c>
      <c r="W534">
        <f t="shared" si="115"/>
        <v>0</v>
      </c>
      <c r="X534">
        <f t="shared" si="116"/>
        <v>0</v>
      </c>
      <c r="Y534">
        <f t="shared" si="117"/>
        <v>1</v>
      </c>
      <c r="Z534">
        <f t="shared" si="118"/>
        <v>0</v>
      </c>
      <c r="AA534">
        <f t="shared" si="119"/>
        <v>0</v>
      </c>
    </row>
    <row r="535" spans="2:27" x14ac:dyDescent="0.3">
      <c r="B535">
        <v>528</v>
      </c>
      <c r="C535" s="1">
        <v>41071</v>
      </c>
      <c r="D535">
        <v>2</v>
      </c>
      <c r="E535">
        <v>1</v>
      </c>
      <c r="F535">
        <v>6</v>
      </c>
      <c r="G535">
        <v>1</v>
      </c>
      <c r="H535">
        <v>2</v>
      </c>
      <c r="I535">
        <v>1017</v>
      </c>
      <c r="J535">
        <v>5647</v>
      </c>
      <c r="K535" s="8">
        <v>6664</v>
      </c>
      <c r="L535" s="12">
        <v>32.986049999999999</v>
      </c>
      <c r="M535" s="12">
        <v>58.791699999999999</v>
      </c>
      <c r="N535" s="12">
        <v>13.916771000000001</v>
      </c>
      <c r="O535" s="13">
        <f t="shared" si="107"/>
        <v>1.1155880107341185</v>
      </c>
      <c r="P535" s="6">
        <f t="shared" si="108"/>
        <v>1.1382706816836026</v>
      </c>
      <c r="Q535" s="6">
        <f t="shared" si="109"/>
        <v>-0.28087263397805939</v>
      </c>
      <c r="R535" s="6">
        <f t="shared" si="110"/>
        <v>0.22243944707814947</v>
      </c>
      <c r="S535">
        <f t="shared" si="111"/>
        <v>1</v>
      </c>
      <c r="T535">
        <f t="shared" si="112"/>
        <v>0</v>
      </c>
      <c r="U535">
        <f t="shared" si="113"/>
        <v>0</v>
      </c>
      <c r="V535">
        <f t="shared" si="114"/>
        <v>0</v>
      </c>
      <c r="W535">
        <f t="shared" si="115"/>
        <v>0</v>
      </c>
      <c r="X535">
        <f t="shared" si="116"/>
        <v>0</v>
      </c>
      <c r="Y535">
        <f t="shared" si="117"/>
        <v>1</v>
      </c>
      <c r="Z535">
        <f t="shared" si="118"/>
        <v>0</v>
      </c>
      <c r="AA535">
        <f t="shared" si="119"/>
        <v>0</v>
      </c>
    </row>
    <row r="536" spans="2:27" x14ac:dyDescent="0.3">
      <c r="B536">
        <v>529</v>
      </c>
      <c r="C536" s="1">
        <v>41072</v>
      </c>
      <c r="D536">
        <v>2</v>
      </c>
      <c r="E536">
        <v>1</v>
      </c>
      <c r="F536">
        <v>6</v>
      </c>
      <c r="G536">
        <v>2</v>
      </c>
      <c r="H536">
        <v>2</v>
      </c>
      <c r="I536">
        <v>477</v>
      </c>
      <c r="J536">
        <v>4495</v>
      </c>
      <c r="K536" s="8">
        <v>4972</v>
      </c>
      <c r="L536" s="12">
        <v>29.893750000000001</v>
      </c>
      <c r="M536" s="12">
        <v>83.333299999999994</v>
      </c>
      <c r="N536" s="12">
        <v>14.374582</v>
      </c>
      <c r="O536" s="13">
        <f t="shared" si="107"/>
        <v>0.24156958281217231</v>
      </c>
      <c r="P536" s="6">
        <f t="shared" si="108"/>
        <v>0.75849712831467686</v>
      </c>
      <c r="Q536" s="6">
        <f t="shared" si="109"/>
        <v>1.4433820584032651</v>
      </c>
      <c r="R536" s="6">
        <f t="shared" si="110"/>
        <v>0.31066998135157425</v>
      </c>
      <c r="S536">
        <f t="shared" si="111"/>
        <v>0</v>
      </c>
      <c r="T536">
        <f t="shared" si="112"/>
        <v>1</v>
      </c>
      <c r="U536">
        <f t="shared" si="113"/>
        <v>0</v>
      </c>
      <c r="V536">
        <f t="shared" si="114"/>
        <v>0</v>
      </c>
      <c r="W536">
        <f t="shared" si="115"/>
        <v>0</v>
      </c>
      <c r="X536">
        <f t="shared" si="116"/>
        <v>0</v>
      </c>
      <c r="Y536">
        <f t="shared" si="117"/>
        <v>1</v>
      </c>
      <c r="Z536">
        <f t="shared" si="118"/>
        <v>0</v>
      </c>
      <c r="AA536">
        <f t="shared" si="119"/>
        <v>0</v>
      </c>
    </row>
    <row r="537" spans="2:27" x14ac:dyDescent="0.3">
      <c r="B537">
        <v>530</v>
      </c>
      <c r="C537" s="1">
        <v>41073</v>
      </c>
      <c r="D537">
        <v>2</v>
      </c>
      <c r="E537">
        <v>1</v>
      </c>
      <c r="F537">
        <v>6</v>
      </c>
      <c r="G537">
        <v>3</v>
      </c>
      <c r="H537">
        <v>1</v>
      </c>
      <c r="I537">
        <v>1173</v>
      </c>
      <c r="J537">
        <v>6248</v>
      </c>
      <c r="K537" s="8">
        <v>7421</v>
      </c>
      <c r="L537" s="12">
        <v>30.55585</v>
      </c>
      <c r="M537" s="12">
        <v>58.208300000000001</v>
      </c>
      <c r="N537" s="12">
        <v>22.999693000000001</v>
      </c>
      <c r="O537" s="13">
        <f t="shared" si="107"/>
        <v>1.5066234421389135</v>
      </c>
      <c r="P537" s="6">
        <f t="shared" si="108"/>
        <v>0.8398113829748215</v>
      </c>
      <c r="Q537" s="6">
        <f t="shared" si="109"/>
        <v>-0.32186141170792459</v>
      </c>
      <c r="R537" s="6">
        <f t="shared" si="110"/>
        <v>1.9729239501238272</v>
      </c>
      <c r="S537">
        <f t="shared" si="111"/>
        <v>0</v>
      </c>
      <c r="T537">
        <f t="shared" si="112"/>
        <v>0</v>
      </c>
      <c r="U537">
        <f t="shared" si="113"/>
        <v>1</v>
      </c>
      <c r="V537">
        <f t="shared" si="114"/>
        <v>0</v>
      </c>
      <c r="W537">
        <f t="shared" si="115"/>
        <v>0</v>
      </c>
      <c r="X537">
        <f t="shared" si="116"/>
        <v>0</v>
      </c>
      <c r="Y537">
        <f t="shared" si="117"/>
        <v>1</v>
      </c>
      <c r="Z537">
        <f t="shared" si="118"/>
        <v>0</v>
      </c>
      <c r="AA537">
        <f t="shared" si="119"/>
        <v>0</v>
      </c>
    </row>
    <row r="538" spans="2:27" x14ac:dyDescent="0.3">
      <c r="B538">
        <v>531</v>
      </c>
      <c r="C538" s="1">
        <v>41074</v>
      </c>
      <c r="D538">
        <v>2</v>
      </c>
      <c r="E538">
        <v>1</v>
      </c>
      <c r="F538">
        <v>6</v>
      </c>
      <c r="G538">
        <v>4</v>
      </c>
      <c r="H538">
        <v>1</v>
      </c>
      <c r="I538">
        <v>1180</v>
      </c>
      <c r="J538">
        <v>6183</v>
      </c>
      <c r="K538" s="8">
        <v>7363</v>
      </c>
      <c r="L538" s="12">
        <v>31.219149999999999</v>
      </c>
      <c r="M538" s="12">
        <v>56.958300000000001</v>
      </c>
      <c r="N538" s="12">
        <v>17.000111</v>
      </c>
      <c r="O538" s="13">
        <f t="shared" si="107"/>
        <v>1.4766629995742131</v>
      </c>
      <c r="P538" s="6">
        <f t="shared" si="108"/>
        <v>0.9212730128133263</v>
      </c>
      <c r="Q538" s="6">
        <f t="shared" si="109"/>
        <v>-0.4096844699224117</v>
      </c>
      <c r="R538" s="6">
        <f t="shared" si="110"/>
        <v>0.81666880274374465</v>
      </c>
      <c r="S538">
        <f t="shared" si="111"/>
        <v>0</v>
      </c>
      <c r="T538">
        <f t="shared" si="112"/>
        <v>0</v>
      </c>
      <c r="U538">
        <f t="shared" si="113"/>
        <v>0</v>
      </c>
      <c r="V538">
        <f t="shared" si="114"/>
        <v>1</v>
      </c>
      <c r="W538">
        <f t="shared" si="115"/>
        <v>0</v>
      </c>
      <c r="X538">
        <f t="shared" si="116"/>
        <v>0</v>
      </c>
      <c r="Y538">
        <f t="shared" si="117"/>
        <v>1</v>
      </c>
      <c r="Z538">
        <f t="shared" si="118"/>
        <v>0</v>
      </c>
      <c r="AA538">
        <f t="shared" si="119"/>
        <v>0</v>
      </c>
    </row>
    <row r="539" spans="2:27" x14ac:dyDescent="0.3">
      <c r="B539">
        <v>532</v>
      </c>
      <c r="C539" s="1">
        <v>41075</v>
      </c>
      <c r="D539">
        <v>2</v>
      </c>
      <c r="E539">
        <v>1</v>
      </c>
      <c r="F539">
        <v>6</v>
      </c>
      <c r="G539">
        <v>5</v>
      </c>
      <c r="H539">
        <v>1</v>
      </c>
      <c r="I539">
        <v>1563</v>
      </c>
      <c r="J539">
        <v>6102</v>
      </c>
      <c r="K539" s="8">
        <v>7665</v>
      </c>
      <c r="L539" s="12">
        <v>29.9877</v>
      </c>
      <c r="M539" s="12">
        <v>58.958300000000001</v>
      </c>
      <c r="N539" s="12">
        <v>11.833339</v>
      </c>
      <c r="O539" s="13">
        <f t="shared" si="107"/>
        <v>1.6326639246524801</v>
      </c>
      <c r="P539" s="6">
        <f t="shared" si="108"/>
        <v>0.77003537665378052</v>
      </c>
      <c r="Q539" s="6">
        <f t="shared" si="109"/>
        <v>-0.26916757677923236</v>
      </c>
      <c r="R539" s="6">
        <f t="shared" si="110"/>
        <v>-0.17908502149589123</v>
      </c>
      <c r="S539">
        <f t="shared" si="111"/>
        <v>0</v>
      </c>
      <c r="T539">
        <f t="shared" si="112"/>
        <v>0</v>
      </c>
      <c r="U539">
        <f t="shared" si="113"/>
        <v>0</v>
      </c>
      <c r="V539">
        <f t="shared" si="114"/>
        <v>0</v>
      </c>
      <c r="W539">
        <f t="shared" si="115"/>
        <v>1</v>
      </c>
      <c r="X539">
        <f t="shared" si="116"/>
        <v>0</v>
      </c>
      <c r="Y539">
        <f t="shared" si="117"/>
        <v>1</v>
      </c>
      <c r="Z539">
        <f t="shared" si="118"/>
        <v>0</v>
      </c>
      <c r="AA539">
        <f t="shared" si="119"/>
        <v>0</v>
      </c>
    </row>
    <row r="540" spans="2:27" x14ac:dyDescent="0.3">
      <c r="B540">
        <v>533</v>
      </c>
      <c r="C540" s="1">
        <v>41076</v>
      </c>
      <c r="D540">
        <v>2</v>
      </c>
      <c r="E540">
        <v>1</v>
      </c>
      <c r="F540">
        <v>6</v>
      </c>
      <c r="G540">
        <v>6</v>
      </c>
      <c r="H540">
        <v>1</v>
      </c>
      <c r="I540">
        <v>2963</v>
      </c>
      <c r="J540">
        <v>4739</v>
      </c>
      <c r="K540" s="8">
        <v>7702</v>
      </c>
      <c r="L540" s="12">
        <v>29.735399999999998</v>
      </c>
      <c r="M540" s="12">
        <v>50.416699999999999</v>
      </c>
      <c r="N540" s="12">
        <v>11.166689</v>
      </c>
      <c r="O540" s="13">
        <f t="shared" si="107"/>
        <v>1.6517766207713407</v>
      </c>
      <c r="P540" s="6">
        <f t="shared" si="108"/>
        <v>0.7390497454035847</v>
      </c>
      <c r="Q540" s="6">
        <f t="shared" si="109"/>
        <v>-0.86928712401512276</v>
      </c>
      <c r="R540" s="6">
        <f t="shared" si="110"/>
        <v>-0.30756355450051265</v>
      </c>
      <c r="S540">
        <f t="shared" si="111"/>
        <v>0</v>
      </c>
      <c r="T540">
        <f t="shared" si="112"/>
        <v>0</v>
      </c>
      <c r="U540">
        <f t="shared" si="113"/>
        <v>0</v>
      </c>
      <c r="V540">
        <f t="shared" si="114"/>
        <v>0</v>
      </c>
      <c r="W540">
        <f t="shared" si="115"/>
        <v>0</v>
      </c>
      <c r="X540">
        <f t="shared" si="116"/>
        <v>0</v>
      </c>
      <c r="Y540">
        <f t="shared" si="117"/>
        <v>1</v>
      </c>
      <c r="Z540">
        <f t="shared" si="118"/>
        <v>0</v>
      </c>
      <c r="AA540">
        <f t="shared" si="119"/>
        <v>0</v>
      </c>
    </row>
    <row r="541" spans="2:27" x14ac:dyDescent="0.3">
      <c r="B541">
        <v>534</v>
      </c>
      <c r="C541" s="1">
        <v>41077</v>
      </c>
      <c r="D541">
        <v>2</v>
      </c>
      <c r="E541">
        <v>1</v>
      </c>
      <c r="F541">
        <v>6</v>
      </c>
      <c r="G541">
        <v>0</v>
      </c>
      <c r="H541">
        <v>1</v>
      </c>
      <c r="I541">
        <v>2634</v>
      </c>
      <c r="J541">
        <v>4344</v>
      </c>
      <c r="K541" s="8">
        <v>6978</v>
      </c>
      <c r="L541" s="12">
        <v>28.598749999999999</v>
      </c>
      <c r="M541" s="12">
        <v>59.875</v>
      </c>
      <c r="N541" s="12">
        <v>9.7085679999999996</v>
      </c>
      <c r="O541" s="13">
        <f t="shared" si="107"/>
        <v>1.2777876480671511</v>
      </c>
      <c r="P541" s="6">
        <f t="shared" si="108"/>
        <v>0.59945474833448098</v>
      </c>
      <c r="Q541" s="6">
        <f t="shared" si="109"/>
        <v>-0.20476165880705621</v>
      </c>
      <c r="R541" s="6">
        <f t="shared" si="110"/>
        <v>-0.5885764503577563</v>
      </c>
      <c r="S541">
        <f t="shared" si="111"/>
        <v>0</v>
      </c>
      <c r="T541">
        <f t="shared" si="112"/>
        <v>0</v>
      </c>
      <c r="U541">
        <f t="shared" si="113"/>
        <v>0</v>
      </c>
      <c r="V541">
        <f t="shared" si="114"/>
        <v>0</v>
      </c>
      <c r="W541">
        <f t="shared" si="115"/>
        <v>0</v>
      </c>
      <c r="X541">
        <f t="shared" si="116"/>
        <v>0</v>
      </c>
      <c r="Y541">
        <f t="shared" si="117"/>
        <v>1</v>
      </c>
      <c r="Z541">
        <f t="shared" si="118"/>
        <v>0</v>
      </c>
      <c r="AA541">
        <f t="shared" si="119"/>
        <v>0</v>
      </c>
    </row>
    <row r="542" spans="2:27" x14ac:dyDescent="0.3">
      <c r="B542">
        <v>535</v>
      </c>
      <c r="C542" s="1">
        <v>41078</v>
      </c>
      <c r="D542">
        <v>2</v>
      </c>
      <c r="E542">
        <v>1</v>
      </c>
      <c r="F542">
        <v>6</v>
      </c>
      <c r="G542">
        <v>1</v>
      </c>
      <c r="H542">
        <v>2</v>
      </c>
      <c r="I542">
        <v>653</v>
      </c>
      <c r="J542">
        <v>4446</v>
      </c>
      <c r="K542" s="8">
        <v>5099</v>
      </c>
      <c r="L542" s="12">
        <v>27.242100000000001</v>
      </c>
      <c r="M542" s="12">
        <v>77.791700000000006</v>
      </c>
      <c r="N542" s="12">
        <v>11.707981999999999</v>
      </c>
      <c r="O542" s="13">
        <f t="shared" si="107"/>
        <v>0.30717262084177466</v>
      </c>
      <c r="P542" s="6">
        <f t="shared" si="108"/>
        <v>0.43284096856603915</v>
      </c>
      <c r="Q542" s="6">
        <f t="shared" si="109"/>
        <v>1.0540378508821446</v>
      </c>
      <c r="R542" s="6">
        <f t="shared" si="110"/>
        <v>-0.20324415066691118</v>
      </c>
      <c r="S542">
        <f t="shared" si="111"/>
        <v>1</v>
      </c>
      <c r="T542">
        <f t="shared" si="112"/>
        <v>0</v>
      </c>
      <c r="U542">
        <f t="shared" si="113"/>
        <v>0</v>
      </c>
      <c r="V542">
        <f t="shared" si="114"/>
        <v>0</v>
      </c>
      <c r="W542">
        <f t="shared" si="115"/>
        <v>0</v>
      </c>
      <c r="X542">
        <f t="shared" si="116"/>
        <v>0</v>
      </c>
      <c r="Y542">
        <f t="shared" si="117"/>
        <v>1</v>
      </c>
      <c r="Z542">
        <f t="shared" si="118"/>
        <v>0</v>
      </c>
      <c r="AA542">
        <f t="shared" si="119"/>
        <v>0</v>
      </c>
    </row>
    <row r="543" spans="2:27" x14ac:dyDescent="0.3">
      <c r="B543">
        <v>536</v>
      </c>
      <c r="C543" s="1">
        <v>41079</v>
      </c>
      <c r="D543">
        <v>2</v>
      </c>
      <c r="E543">
        <v>1</v>
      </c>
      <c r="F543">
        <v>6</v>
      </c>
      <c r="G543">
        <v>2</v>
      </c>
      <c r="H543">
        <v>1</v>
      </c>
      <c r="I543">
        <v>968</v>
      </c>
      <c r="J543">
        <v>5857</v>
      </c>
      <c r="K543" s="8">
        <v>6825</v>
      </c>
      <c r="L543" s="12">
        <v>32.7346</v>
      </c>
      <c r="M543" s="12">
        <v>69</v>
      </c>
      <c r="N543" s="12">
        <v>9.9171390000000006</v>
      </c>
      <c r="O543" s="13">
        <f t="shared" si="107"/>
        <v>1.1987540668188899</v>
      </c>
      <c r="P543" s="6">
        <f t="shared" si="108"/>
        <v>1.1073894411847454</v>
      </c>
      <c r="Q543" s="6">
        <f t="shared" si="109"/>
        <v>0.43634666615869944</v>
      </c>
      <c r="R543" s="6">
        <f t="shared" si="110"/>
        <v>-0.54838010128806902</v>
      </c>
      <c r="S543">
        <f t="shared" si="111"/>
        <v>0</v>
      </c>
      <c r="T543">
        <f t="shared" si="112"/>
        <v>1</v>
      </c>
      <c r="U543">
        <f t="shared" si="113"/>
        <v>0</v>
      </c>
      <c r="V543">
        <f t="shared" si="114"/>
        <v>0</v>
      </c>
      <c r="W543">
        <f t="shared" si="115"/>
        <v>0</v>
      </c>
      <c r="X543">
        <f t="shared" si="116"/>
        <v>0</v>
      </c>
      <c r="Y543">
        <f t="shared" si="117"/>
        <v>1</v>
      </c>
      <c r="Z543">
        <f t="shared" si="118"/>
        <v>0</v>
      </c>
      <c r="AA543">
        <f t="shared" si="119"/>
        <v>0</v>
      </c>
    </row>
    <row r="544" spans="2:27" x14ac:dyDescent="0.3">
      <c r="B544">
        <v>537</v>
      </c>
      <c r="C544" s="1">
        <v>41080</v>
      </c>
      <c r="D544">
        <v>2</v>
      </c>
      <c r="E544">
        <v>1</v>
      </c>
      <c r="F544">
        <v>6</v>
      </c>
      <c r="G544">
        <v>3</v>
      </c>
      <c r="H544">
        <v>1</v>
      </c>
      <c r="I544">
        <v>872</v>
      </c>
      <c r="J544">
        <v>5339</v>
      </c>
      <c r="K544" s="8">
        <v>6211</v>
      </c>
      <c r="L544" s="12">
        <v>36.048749999999998</v>
      </c>
      <c r="M544" s="12">
        <v>59.208300000000001</v>
      </c>
      <c r="N544" s="12">
        <v>7.6254039999999996</v>
      </c>
      <c r="O544" s="13">
        <f t="shared" si="107"/>
        <v>0.88158662311671798</v>
      </c>
      <c r="P544" s="6">
        <f t="shared" si="108"/>
        <v>1.514408980652981</v>
      </c>
      <c r="Q544" s="6">
        <f t="shared" si="109"/>
        <v>-0.25160296513633496</v>
      </c>
      <c r="R544" s="6">
        <f t="shared" si="110"/>
        <v>-0.99004926927028758</v>
      </c>
      <c r="S544">
        <f t="shared" si="111"/>
        <v>0</v>
      </c>
      <c r="T544">
        <f t="shared" si="112"/>
        <v>0</v>
      </c>
      <c r="U544">
        <f t="shared" si="113"/>
        <v>1</v>
      </c>
      <c r="V544">
        <f t="shared" si="114"/>
        <v>0</v>
      </c>
      <c r="W544">
        <f t="shared" si="115"/>
        <v>0</v>
      </c>
      <c r="X544">
        <f t="shared" si="116"/>
        <v>0</v>
      </c>
      <c r="Y544">
        <f t="shared" si="117"/>
        <v>1</v>
      </c>
      <c r="Z544">
        <f t="shared" si="118"/>
        <v>0</v>
      </c>
      <c r="AA544">
        <f t="shared" si="119"/>
        <v>0</v>
      </c>
    </row>
    <row r="545" spans="2:27" x14ac:dyDescent="0.3">
      <c r="B545">
        <v>538</v>
      </c>
      <c r="C545" s="1">
        <v>41081</v>
      </c>
      <c r="D545">
        <v>3</v>
      </c>
      <c r="E545">
        <v>1</v>
      </c>
      <c r="F545">
        <v>6</v>
      </c>
      <c r="G545">
        <v>4</v>
      </c>
      <c r="H545">
        <v>1</v>
      </c>
      <c r="I545">
        <v>778</v>
      </c>
      <c r="J545">
        <v>5127</v>
      </c>
      <c r="K545" s="8">
        <v>5905</v>
      </c>
      <c r="L545" s="12">
        <v>37.627099999999999</v>
      </c>
      <c r="M545" s="12">
        <v>56.791699999999999</v>
      </c>
      <c r="N545" s="12">
        <v>7.9587289999999999</v>
      </c>
      <c r="O545" s="13">
        <f t="shared" si="107"/>
        <v>0.72351946062019579</v>
      </c>
      <c r="P545" s="6">
        <f t="shared" si="108"/>
        <v>1.708250324623438</v>
      </c>
      <c r="Q545" s="6">
        <f t="shared" si="109"/>
        <v>-0.42138952712123873</v>
      </c>
      <c r="R545" s="6">
        <f t="shared" si="110"/>
        <v>-0.92581000276797687</v>
      </c>
      <c r="S545">
        <f t="shared" si="111"/>
        <v>0</v>
      </c>
      <c r="T545">
        <f t="shared" si="112"/>
        <v>0</v>
      </c>
      <c r="U545">
        <f t="shared" si="113"/>
        <v>0</v>
      </c>
      <c r="V545">
        <f t="shared" si="114"/>
        <v>1</v>
      </c>
      <c r="W545">
        <f t="shared" si="115"/>
        <v>0</v>
      </c>
      <c r="X545">
        <f t="shared" si="116"/>
        <v>0</v>
      </c>
      <c r="Y545">
        <f t="shared" si="117"/>
        <v>0</v>
      </c>
      <c r="Z545">
        <f t="shared" si="118"/>
        <v>1</v>
      </c>
      <c r="AA545">
        <f t="shared" si="119"/>
        <v>0</v>
      </c>
    </row>
    <row r="546" spans="2:27" x14ac:dyDescent="0.3">
      <c r="B546">
        <v>539</v>
      </c>
      <c r="C546" s="1">
        <v>41082</v>
      </c>
      <c r="D546">
        <v>3</v>
      </c>
      <c r="E546">
        <v>1</v>
      </c>
      <c r="F546">
        <v>6</v>
      </c>
      <c r="G546">
        <v>5</v>
      </c>
      <c r="H546">
        <v>1</v>
      </c>
      <c r="I546">
        <v>964</v>
      </c>
      <c r="J546">
        <v>4859</v>
      </c>
      <c r="K546" s="8">
        <v>5823</v>
      </c>
      <c r="L546" s="12">
        <v>36.206049999999998</v>
      </c>
      <c r="M546" s="12">
        <v>57.375</v>
      </c>
      <c r="N546" s="12">
        <v>12.250413999999999</v>
      </c>
      <c r="O546" s="13">
        <f t="shared" si="107"/>
        <v>0.68116159354596439</v>
      </c>
      <c r="P546" s="6">
        <f t="shared" si="108"/>
        <v>1.5337274102830079</v>
      </c>
      <c r="Q546" s="6">
        <f t="shared" si="109"/>
        <v>-0.38040777523603037</v>
      </c>
      <c r="R546" s="6">
        <f t="shared" si="110"/>
        <v>-9.8705235771894703E-2</v>
      </c>
      <c r="S546">
        <f t="shared" si="111"/>
        <v>0</v>
      </c>
      <c r="T546">
        <f t="shared" si="112"/>
        <v>0</v>
      </c>
      <c r="U546">
        <f t="shared" si="113"/>
        <v>0</v>
      </c>
      <c r="V546">
        <f t="shared" si="114"/>
        <v>0</v>
      </c>
      <c r="W546">
        <f t="shared" si="115"/>
        <v>1</v>
      </c>
      <c r="X546">
        <f t="shared" si="116"/>
        <v>0</v>
      </c>
      <c r="Y546">
        <f t="shared" si="117"/>
        <v>0</v>
      </c>
      <c r="Z546">
        <f t="shared" si="118"/>
        <v>1</v>
      </c>
      <c r="AA546">
        <f t="shared" si="119"/>
        <v>0</v>
      </c>
    </row>
    <row r="547" spans="2:27" x14ac:dyDescent="0.3">
      <c r="B547">
        <v>540</v>
      </c>
      <c r="C547" s="1">
        <v>41083</v>
      </c>
      <c r="D547">
        <v>3</v>
      </c>
      <c r="E547">
        <v>1</v>
      </c>
      <c r="F547">
        <v>6</v>
      </c>
      <c r="G547">
        <v>6</v>
      </c>
      <c r="H547">
        <v>1</v>
      </c>
      <c r="I547">
        <v>2657</v>
      </c>
      <c r="J547">
        <v>4801</v>
      </c>
      <c r="K547" s="8">
        <v>7458</v>
      </c>
      <c r="L547" s="12">
        <v>32.639600000000002</v>
      </c>
      <c r="M547" s="12">
        <v>53.458300000000001</v>
      </c>
      <c r="N547" s="12">
        <v>12.041307</v>
      </c>
      <c r="O547" s="13">
        <f t="shared" si="107"/>
        <v>1.5257361382577739</v>
      </c>
      <c r="P547" s="6">
        <f t="shared" si="108"/>
        <v>1.0957222395645767</v>
      </c>
      <c r="Q547" s="6">
        <f t="shared" si="109"/>
        <v>-0.65558903292297555</v>
      </c>
      <c r="R547" s="6">
        <f t="shared" si="110"/>
        <v>-0.13900488416460044</v>
      </c>
      <c r="S547">
        <f t="shared" si="111"/>
        <v>0</v>
      </c>
      <c r="T547">
        <f t="shared" si="112"/>
        <v>0</v>
      </c>
      <c r="U547">
        <f t="shared" si="113"/>
        <v>0</v>
      </c>
      <c r="V547">
        <f t="shared" si="114"/>
        <v>0</v>
      </c>
      <c r="W547">
        <f t="shared" si="115"/>
        <v>0</v>
      </c>
      <c r="X547">
        <f t="shared" si="116"/>
        <v>0</v>
      </c>
      <c r="Y547">
        <f t="shared" si="117"/>
        <v>0</v>
      </c>
      <c r="Z547">
        <f t="shared" si="118"/>
        <v>1</v>
      </c>
      <c r="AA547">
        <f t="shared" si="119"/>
        <v>0</v>
      </c>
    </row>
    <row r="548" spans="2:27" x14ac:dyDescent="0.3">
      <c r="B548">
        <v>541</v>
      </c>
      <c r="C548" s="1">
        <v>41084</v>
      </c>
      <c r="D548">
        <v>3</v>
      </c>
      <c r="E548">
        <v>1</v>
      </c>
      <c r="F548">
        <v>6</v>
      </c>
      <c r="G548">
        <v>0</v>
      </c>
      <c r="H548">
        <v>1</v>
      </c>
      <c r="I548">
        <v>2551</v>
      </c>
      <c r="J548">
        <v>4340</v>
      </c>
      <c r="K548" s="8">
        <v>6891</v>
      </c>
      <c r="L548" s="12">
        <v>33.712699999999998</v>
      </c>
      <c r="M548" s="12">
        <v>47.916699999999999</v>
      </c>
      <c r="N548" s="12">
        <v>9.7501750000000005</v>
      </c>
      <c r="O548" s="13">
        <f t="shared" si="107"/>
        <v>1.2328469842201006</v>
      </c>
      <c r="P548" s="6">
        <f t="shared" si="108"/>
        <v>1.2275124928130303</v>
      </c>
      <c r="Q548" s="6">
        <f t="shared" si="109"/>
        <v>-1.044933240444097</v>
      </c>
      <c r="R548" s="6">
        <f t="shared" si="110"/>
        <v>-0.58055784040842251</v>
      </c>
      <c r="S548">
        <f t="shared" si="111"/>
        <v>0</v>
      </c>
      <c r="T548">
        <f t="shared" si="112"/>
        <v>0</v>
      </c>
      <c r="U548">
        <f t="shared" si="113"/>
        <v>0</v>
      </c>
      <c r="V548">
        <f t="shared" si="114"/>
        <v>0</v>
      </c>
      <c r="W548">
        <f t="shared" si="115"/>
        <v>0</v>
      </c>
      <c r="X548">
        <f t="shared" si="116"/>
        <v>0</v>
      </c>
      <c r="Y548">
        <f t="shared" si="117"/>
        <v>0</v>
      </c>
      <c r="Z548">
        <f t="shared" si="118"/>
        <v>1</v>
      </c>
      <c r="AA548">
        <f t="shared" si="119"/>
        <v>0</v>
      </c>
    </row>
    <row r="549" spans="2:27" x14ac:dyDescent="0.3">
      <c r="B549">
        <v>542</v>
      </c>
      <c r="C549" s="1">
        <v>41085</v>
      </c>
      <c r="D549">
        <v>3</v>
      </c>
      <c r="E549">
        <v>1</v>
      </c>
      <c r="F549">
        <v>6</v>
      </c>
      <c r="G549">
        <v>1</v>
      </c>
      <c r="H549">
        <v>1</v>
      </c>
      <c r="I549">
        <v>1139</v>
      </c>
      <c r="J549">
        <v>5640</v>
      </c>
      <c r="K549" s="8">
        <v>6779</v>
      </c>
      <c r="L549" s="12">
        <v>32.702100000000002</v>
      </c>
      <c r="M549" s="12">
        <v>50.416699999999999</v>
      </c>
      <c r="N549" s="12">
        <v>20.125661000000001</v>
      </c>
      <c r="O549" s="13">
        <f t="shared" si="107"/>
        <v>1.1749923365089552</v>
      </c>
      <c r="P549" s="6">
        <f t="shared" si="108"/>
        <v>1.1033980301041615</v>
      </c>
      <c r="Q549" s="6">
        <f t="shared" si="109"/>
        <v>-0.86928712401512276</v>
      </c>
      <c r="R549" s="6">
        <f t="shared" si="110"/>
        <v>1.4190329800970698</v>
      </c>
      <c r="S549">
        <f t="shared" si="111"/>
        <v>1</v>
      </c>
      <c r="T549">
        <f t="shared" si="112"/>
        <v>0</v>
      </c>
      <c r="U549">
        <f t="shared" si="113"/>
        <v>0</v>
      </c>
      <c r="V549">
        <f t="shared" si="114"/>
        <v>0</v>
      </c>
      <c r="W549">
        <f t="shared" si="115"/>
        <v>0</v>
      </c>
      <c r="X549">
        <f t="shared" si="116"/>
        <v>0</v>
      </c>
      <c r="Y549">
        <f t="shared" si="117"/>
        <v>0</v>
      </c>
      <c r="Z549">
        <f t="shared" si="118"/>
        <v>1</v>
      </c>
      <c r="AA549">
        <f t="shared" si="119"/>
        <v>0</v>
      </c>
    </row>
    <row r="550" spans="2:27" x14ac:dyDescent="0.3">
      <c r="B550">
        <v>543</v>
      </c>
      <c r="C550" s="1">
        <v>41086</v>
      </c>
      <c r="D550">
        <v>3</v>
      </c>
      <c r="E550">
        <v>1</v>
      </c>
      <c r="F550">
        <v>6</v>
      </c>
      <c r="G550">
        <v>2</v>
      </c>
      <c r="H550">
        <v>1</v>
      </c>
      <c r="I550">
        <v>1077</v>
      </c>
      <c r="J550">
        <v>6365</v>
      </c>
      <c r="K550" s="8">
        <v>7442</v>
      </c>
      <c r="L550" s="12">
        <v>29.735199999999999</v>
      </c>
      <c r="M550" s="12">
        <v>37.333300000000001</v>
      </c>
      <c r="N550" s="12">
        <v>23.292014000000002</v>
      </c>
      <c r="O550" s="13">
        <f t="shared" si="107"/>
        <v>1.5174711885847532</v>
      </c>
      <c r="P550" s="6">
        <f t="shared" si="108"/>
        <v>0.7390251828738581</v>
      </c>
      <c r="Q550" s="6">
        <f t="shared" si="109"/>
        <v>-1.7885064838898588</v>
      </c>
      <c r="R550" s="6">
        <f t="shared" si="110"/>
        <v>2.0292608184152003</v>
      </c>
      <c r="S550">
        <f t="shared" si="111"/>
        <v>0</v>
      </c>
      <c r="T550">
        <f t="shared" si="112"/>
        <v>1</v>
      </c>
      <c r="U550">
        <f t="shared" si="113"/>
        <v>0</v>
      </c>
      <c r="V550">
        <f t="shared" si="114"/>
        <v>0</v>
      </c>
      <c r="W550">
        <f t="shared" si="115"/>
        <v>0</v>
      </c>
      <c r="X550">
        <f t="shared" si="116"/>
        <v>0</v>
      </c>
      <c r="Y550">
        <f t="shared" si="117"/>
        <v>0</v>
      </c>
      <c r="Z550">
        <f t="shared" si="118"/>
        <v>1</v>
      </c>
      <c r="AA550">
        <f t="shared" si="119"/>
        <v>0</v>
      </c>
    </row>
    <row r="551" spans="2:27" x14ac:dyDescent="0.3">
      <c r="B551">
        <v>544</v>
      </c>
      <c r="C551" s="1">
        <v>41087</v>
      </c>
      <c r="D551">
        <v>3</v>
      </c>
      <c r="E551">
        <v>1</v>
      </c>
      <c r="F551">
        <v>6</v>
      </c>
      <c r="G551">
        <v>3</v>
      </c>
      <c r="H551">
        <v>1</v>
      </c>
      <c r="I551">
        <v>1077</v>
      </c>
      <c r="J551">
        <v>6258</v>
      </c>
      <c r="K551" s="8">
        <v>7335</v>
      </c>
      <c r="L551" s="12">
        <v>32.0396</v>
      </c>
      <c r="M551" s="12">
        <v>36</v>
      </c>
      <c r="N551" s="12">
        <v>18.208925000000001</v>
      </c>
      <c r="O551" s="13">
        <f t="shared" si="107"/>
        <v>1.4621993376464268</v>
      </c>
      <c r="P551" s="6">
        <f t="shared" si="108"/>
        <v>1.0220346503845632</v>
      </c>
      <c r="Q551" s="6">
        <f t="shared" si="109"/>
        <v>-1.8821820707037593</v>
      </c>
      <c r="R551" s="6">
        <f t="shared" si="110"/>
        <v>1.0496346009818731</v>
      </c>
      <c r="S551">
        <f t="shared" si="111"/>
        <v>0</v>
      </c>
      <c r="T551">
        <f t="shared" si="112"/>
        <v>0</v>
      </c>
      <c r="U551">
        <f t="shared" si="113"/>
        <v>1</v>
      </c>
      <c r="V551">
        <f t="shared" si="114"/>
        <v>0</v>
      </c>
      <c r="W551">
        <f t="shared" si="115"/>
        <v>0</v>
      </c>
      <c r="X551">
        <f t="shared" si="116"/>
        <v>0</v>
      </c>
      <c r="Y551">
        <f t="shared" si="117"/>
        <v>0</v>
      </c>
      <c r="Z551">
        <f t="shared" si="118"/>
        <v>1</v>
      </c>
      <c r="AA551">
        <f t="shared" si="119"/>
        <v>0</v>
      </c>
    </row>
    <row r="552" spans="2:27" x14ac:dyDescent="0.3">
      <c r="B552">
        <v>545</v>
      </c>
      <c r="C552" s="1">
        <v>41088</v>
      </c>
      <c r="D552">
        <v>3</v>
      </c>
      <c r="E552">
        <v>1</v>
      </c>
      <c r="F552">
        <v>6</v>
      </c>
      <c r="G552">
        <v>4</v>
      </c>
      <c r="H552">
        <v>1</v>
      </c>
      <c r="I552">
        <v>921</v>
      </c>
      <c r="J552">
        <v>5958</v>
      </c>
      <c r="K552" s="8">
        <v>6879</v>
      </c>
      <c r="L552" s="12">
        <v>33.775599999999997</v>
      </c>
      <c r="M552" s="12">
        <v>42.25</v>
      </c>
      <c r="N552" s="12">
        <v>11.50055</v>
      </c>
      <c r="O552" s="13">
        <f t="shared" si="107"/>
        <v>1.2266482719653349</v>
      </c>
      <c r="P552" s="6">
        <f t="shared" si="108"/>
        <v>1.2352374084120683</v>
      </c>
      <c r="Q552" s="6">
        <f t="shared" si="109"/>
        <v>-1.4430667796313239</v>
      </c>
      <c r="R552" s="6">
        <f t="shared" si="110"/>
        <v>-0.24322098867518308</v>
      </c>
      <c r="S552">
        <f t="shared" si="111"/>
        <v>0</v>
      </c>
      <c r="T552">
        <f t="shared" si="112"/>
        <v>0</v>
      </c>
      <c r="U552">
        <f t="shared" si="113"/>
        <v>0</v>
      </c>
      <c r="V552">
        <f t="shared" si="114"/>
        <v>1</v>
      </c>
      <c r="W552">
        <f t="shared" si="115"/>
        <v>0</v>
      </c>
      <c r="X552">
        <f t="shared" si="116"/>
        <v>0</v>
      </c>
      <c r="Y552">
        <f t="shared" si="117"/>
        <v>0</v>
      </c>
      <c r="Z552">
        <f t="shared" si="118"/>
        <v>1</v>
      </c>
      <c r="AA552">
        <f t="shared" si="119"/>
        <v>0</v>
      </c>
    </row>
    <row r="553" spans="2:27" x14ac:dyDescent="0.3">
      <c r="B553">
        <v>546</v>
      </c>
      <c r="C553" s="1">
        <v>41089</v>
      </c>
      <c r="D553">
        <v>3</v>
      </c>
      <c r="E553">
        <v>1</v>
      </c>
      <c r="F553">
        <v>6</v>
      </c>
      <c r="G553">
        <v>5</v>
      </c>
      <c r="H553">
        <v>1</v>
      </c>
      <c r="I553">
        <v>829</v>
      </c>
      <c r="J553">
        <v>4634</v>
      </c>
      <c r="K553" s="8">
        <v>5463</v>
      </c>
      <c r="L553" s="12">
        <v>39.330649999999999</v>
      </c>
      <c r="M553" s="12">
        <v>48.875</v>
      </c>
      <c r="N553" s="12">
        <v>11.082939</v>
      </c>
      <c r="O553" s="13">
        <f t="shared" si="107"/>
        <v>0.49520022590299712</v>
      </c>
      <c r="P553" s="6">
        <f t="shared" si="108"/>
        <v>1.9174678122027913</v>
      </c>
      <c r="Q553" s="6">
        <f t="shared" si="109"/>
        <v>-0.97760457109454246</v>
      </c>
      <c r="R553" s="6">
        <f t="shared" si="110"/>
        <v>-0.32370407372219878</v>
      </c>
      <c r="S553">
        <f t="shared" si="111"/>
        <v>0</v>
      </c>
      <c r="T553">
        <f t="shared" si="112"/>
        <v>0</v>
      </c>
      <c r="U553">
        <f t="shared" si="113"/>
        <v>0</v>
      </c>
      <c r="V553">
        <f t="shared" si="114"/>
        <v>0</v>
      </c>
      <c r="W553">
        <f t="shared" si="115"/>
        <v>1</v>
      </c>
      <c r="X553">
        <f t="shared" si="116"/>
        <v>0</v>
      </c>
      <c r="Y553">
        <f t="shared" si="117"/>
        <v>0</v>
      </c>
      <c r="Z553">
        <f t="shared" si="118"/>
        <v>1</v>
      </c>
      <c r="AA553">
        <f t="shared" si="119"/>
        <v>0</v>
      </c>
    </row>
    <row r="554" spans="2:27" x14ac:dyDescent="0.3">
      <c r="B554">
        <v>547</v>
      </c>
      <c r="C554" s="1">
        <v>41090</v>
      </c>
      <c r="D554">
        <v>3</v>
      </c>
      <c r="E554">
        <v>1</v>
      </c>
      <c r="F554">
        <v>6</v>
      </c>
      <c r="G554">
        <v>6</v>
      </c>
      <c r="H554">
        <v>1</v>
      </c>
      <c r="I554">
        <v>1455</v>
      </c>
      <c r="J554">
        <v>4232</v>
      </c>
      <c r="K554" s="8">
        <v>5687</v>
      </c>
      <c r="L554" s="12">
        <v>34.375399999999999</v>
      </c>
      <c r="M554" s="12">
        <v>60.125</v>
      </c>
      <c r="N554" s="12">
        <v>10.791757</v>
      </c>
      <c r="O554" s="13">
        <f t="shared" si="107"/>
        <v>0.61090952132528786</v>
      </c>
      <c r="P554" s="6">
        <f t="shared" si="108"/>
        <v>1.3089004350623552</v>
      </c>
      <c r="Q554" s="6">
        <f t="shared" si="109"/>
        <v>-0.1871970471641588</v>
      </c>
      <c r="R554" s="6">
        <f t="shared" si="110"/>
        <v>-0.37982143095215687</v>
      </c>
      <c r="S554">
        <f t="shared" si="111"/>
        <v>0</v>
      </c>
      <c r="T554">
        <f t="shared" si="112"/>
        <v>0</v>
      </c>
      <c r="U554">
        <f t="shared" si="113"/>
        <v>0</v>
      </c>
      <c r="V554">
        <f t="shared" si="114"/>
        <v>0</v>
      </c>
      <c r="W554">
        <f t="shared" si="115"/>
        <v>0</v>
      </c>
      <c r="X554">
        <f t="shared" si="116"/>
        <v>0</v>
      </c>
      <c r="Y554">
        <f t="shared" si="117"/>
        <v>0</v>
      </c>
      <c r="Z554">
        <f t="shared" si="118"/>
        <v>1</v>
      </c>
      <c r="AA554">
        <f t="shared" si="119"/>
        <v>0</v>
      </c>
    </row>
    <row r="555" spans="2:27" x14ac:dyDescent="0.3">
      <c r="B555">
        <v>548</v>
      </c>
      <c r="C555" s="1">
        <v>41091</v>
      </c>
      <c r="D555">
        <v>3</v>
      </c>
      <c r="E555">
        <v>1</v>
      </c>
      <c r="F555">
        <v>7</v>
      </c>
      <c r="G555">
        <v>0</v>
      </c>
      <c r="H555">
        <v>1</v>
      </c>
      <c r="I555">
        <v>1421</v>
      </c>
      <c r="J555">
        <v>4110</v>
      </c>
      <c r="K555" s="8">
        <v>5531</v>
      </c>
      <c r="L555" s="12">
        <v>37.53145</v>
      </c>
      <c r="M555" s="12">
        <v>51.875</v>
      </c>
      <c r="N555" s="12">
        <v>11.291442999999999</v>
      </c>
      <c r="O555" s="13">
        <f t="shared" si="107"/>
        <v>0.53032626201333533</v>
      </c>
      <c r="P555" s="6">
        <f t="shared" si="108"/>
        <v>1.6965032947816576</v>
      </c>
      <c r="Q555" s="6">
        <f t="shared" si="109"/>
        <v>-0.76682923137977355</v>
      </c>
      <c r="R555" s="6">
        <f t="shared" si="110"/>
        <v>-0.28352063706788916</v>
      </c>
      <c r="S555">
        <f t="shared" si="111"/>
        <v>0</v>
      </c>
      <c r="T555">
        <f t="shared" si="112"/>
        <v>0</v>
      </c>
      <c r="U555">
        <f t="shared" si="113"/>
        <v>0</v>
      </c>
      <c r="V555">
        <f t="shared" si="114"/>
        <v>0</v>
      </c>
      <c r="W555">
        <f t="shared" si="115"/>
        <v>0</v>
      </c>
      <c r="X555">
        <f t="shared" si="116"/>
        <v>0</v>
      </c>
      <c r="Y555">
        <f t="shared" si="117"/>
        <v>0</v>
      </c>
      <c r="Z555">
        <f t="shared" si="118"/>
        <v>1</v>
      </c>
      <c r="AA555">
        <f t="shared" si="119"/>
        <v>0</v>
      </c>
    </row>
    <row r="556" spans="2:27" x14ac:dyDescent="0.3">
      <c r="B556">
        <v>549</v>
      </c>
      <c r="C556" s="1">
        <v>41092</v>
      </c>
      <c r="D556">
        <v>3</v>
      </c>
      <c r="E556">
        <v>1</v>
      </c>
      <c r="F556">
        <v>7</v>
      </c>
      <c r="G556">
        <v>1</v>
      </c>
      <c r="H556">
        <v>1</v>
      </c>
      <c r="I556">
        <v>904</v>
      </c>
      <c r="J556">
        <v>5323</v>
      </c>
      <c r="K556" s="8">
        <v>6227</v>
      </c>
      <c r="L556" s="12">
        <v>35.101900000000001</v>
      </c>
      <c r="M556" s="12">
        <v>44.708300000000001</v>
      </c>
      <c r="N556" s="12">
        <v>13.082889</v>
      </c>
      <c r="O556" s="13">
        <f t="shared" si="107"/>
        <v>0.8898515727897387</v>
      </c>
      <c r="P556" s="6">
        <f t="shared" si="108"/>
        <v>1.3981238242944884</v>
      </c>
      <c r="Q556" s="6">
        <f t="shared" si="109"/>
        <v>-1.2703504404243851</v>
      </c>
      <c r="R556" s="6">
        <f t="shared" si="110"/>
        <v>6.1731525291665174E-2</v>
      </c>
      <c r="S556">
        <f t="shared" si="111"/>
        <v>1</v>
      </c>
      <c r="T556">
        <f t="shared" si="112"/>
        <v>0</v>
      </c>
      <c r="U556">
        <f t="shared" si="113"/>
        <v>0</v>
      </c>
      <c r="V556">
        <f t="shared" si="114"/>
        <v>0</v>
      </c>
      <c r="W556">
        <f t="shared" si="115"/>
        <v>0</v>
      </c>
      <c r="X556">
        <f t="shared" si="116"/>
        <v>0</v>
      </c>
      <c r="Y556">
        <f t="shared" si="117"/>
        <v>0</v>
      </c>
      <c r="Z556">
        <f t="shared" si="118"/>
        <v>1</v>
      </c>
      <c r="AA556">
        <f t="shared" si="119"/>
        <v>0</v>
      </c>
    </row>
    <row r="557" spans="2:27" x14ac:dyDescent="0.3">
      <c r="B557">
        <v>550</v>
      </c>
      <c r="C557" s="1">
        <v>41093</v>
      </c>
      <c r="D557">
        <v>3</v>
      </c>
      <c r="E557">
        <v>1</v>
      </c>
      <c r="F557">
        <v>7</v>
      </c>
      <c r="G557">
        <v>2</v>
      </c>
      <c r="H557">
        <v>1</v>
      </c>
      <c r="I557">
        <v>1052</v>
      </c>
      <c r="J557">
        <v>5608</v>
      </c>
      <c r="K557" s="8">
        <v>6660</v>
      </c>
      <c r="L557" s="12">
        <v>35.1325</v>
      </c>
      <c r="M557" s="12">
        <v>49.208300000000001</v>
      </c>
      <c r="N557" s="12">
        <v>8.4578790000000001</v>
      </c>
      <c r="O557" s="13">
        <f t="shared" si="107"/>
        <v>1.1135217733158633</v>
      </c>
      <c r="P557" s="6">
        <f t="shared" si="108"/>
        <v>1.4018818913426692</v>
      </c>
      <c r="Q557" s="6">
        <f t="shared" si="109"/>
        <v>-0.95418743085223157</v>
      </c>
      <c r="R557" s="6">
        <f t="shared" si="110"/>
        <v>-0.82961250820672761</v>
      </c>
      <c r="S557">
        <f t="shared" si="111"/>
        <v>0</v>
      </c>
      <c r="T557">
        <f t="shared" si="112"/>
        <v>1</v>
      </c>
      <c r="U557">
        <f t="shared" si="113"/>
        <v>0</v>
      </c>
      <c r="V557">
        <f t="shared" si="114"/>
        <v>0</v>
      </c>
      <c r="W557">
        <f t="shared" si="115"/>
        <v>0</v>
      </c>
      <c r="X557">
        <f t="shared" si="116"/>
        <v>0</v>
      </c>
      <c r="Y557">
        <f t="shared" si="117"/>
        <v>0</v>
      </c>
      <c r="Z557">
        <f t="shared" si="118"/>
        <v>1</v>
      </c>
      <c r="AA557">
        <f t="shared" si="119"/>
        <v>0</v>
      </c>
    </row>
    <row r="558" spans="2:27" x14ac:dyDescent="0.3">
      <c r="B558">
        <v>551</v>
      </c>
      <c r="C558" s="1">
        <v>41094</v>
      </c>
      <c r="D558">
        <v>3</v>
      </c>
      <c r="E558">
        <v>1</v>
      </c>
      <c r="F558">
        <v>7</v>
      </c>
      <c r="G558">
        <v>3</v>
      </c>
      <c r="H558">
        <v>1</v>
      </c>
      <c r="I558">
        <v>2562</v>
      </c>
      <c r="J558">
        <v>4841</v>
      </c>
      <c r="K558" s="8">
        <v>7403</v>
      </c>
      <c r="L558" s="12">
        <v>36.616849999999999</v>
      </c>
      <c r="M558" s="12">
        <v>53.875</v>
      </c>
      <c r="N558" s="12">
        <v>9.0416500000000006</v>
      </c>
      <c r="O558" s="13">
        <f t="shared" si="107"/>
        <v>1.4973253737567651</v>
      </c>
      <c r="P558" s="6">
        <f t="shared" si="108"/>
        <v>1.5841788463415905</v>
      </c>
      <c r="Q558" s="6">
        <f t="shared" si="109"/>
        <v>-0.62631233823659416</v>
      </c>
      <c r="R558" s="6">
        <f t="shared" si="110"/>
        <v>-0.71710663302388677</v>
      </c>
      <c r="S558">
        <f t="shared" si="111"/>
        <v>0</v>
      </c>
      <c r="T558">
        <f t="shared" si="112"/>
        <v>0</v>
      </c>
      <c r="U558">
        <f t="shared" si="113"/>
        <v>1</v>
      </c>
      <c r="V558">
        <f t="shared" si="114"/>
        <v>0</v>
      </c>
      <c r="W558">
        <f t="shared" si="115"/>
        <v>0</v>
      </c>
      <c r="X558">
        <f t="shared" si="116"/>
        <v>0</v>
      </c>
      <c r="Y558">
        <f t="shared" si="117"/>
        <v>0</v>
      </c>
      <c r="Z558">
        <f t="shared" si="118"/>
        <v>1</v>
      </c>
      <c r="AA558">
        <f t="shared" si="119"/>
        <v>0</v>
      </c>
    </row>
    <row r="559" spans="2:27" x14ac:dyDescent="0.3">
      <c r="B559">
        <v>552</v>
      </c>
      <c r="C559" s="1">
        <v>41095</v>
      </c>
      <c r="D559">
        <v>3</v>
      </c>
      <c r="E559">
        <v>1</v>
      </c>
      <c r="F559">
        <v>7</v>
      </c>
      <c r="G559">
        <v>4</v>
      </c>
      <c r="H559">
        <v>1</v>
      </c>
      <c r="I559">
        <v>1405</v>
      </c>
      <c r="J559">
        <v>4836</v>
      </c>
      <c r="K559" s="8">
        <v>6241</v>
      </c>
      <c r="L559" s="12">
        <v>38.068350000000002</v>
      </c>
      <c r="M559" s="12">
        <v>45.791699999999999</v>
      </c>
      <c r="N559" s="12">
        <v>12.999943</v>
      </c>
      <c r="O559" s="13">
        <f t="shared" si="107"/>
        <v>0.89708340375363194</v>
      </c>
      <c r="P559" s="6">
        <f t="shared" si="108"/>
        <v>1.7624414058329068</v>
      </c>
      <c r="Q559" s="6">
        <f t="shared" si="109"/>
        <v>-1.1942324394087249</v>
      </c>
      <c r="R559" s="6">
        <f t="shared" si="110"/>
        <v>4.574595505450732E-2</v>
      </c>
      <c r="S559">
        <f t="shared" si="111"/>
        <v>0</v>
      </c>
      <c r="T559">
        <f t="shared" si="112"/>
        <v>0</v>
      </c>
      <c r="U559">
        <f t="shared" si="113"/>
        <v>0</v>
      </c>
      <c r="V559">
        <f t="shared" si="114"/>
        <v>1</v>
      </c>
      <c r="W559">
        <f t="shared" si="115"/>
        <v>0</v>
      </c>
      <c r="X559">
        <f t="shared" si="116"/>
        <v>0</v>
      </c>
      <c r="Y559">
        <f t="shared" si="117"/>
        <v>0</v>
      </c>
      <c r="Z559">
        <f t="shared" si="118"/>
        <v>1</v>
      </c>
      <c r="AA559">
        <f t="shared" si="119"/>
        <v>0</v>
      </c>
    </row>
    <row r="560" spans="2:27" x14ac:dyDescent="0.3">
      <c r="B560">
        <v>553</v>
      </c>
      <c r="C560" s="1">
        <v>41096</v>
      </c>
      <c r="D560">
        <v>3</v>
      </c>
      <c r="E560">
        <v>1</v>
      </c>
      <c r="F560">
        <v>7</v>
      </c>
      <c r="G560">
        <v>5</v>
      </c>
      <c r="H560">
        <v>1</v>
      </c>
      <c r="I560">
        <v>1366</v>
      </c>
      <c r="J560">
        <v>4841</v>
      </c>
      <c r="K560" s="8">
        <v>6207</v>
      </c>
      <c r="L560" s="12">
        <v>37.626649999999998</v>
      </c>
      <c r="M560" s="12">
        <v>45.083300000000001</v>
      </c>
      <c r="N560" s="12">
        <v>9.7915139999999994</v>
      </c>
      <c r="O560" s="13">
        <f t="shared" si="107"/>
        <v>0.8795203856984628</v>
      </c>
      <c r="P560" s="6">
        <f t="shared" si="108"/>
        <v>1.7081950589315529</v>
      </c>
      <c r="Q560" s="6">
        <f t="shared" si="109"/>
        <v>-1.244003522960039</v>
      </c>
      <c r="R560" s="6">
        <f t="shared" si="110"/>
        <v>-0.57259088012059844</v>
      </c>
      <c r="S560">
        <f t="shared" si="111"/>
        <v>0</v>
      </c>
      <c r="T560">
        <f t="shared" si="112"/>
        <v>0</v>
      </c>
      <c r="U560">
        <f t="shared" si="113"/>
        <v>0</v>
      </c>
      <c r="V560">
        <f t="shared" si="114"/>
        <v>0</v>
      </c>
      <c r="W560">
        <f t="shared" si="115"/>
        <v>1</v>
      </c>
      <c r="X560">
        <f t="shared" si="116"/>
        <v>0</v>
      </c>
      <c r="Y560">
        <f t="shared" si="117"/>
        <v>0</v>
      </c>
      <c r="Z560">
        <f t="shared" si="118"/>
        <v>1</v>
      </c>
      <c r="AA560">
        <f t="shared" si="119"/>
        <v>0</v>
      </c>
    </row>
    <row r="561" spans="2:27" x14ac:dyDescent="0.3">
      <c r="B561">
        <v>554</v>
      </c>
      <c r="C561" s="1">
        <v>41097</v>
      </c>
      <c r="D561">
        <v>3</v>
      </c>
      <c r="E561">
        <v>1</v>
      </c>
      <c r="F561">
        <v>7</v>
      </c>
      <c r="G561">
        <v>6</v>
      </c>
      <c r="H561">
        <v>1</v>
      </c>
      <c r="I561">
        <v>1448</v>
      </c>
      <c r="J561">
        <v>3392</v>
      </c>
      <c r="K561" s="8">
        <v>4840</v>
      </c>
      <c r="L561" s="12">
        <v>40.245649999999998</v>
      </c>
      <c r="M561" s="12">
        <v>49.208300000000001</v>
      </c>
      <c r="N561" s="12">
        <v>10.958118000000001</v>
      </c>
      <c r="O561" s="13">
        <f t="shared" si="107"/>
        <v>0.17338374800975098</v>
      </c>
      <c r="P561" s="6">
        <f t="shared" si="108"/>
        <v>2.0298413857023117</v>
      </c>
      <c r="Q561" s="6">
        <f t="shared" si="109"/>
        <v>-0.95418743085223157</v>
      </c>
      <c r="R561" s="6">
        <f t="shared" si="110"/>
        <v>-0.34775990357019954</v>
      </c>
      <c r="S561">
        <f t="shared" si="111"/>
        <v>0</v>
      </c>
      <c r="T561">
        <f t="shared" si="112"/>
        <v>0</v>
      </c>
      <c r="U561">
        <f t="shared" si="113"/>
        <v>0</v>
      </c>
      <c r="V561">
        <f t="shared" si="114"/>
        <v>0</v>
      </c>
      <c r="W561">
        <f t="shared" si="115"/>
        <v>0</v>
      </c>
      <c r="X561">
        <f t="shared" si="116"/>
        <v>0</v>
      </c>
      <c r="Y561">
        <f t="shared" si="117"/>
        <v>0</v>
      </c>
      <c r="Z561">
        <f t="shared" si="118"/>
        <v>1</v>
      </c>
      <c r="AA561">
        <f t="shared" si="119"/>
        <v>0</v>
      </c>
    </row>
    <row r="562" spans="2:27" x14ac:dyDescent="0.3">
      <c r="B562">
        <v>555</v>
      </c>
      <c r="C562" s="1">
        <v>41098</v>
      </c>
      <c r="D562">
        <v>3</v>
      </c>
      <c r="E562">
        <v>1</v>
      </c>
      <c r="F562">
        <v>7</v>
      </c>
      <c r="G562">
        <v>0</v>
      </c>
      <c r="H562">
        <v>1</v>
      </c>
      <c r="I562">
        <v>1203</v>
      </c>
      <c r="J562">
        <v>3469</v>
      </c>
      <c r="K562" s="8">
        <v>4672</v>
      </c>
      <c r="L562" s="12">
        <v>39.519799999999996</v>
      </c>
      <c r="M562" s="12">
        <v>57.375</v>
      </c>
      <c r="N562" s="12">
        <v>8.4171429999999994</v>
      </c>
      <c r="O562" s="13">
        <f t="shared" si="107"/>
        <v>8.6601776443032935E-2</v>
      </c>
      <c r="P562" s="6">
        <f t="shared" si="108"/>
        <v>1.9406978246917901</v>
      </c>
      <c r="Q562" s="6">
        <f t="shared" si="109"/>
        <v>-0.38040777523603037</v>
      </c>
      <c r="R562" s="6">
        <f t="shared" si="110"/>
        <v>-0.83746325675615596</v>
      </c>
      <c r="S562">
        <f t="shared" si="111"/>
        <v>0</v>
      </c>
      <c r="T562">
        <f t="shared" si="112"/>
        <v>0</v>
      </c>
      <c r="U562">
        <f t="shared" si="113"/>
        <v>0</v>
      </c>
      <c r="V562">
        <f t="shared" si="114"/>
        <v>0</v>
      </c>
      <c r="W562">
        <f t="shared" si="115"/>
        <v>0</v>
      </c>
      <c r="X562">
        <f t="shared" si="116"/>
        <v>0</v>
      </c>
      <c r="Y562">
        <f t="shared" si="117"/>
        <v>0</v>
      </c>
      <c r="Z562">
        <f t="shared" si="118"/>
        <v>1</v>
      </c>
      <c r="AA562">
        <f t="shared" si="119"/>
        <v>0</v>
      </c>
    </row>
    <row r="563" spans="2:27" x14ac:dyDescent="0.3">
      <c r="B563">
        <v>556</v>
      </c>
      <c r="C563" s="1">
        <v>41099</v>
      </c>
      <c r="D563">
        <v>3</v>
      </c>
      <c r="E563">
        <v>1</v>
      </c>
      <c r="F563">
        <v>7</v>
      </c>
      <c r="G563">
        <v>1</v>
      </c>
      <c r="H563">
        <v>2</v>
      </c>
      <c r="I563">
        <v>998</v>
      </c>
      <c r="J563">
        <v>5571</v>
      </c>
      <c r="K563" s="8">
        <v>6569</v>
      </c>
      <c r="L563" s="12">
        <v>32.7027</v>
      </c>
      <c r="M563" s="12">
        <v>68.333299999999994</v>
      </c>
      <c r="N563" s="12">
        <v>12.125325</v>
      </c>
      <c r="O563" s="13">
        <f t="shared" si="107"/>
        <v>1.0665148720505575</v>
      </c>
      <c r="P563" s="6">
        <f t="shared" si="108"/>
        <v>1.1034717176933413</v>
      </c>
      <c r="Q563" s="6">
        <f t="shared" si="109"/>
        <v>0.38950535982942019</v>
      </c>
      <c r="R563" s="6">
        <f t="shared" si="110"/>
        <v>-0.12281271528140489</v>
      </c>
      <c r="S563">
        <f t="shared" si="111"/>
        <v>1</v>
      </c>
      <c r="T563">
        <f t="shared" si="112"/>
        <v>0</v>
      </c>
      <c r="U563">
        <f t="shared" si="113"/>
        <v>0</v>
      </c>
      <c r="V563">
        <f t="shared" si="114"/>
        <v>0</v>
      </c>
      <c r="W563">
        <f t="shared" si="115"/>
        <v>0</v>
      </c>
      <c r="X563">
        <f t="shared" si="116"/>
        <v>0</v>
      </c>
      <c r="Y563">
        <f t="shared" si="117"/>
        <v>0</v>
      </c>
      <c r="Z563">
        <f t="shared" si="118"/>
        <v>1</v>
      </c>
      <c r="AA563">
        <f t="shared" si="119"/>
        <v>0</v>
      </c>
    </row>
    <row r="564" spans="2:27" x14ac:dyDescent="0.3">
      <c r="B564">
        <v>557</v>
      </c>
      <c r="C564" s="1">
        <v>41100</v>
      </c>
      <c r="D564">
        <v>3</v>
      </c>
      <c r="E564">
        <v>1</v>
      </c>
      <c r="F564">
        <v>7</v>
      </c>
      <c r="G564">
        <v>2</v>
      </c>
      <c r="H564">
        <v>2</v>
      </c>
      <c r="I564">
        <v>954</v>
      </c>
      <c r="J564">
        <v>5336</v>
      </c>
      <c r="K564" s="8">
        <v>6290</v>
      </c>
      <c r="L564" s="12">
        <v>33.239800000000002</v>
      </c>
      <c r="M564" s="12">
        <v>66.75</v>
      </c>
      <c r="N564" s="12">
        <v>10.166378999999999</v>
      </c>
      <c r="O564" s="13">
        <f t="shared" si="107"/>
        <v>0.92239481212725793</v>
      </c>
      <c r="P564" s="6">
        <f t="shared" si="108"/>
        <v>1.169434391274317</v>
      </c>
      <c r="Q564" s="6">
        <f t="shared" si="109"/>
        <v>0.27826516137262269</v>
      </c>
      <c r="R564" s="6">
        <f t="shared" si="110"/>
        <v>-0.50034591608433154</v>
      </c>
      <c r="S564">
        <f t="shared" si="111"/>
        <v>0</v>
      </c>
      <c r="T564">
        <f t="shared" si="112"/>
        <v>1</v>
      </c>
      <c r="U564">
        <f t="shared" si="113"/>
        <v>0</v>
      </c>
      <c r="V564">
        <f t="shared" si="114"/>
        <v>0</v>
      </c>
      <c r="W564">
        <f t="shared" si="115"/>
        <v>0</v>
      </c>
      <c r="X564">
        <f t="shared" si="116"/>
        <v>0</v>
      </c>
      <c r="Y564">
        <f t="shared" si="117"/>
        <v>0</v>
      </c>
      <c r="Z564">
        <f t="shared" si="118"/>
        <v>1</v>
      </c>
      <c r="AA564">
        <f t="shared" si="119"/>
        <v>0</v>
      </c>
    </row>
    <row r="565" spans="2:27" x14ac:dyDescent="0.3">
      <c r="B565">
        <v>558</v>
      </c>
      <c r="C565" s="1">
        <v>41101</v>
      </c>
      <c r="D565">
        <v>3</v>
      </c>
      <c r="E565">
        <v>1</v>
      </c>
      <c r="F565">
        <v>7</v>
      </c>
      <c r="G565">
        <v>3</v>
      </c>
      <c r="H565">
        <v>1</v>
      </c>
      <c r="I565">
        <v>975</v>
      </c>
      <c r="J565">
        <v>6289</v>
      </c>
      <c r="K565" s="8">
        <v>7264</v>
      </c>
      <c r="L565" s="12">
        <v>32.513550000000002</v>
      </c>
      <c r="M565" s="12">
        <v>63.333300000000001</v>
      </c>
      <c r="N565" s="12">
        <v>10.166111000000001</v>
      </c>
      <c r="O565" s="13">
        <f t="shared" si="107"/>
        <v>1.4255236234723971</v>
      </c>
      <c r="P565" s="6">
        <f t="shared" si="108"/>
        <v>1.0802417052043423</v>
      </c>
      <c r="Q565" s="6">
        <f t="shared" si="109"/>
        <v>3.8213126971472389E-2</v>
      </c>
      <c r="R565" s="6">
        <f t="shared" si="110"/>
        <v>-0.5003975657458406</v>
      </c>
      <c r="S565">
        <f t="shared" si="111"/>
        <v>0</v>
      </c>
      <c r="T565">
        <f t="shared" si="112"/>
        <v>0</v>
      </c>
      <c r="U565">
        <f t="shared" si="113"/>
        <v>1</v>
      </c>
      <c r="V565">
        <f t="shared" si="114"/>
        <v>0</v>
      </c>
      <c r="W565">
        <f t="shared" si="115"/>
        <v>0</v>
      </c>
      <c r="X565">
        <f t="shared" si="116"/>
        <v>0</v>
      </c>
      <c r="Y565">
        <f t="shared" si="117"/>
        <v>0</v>
      </c>
      <c r="Z565">
        <f t="shared" si="118"/>
        <v>1</v>
      </c>
      <c r="AA565">
        <f t="shared" si="119"/>
        <v>0</v>
      </c>
    </row>
    <row r="566" spans="2:27" x14ac:dyDescent="0.3">
      <c r="B566">
        <v>559</v>
      </c>
      <c r="C566" s="1">
        <v>41102</v>
      </c>
      <c r="D566">
        <v>3</v>
      </c>
      <c r="E566">
        <v>1</v>
      </c>
      <c r="F566">
        <v>7</v>
      </c>
      <c r="G566">
        <v>4</v>
      </c>
      <c r="H566">
        <v>1</v>
      </c>
      <c r="I566">
        <v>1032</v>
      </c>
      <c r="J566">
        <v>6414</v>
      </c>
      <c r="K566" s="8">
        <v>7446</v>
      </c>
      <c r="L566" s="12">
        <v>32.73415</v>
      </c>
      <c r="M566" s="12">
        <v>52.958300000000001</v>
      </c>
      <c r="N566" s="12">
        <v>9.8339250000000007</v>
      </c>
      <c r="O566" s="13">
        <f t="shared" si="107"/>
        <v>1.5195374260030083</v>
      </c>
      <c r="P566" s="6">
        <f t="shared" si="108"/>
        <v>1.1073341754928603</v>
      </c>
      <c r="Q566" s="6">
        <f t="shared" si="109"/>
        <v>-0.69071825620877036</v>
      </c>
      <c r="R566" s="6">
        <f t="shared" si="110"/>
        <v>-0.56441732118673638</v>
      </c>
      <c r="S566">
        <f t="shared" si="111"/>
        <v>0</v>
      </c>
      <c r="T566">
        <f t="shared" si="112"/>
        <v>0</v>
      </c>
      <c r="U566">
        <f t="shared" si="113"/>
        <v>0</v>
      </c>
      <c r="V566">
        <f t="shared" si="114"/>
        <v>1</v>
      </c>
      <c r="W566">
        <f t="shared" si="115"/>
        <v>0</v>
      </c>
      <c r="X566">
        <f t="shared" si="116"/>
        <v>0</v>
      </c>
      <c r="Y566">
        <f t="shared" si="117"/>
        <v>0</v>
      </c>
      <c r="Z566">
        <f t="shared" si="118"/>
        <v>1</v>
      </c>
      <c r="AA566">
        <f t="shared" si="119"/>
        <v>0</v>
      </c>
    </row>
    <row r="567" spans="2:27" x14ac:dyDescent="0.3">
      <c r="B567">
        <v>560</v>
      </c>
      <c r="C567" s="1">
        <v>41103</v>
      </c>
      <c r="D567">
        <v>3</v>
      </c>
      <c r="E567">
        <v>1</v>
      </c>
      <c r="F567">
        <v>7</v>
      </c>
      <c r="G567">
        <v>5</v>
      </c>
      <c r="H567">
        <v>2</v>
      </c>
      <c r="I567">
        <v>1511</v>
      </c>
      <c r="J567">
        <v>5988</v>
      </c>
      <c r="K567" s="8">
        <v>7499</v>
      </c>
      <c r="L567" s="12">
        <v>33.396650000000001</v>
      </c>
      <c r="M567" s="12">
        <v>48.583300000000001</v>
      </c>
      <c r="N567" s="12">
        <v>5.4169499999999999</v>
      </c>
      <c r="O567" s="13">
        <f t="shared" si="107"/>
        <v>1.5469150717948896</v>
      </c>
      <c r="P567" s="6">
        <f t="shared" si="108"/>
        <v>1.1886975552124586</v>
      </c>
      <c r="Q567" s="6">
        <f t="shared" si="109"/>
        <v>-0.99809895995947506</v>
      </c>
      <c r="R567" s="6">
        <f t="shared" si="110"/>
        <v>-1.4156683049384611</v>
      </c>
      <c r="S567">
        <f t="shared" si="111"/>
        <v>0</v>
      </c>
      <c r="T567">
        <f t="shared" si="112"/>
        <v>0</v>
      </c>
      <c r="U567">
        <f t="shared" si="113"/>
        <v>0</v>
      </c>
      <c r="V567">
        <f t="shared" si="114"/>
        <v>0</v>
      </c>
      <c r="W567">
        <f t="shared" si="115"/>
        <v>1</v>
      </c>
      <c r="X567">
        <f t="shared" si="116"/>
        <v>0</v>
      </c>
      <c r="Y567">
        <f t="shared" si="117"/>
        <v>0</v>
      </c>
      <c r="Z567">
        <f t="shared" si="118"/>
        <v>1</v>
      </c>
      <c r="AA567">
        <f t="shared" si="119"/>
        <v>0</v>
      </c>
    </row>
    <row r="568" spans="2:27" x14ac:dyDescent="0.3">
      <c r="B568">
        <v>561</v>
      </c>
      <c r="C568" s="1">
        <v>41104</v>
      </c>
      <c r="D568">
        <v>3</v>
      </c>
      <c r="E568">
        <v>1</v>
      </c>
      <c r="F568">
        <v>7</v>
      </c>
      <c r="G568">
        <v>6</v>
      </c>
      <c r="H568">
        <v>2</v>
      </c>
      <c r="I568">
        <v>2355</v>
      </c>
      <c r="J568">
        <v>4614</v>
      </c>
      <c r="K568" s="8">
        <v>6969</v>
      </c>
      <c r="L568" s="12">
        <v>33.302100000000003</v>
      </c>
      <c r="M568" s="12">
        <v>69.916700000000006</v>
      </c>
      <c r="N568" s="12">
        <v>9.626493</v>
      </c>
      <c r="O568" s="13">
        <f t="shared" si="107"/>
        <v>1.2731386138760767</v>
      </c>
      <c r="P568" s="6">
        <f t="shared" si="108"/>
        <v>1.177085619284175</v>
      </c>
      <c r="Q568" s="6">
        <f t="shared" si="109"/>
        <v>0.50075258413087609</v>
      </c>
      <c r="R568" s="6">
        <f t="shared" si="110"/>
        <v>-0.60439415919500861</v>
      </c>
      <c r="S568">
        <f t="shared" si="111"/>
        <v>0</v>
      </c>
      <c r="T568">
        <f t="shared" si="112"/>
        <v>0</v>
      </c>
      <c r="U568">
        <f t="shared" si="113"/>
        <v>0</v>
      </c>
      <c r="V568">
        <f t="shared" si="114"/>
        <v>0</v>
      </c>
      <c r="W568">
        <f t="shared" si="115"/>
        <v>0</v>
      </c>
      <c r="X568">
        <f t="shared" si="116"/>
        <v>0</v>
      </c>
      <c r="Y568">
        <f t="shared" si="117"/>
        <v>0</v>
      </c>
      <c r="Z568">
        <f t="shared" si="118"/>
        <v>1</v>
      </c>
      <c r="AA568">
        <f t="shared" si="119"/>
        <v>0</v>
      </c>
    </row>
    <row r="569" spans="2:27" x14ac:dyDescent="0.3">
      <c r="B569">
        <v>562</v>
      </c>
      <c r="C569" s="1">
        <v>41105</v>
      </c>
      <c r="D569">
        <v>3</v>
      </c>
      <c r="E569">
        <v>1</v>
      </c>
      <c r="F569">
        <v>7</v>
      </c>
      <c r="G569">
        <v>0</v>
      </c>
      <c r="H569">
        <v>1</v>
      </c>
      <c r="I569">
        <v>1920</v>
      </c>
      <c r="J569">
        <v>4111</v>
      </c>
      <c r="K569" s="8">
        <v>6031</v>
      </c>
      <c r="L569" s="12">
        <v>35.259799999999998</v>
      </c>
      <c r="M569" s="12">
        <v>71.791700000000006</v>
      </c>
      <c r="N569" s="12">
        <v>11.166689</v>
      </c>
      <c r="O569" s="13">
        <f t="shared" si="107"/>
        <v>0.78860593929523437</v>
      </c>
      <c r="P569" s="6">
        <f t="shared" si="108"/>
        <v>1.4175159415136951</v>
      </c>
      <c r="Q569" s="6">
        <f t="shared" si="109"/>
        <v>0.63248717145260669</v>
      </c>
      <c r="R569" s="6">
        <f t="shared" si="110"/>
        <v>-0.30756355450051265</v>
      </c>
      <c r="S569">
        <f t="shared" si="111"/>
        <v>0</v>
      </c>
      <c r="T569">
        <f t="shared" si="112"/>
        <v>0</v>
      </c>
      <c r="U569">
        <f t="shared" si="113"/>
        <v>0</v>
      </c>
      <c r="V569">
        <f t="shared" si="114"/>
        <v>0</v>
      </c>
      <c r="W569">
        <f t="shared" si="115"/>
        <v>0</v>
      </c>
      <c r="X569">
        <f t="shared" si="116"/>
        <v>0</v>
      </c>
      <c r="Y569">
        <f t="shared" si="117"/>
        <v>0</v>
      </c>
      <c r="Z569">
        <f t="shared" si="118"/>
        <v>1</v>
      </c>
      <c r="AA569">
        <f t="shared" si="119"/>
        <v>0</v>
      </c>
    </row>
    <row r="570" spans="2:27" x14ac:dyDescent="0.3">
      <c r="B570">
        <v>563</v>
      </c>
      <c r="C570" s="1">
        <v>41106</v>
      </c>
      <c r="D570">
        <v>3</v>
      </c>
      <c r="E570">
        <v>1</v>
      </c>
      <c r="F570">
        <v>7</v>
      </c>
      <c r="G570">
        <v>1</v>
      </c>
      <c r="H570">
        <v>1</v>
      </c>
      <c r="I570">
        <v>1088</v>
      </c>
      <c r="J570">
        <v>5742</v>
      </c>
      <c r="K570" s="8">
        <v>6830</v>
      </c>
      <c r="L570" s="12">
        <v>36.206249999999997</v>
      </c>
      <c r="M570" s="12">
        <v>64.5</v>
      </c>
      <c r="N570" s="12">
        <v>11.000529</v>
      </c>
      <c r="O570" s="13">
        <f t="shared" si="107"/>
        <v>1.2013368635917088</v>
      </c>
      <c r="P570" s="6">
        <f t="shared" si="108"/>
        <v>1.5337519728127345</v>
      </c>
      <c r="Q570" s="6">
        <f t="shared" si="109"/>
        <v>0.12018365658654595</v>
      </c>
      <c r="R570" s="6">
        <f t="shared" si="110"/>
        <v>-0.3395863446363378</v>
      </c>
      <c r="S570">
        <f t="shared" si="111"/>
        <v>1</v>
      </c>
      <c r="T570">
        <f t="shared" si="112"/>
        <v>0</v>
      </c>
      <c r="U570">
        <f t="shared" si="113"/>
        <v>0</v>
      </c>
      <c r="V570">
        <f t="shared" si="114"/>
        <v>0</v>
      </c>
      <c r="W570">
        <f t="shared" si="115"/>
        <v>0</v>
      </c>
      <c r="X570">
        <f t="shared" si="116"/>
        <v>0</v>
      </c>
      <c r="Y570">
        <f t="shared" si="117"/>
        <v>0</v>
      </c>
      <c r="Z570">
        <f t="shared" si="118"/>
        <v>1</v>
      </c>
      <c r="AA570">
        <f t="shared" si="119"/>
        <v>0</v>
      </c>
    </row>
    <row r="571" spans="2:27" x14ac:dyDescent="0.3">
      <c r="B571">
        <v>564</v>
      </c>
      <c r="C571" s="1">
        <v>41107</v>
      </c>
      <c r="D571">
        <v>3</v>
      </c>
      <c r="E571">
        <v>1</v>
      </c>
      <c r="F571">
        <v>7</v>
      </c>
      <c r="G571">
        <v>2</v>
      </c>
      <c r="H571">
        <v>1</v>
      </c>
      <c r="I571">
        <v>921</v>
      </c>
      <c r="J571">
        <v>5865</v>
      </c>
      <c r="K571" s="8">
        <v>6786</v>
      </c>
      <c r="L571" s="12">
        <v>37.784149999999997</v>
      </c>
      <c r="M571" s="12">
        <v>50.583300000000001</v>
      </c>
      <c r="N571" s="12">
        <v>7.6667430000000003</v>
      </c>
      <c r="O571" s="13">
        <f t="shared" si="107"/>
        <v>1.1786082519909018</v>
      </c>
      <c r="P571" s="6">
        <f t="shared" si="108"/>
        <v>1.7275380510913063</v>
      </c>
      <c r="Q571" s="6">
        <f t="shared" si="109"/>
        <v>-0.85758206681629578</v>
      </c>
      <c r="R571" s="6">
        <f t="shared" si="110"/>
        <v>-0.98208230898246318</v>
      </c>
      <c r="S571">
        <f t="shared" si="111"/>
        <v>0</v>
      </c>
      <c r="T571">
        <f t="shared" si="112"/>
        <v>1</v>
      </c>
      <c r="U571">
        <f t="shared" si="113"/>
        <v>0</v>
      </c>
      <c r="V571">
        <f t="shared" si="114"/>
        <v>0</v>
      </c>
      <c r="W571">
        <f t="shared" si="115"/>
        <v>0</v>
      </c>
      <c r="X571">
        <f t="shared" si="116"/>
        <v>0</v>
      </c>
      <c r="Y571">
        <f t="shared" si="117"/>
        <v>0</v>
      </c>
      <c r="Z571">
        <f t="shared" si="118"/>
        <v>1</v>
      </c>
      <c r="AA571">
        <f t="shared" si="119"/>
        <v>0</v>
      </c>
    </row>
    <row r="572" spans="2:27" x14ac:dyDescent="0.3">
      <c r="B572">
        <v>565</v>
      </c>
      <c r="C572" s="1">
        <v>41108</v>
      </c>
      <c r="D572">
        <v>3</v>
      </c>
      <c r="E572">
        <v>1</v>
      </c>
      <c r="F572">
        <v>7</v>
      </c>
      <c r="G572">
        <v>3</v>
      </c>
      <c r="H572">
        <v>1</v>
      </c>
      <c r="I572">
        <v>799</v>
      </c>
      <c r="J572">
        <v>4914</v>
      </c>
      <c r="K572" s="8">
        <v>5713</v>
      </c>
      <c r="L572" s="12">
        <v>37.279150000000001</v>
      </c>
      <c r="M572" s="12">
        <v>57.708300000000001</v>
      </c>
      <c r="N572" s="12">
        <v>9.2086140000000007</v>
      </c>
      <c r="O572" s="13">
        <f t="shared" si="107"/>
        <v>0.62434006454394653</v>
      </c>
      <c r="P572" s="6">
        <f t="shared" si="108"/>
        <v>1.6655176635314624</v>
      </c>
      <c r="Q572" s="6">
        <f t="shared" si="109"/>
        <v>-0.35699063499371947</v>
      </c>
      <c r="R572" s="6">
        <f t="shared" si="110"/>
        <v>-0.6849288939035334</v>
      </c>
      <c r="S572">
        <f t="shared" si="111"/>
        <v>0</v>
      </c>
      <c r="T572">
        <f t="shared" si="112"/>
        <v>0</v>
      </c>
      <c r="U572">
        <f t="shared" si="113"/>
        <v>1</v>
      </c>
      <c r="V572">
        <f t="shared" si="114"/>
        <v>0</v>
      </c>
      <c r="W572">
        <f t="shared" si="115"/>
        <v>0</v>
      </c>
      <c r="X572">
        <f t="shared" si="116"/>
        <v>0</v>
      </c>
      <c r="Y572">
        <f t="shared" si="117"/>
        <v>0</v>
      </c>
      <c r="Z572">
        <f t="shared" si="118"/>
        <v>1</v>
      </c>
      <c r="AA572">
        <f t="shared" si="119"/>
        <v>0</v>
      </c>
    </row>
    <row r="573" spans="2:27" x14ac:dyDescent="0.3">
      <c r="B573">
        <v>566</v>
      </c>
      <c r="C573" s="1">
        <v>41109</v>
      </c>
      <c r="D573">
        <v>3</v>
      </c>
      <c r="E573">
        <v>1</v>
      </c>
      <c r="F573">
        <v>7</v>
      </c>
      <c r="G573">
        <v>4</v>
      </c>
      <c r="H573">
        <v>1</v>
      </c>
      <c r="I573">
        <v>888</v>
      </c>
      <c r="J573">
        <v>5703</v>
      </c>
      <c r="K573" s="8">
        <v>6591</v>
      </c>
      <c r="L573" s="12">
        <v>35.732100000000003</v>
      </c>
      <c r="M573" s="12">
        <v>60.041699999999999</v>
      </c>
      <c r="N573" s="12">
        <v>11.083743</v>
      </c>
      <c r="O573" s="13">
        <f t="shared" si="107"/>
        <v>1.0778791778509611</v>
      </c>
      <c r="P573" s="6">
        <f t="shared" si="108"/>
        <v>1.4755203554632295</v>
      </c>
      <c r="Q573" s="6">
        <f t="shared" si="109"/>
        <v>-0.19304957576357232</v>
      </c>
      <c r="R573" s="6">
        <f t="shared" si="110"/>
        <v>-0.3235491247376705</v>
      </c>
      <c r="S573">
        <f t="shared" si="111"/>
        <v>0</v>
      </c>
      <c r="T573">
        <f t="shared" si="112"/>
        <v>0</v>
      </c>
      <c r="U573">
        <f t="shared" si="113"/>
        <v>0</v>
      </c>
      <c r="V573">
        <f t="shared" si="114"/>
        <v>1</v>
      </c>
      <c r="W573">
        <f t="shared" si="115"/>
        <v>0</v>
      </c>
      <c r="X573">
        <f t="shared" si="116"/>
        <v>0</v>
      </c>
      <c r="Y573">
        <f t="shared" si="117"/>
        <v>0</v>
      </c>
      <c r="Z573">
        <f t="shared" si="118"/>
        <v>1</v>
      </c>
      <c r="AA573">
        <f t="shared" si="119"/>
        <v>0</v>
      </c>
    </row>
    <row r="574" spans="2:27" x14ac:dyDescent="0.3">
      <c r="B574">
        <v>567</v>
      </c>
      <c r="C574" s="1">
        <v>41110</v>
      </c>
      <c r="D574">
        <v>3</v>
      </c>
      <c r="E574">
        <v>1</v>
      </c>
      <c r="F574">
        <v>7</v>
      </c>
      <c r="G574">
        <v>5</v>
      </c>
      <c r="H574">
        <v>2</v>
      </c>
      <c r="I574">
        <v>747</v>
      </c>
      <c r="J574">
        <v>5123</v>
      </c>
      <c r="K574" s="8">
        <v>5870</v>
      </c>
      <c r="L574" s="12">
        <v>30.651250000000001</v>
      </c>
      <c r="M574" s="12">
        <v>84.416700000000006</v>
      </c>
      <c r="N574" s="12">
        <v>14.000788999999999</v>
      </c>
      <c r="O574" s="13">
        <f t="shared" si="107"/>
        <v>0.7054398832104628</v>
      </c>
      <c r="P574" s="6">
        <f t="shared" si="108"/>
        <v>0.8515277096544438</v>
      </c>
      <c r="Q574" s="6">
        <f t="shared" si="109"/>
        <v>1.5195000594189261</v>
      </c>
      <c r="R574" s="6">
        <f t="shared" si="110"/>
        <v>0.23863161596134469</v>
      </c>
      <c r="S574">
        <f t="shared" si="111"/>
        <v>0</v>
      </c>
      <c r="T574">
        <f t="shared" si="112"/>
        <v>0</v>
      </c>
      <c r="U574">
        <f t="shared" si="113"/>
        <v>0</v>
      </c>
      <c r="V574">
        <f t="shared" si="114"/>
        <v>0</v>
      </c>
      <c r="W574">
        <f t="shared" si="115"/>
        <v>1</v>
      </c>
      <c r="X574">
        <f t="shared" si="116"/>
        <v>0</v>
      </c>
      <c r="Y574">
        <f t="shared" si="117"/>
        <v>0</v>
      </c>
      <c r="Z574">
        <f t="shared" si="118"/>
        <v>1</v>
      </c>
      <c r="AA574">
        <f t="shared" si="119"/>
        <v>0</v>
      </c>
    </row>
    <row r="575" spans="2:27" x14ac:dyDescent="0.3">
      <c r="B575">
        <v>568</v>
      </c>
      <c r="C575" s="1">
        <v>41111</v>
      </c>
      <c r="D575">
        <v>3</v>
      </c>
      <c r="E575">
        <v>1</v>
      </c>
      <c r="F575">
        <v>7</v>
      </c>
      <c r="G575">
        <v>6</v>
      </c>
      <c r="H575">
        <v>3</v>
      </c>
      <c r="I575">
        <v>1264</v>
      </c>
      <c r="J575">
        <v>3195</v>
      </c>
      <c r="K575" s="8">
        <v>4459</v>
      </c>
      <c r="L575" s="12">
        <v>27.4956</v>
      </c>
      <c r="M575" s="12">
        <v>86.541700000000006</v>
      </c>
      <c r="N575" s="12">
        <v>14.2911</v>
      </c>
      <c r="O575" s="13">
        <f t="shared" si="107"/>
        <v>-2.3425366079056029E-2</v>
      </c>
      <c r="P575" s="6">
        <f t="shared" si="108"/>
        <v>0.4639739749945947</v>
      </c>
      <c r="Q575" s="6">
        <f t="shared" si="109"/>
        <v>1.6687992583835543</v>
      </c>
      <c r="R575" s="6">
        <f t="shared" si="110"/>
        <v>0.29458111179139751</v>
      </c>
      <c r="S575">
        <f t="shared" si="111"/>
        <v>0</v>
      </c>
      <c r="T575">
        <f t="shared" si="112"/>
        <v>0</v>
      </c>
      <c r="U575">
        <f t="shared" si="113"/>
        <v>0</v>
      </c>
      <c r="V575">
        <f t="shared" si="114"/>
        <v>0</v>
      </c>
      <c r="W575">
        <f t="shared" si="115"/>
        <v>0</v>
      </c>
      <c r="X575">
        <f t="shared" si="116"/>
        <v>1</v>
      </c>
      <c r="Y575">
        <f t="shared" si="117"/>
        <v>0</v>
      </c>
      <c r="Z575">
        <f t="shared" si="118"/>
        <v>1</v>
      </c>
      <c r="AA575">
        <f t="shared" si="119"/>
        <v>0</v>
      </c>
    </row>
    <row r="576" spans="2:27" x14ac:dyDescent="0.3">
      <c r="B576">
        <v>569</v>
      </c>
      <c r="C576" s="1">
        <v>41112</v>
      </c>
      <c r="D576">
        <v>3</v>
      </c>
      <c r="E576">
        <v>1</v>
      </c>
      <c r="F576">
        <v>7</v>
      </c>
      <c r="G576">
        <v>0</v>
      </c>
      <c r="H576">
        <v>2</v>
      </c>
      <c r="I576">
        <v>2544</v>
      </c>
      <c r="J576">
        <v>4866</v>
      </c>
      <c r="K576" s="8">
        <v>7410</v>
      </c>
      <c r="L576" s="12">
        <v>31.15625</v>
      </c>
      <c r="M576" s="12">
        <v>76.25</v>
      </c>
      <c r="N576" s="12">
        <v>6.2926935999999998</v>
      </c>
      <c r="O576" s="13">
        <f t="shared" si="107"/>
        <v>1.5009412892387117</v>
      </c>
      <c r="P576" s="6">
        <f t="shared" si="108"/>
        <v>0.91354809721428831</v>
      </c>
      <c r="Q576" s="6">
        <f t="shared" si="109"/>
        <v>0.94572040380272449</v>
      </c>
      <c r="R576" s="6">
        <f t="shared" si="110"/>
        <v>-1.2468927060242094</v>
      </c>
      <c r="S576">
        <f t="shared" si="111"/>
        <v>0</v>
      </c>
      <c r="T576">
        <f t="shared" si="112"/>
        <v>0</v>
      </c>
      <c r="U576">
        <f t="shared" si="113"/>
        <v>0</v>
      </c>
      <c r="V576">
        <f t="shared" si="114"/>
        <v>0</v>
      </c>
      <c r="W576">
        <f t="shared" si="115"/>
        <v>0</v>
      </c>
      <c r="X576">
        <f t="shared" si="116"/>
        <v>0</v>
      </c>
      <c r="Y576">
        <f t="shared" si="117"/>
        <v>0</v>
      </c>
      <c r="Z576">
        <f t="shared" si="118"/>
        <v>1</v>
      </c>
      <c r="AA576">
        <f t="shared" si="119"/>
        <v>0</v>
      </c>
    </row>
    <row r="577" spans="2:27" x14ac:dyDescent="0.3">
      <c r="B577">
        <v>570</v>
      </c>
      <c r="C577" s="1">
        <v>41113</v>
      </c>
      <c r="D577">
        <v>3</v>
      </c>
      <c r="E577">
        <v>1</v>
      </c>
      <c r="F577">
        <v>7</v>
      </c>
      <c r="G577">
        <v>1</v>
      </c>
      <c r="H577">
        <v>1</v>
      </c>
      <c r="I577">
        <v>1135</v>
      </c>
      <c r="J577">
        <v>5831</v>
      </c>
      <c r="K577" s="8">
        <v>6966</v>
      </c>
      <c r="L577" s="12">
        <v>34.50085</v>
      </c>
      <c r="M577" s="12">
        <v>69.416700000000006</v>
      </c>
      <c r="N577" s="12">
        <v>9.2917609999999993</v>
      </c>
      <c r="O577" s="13">
        <f t="shared" si="107"/>
        <v>1.2715889358123853</v>
      </c>
      <c r="P577" s="6">
        <f t="shared" si="108"/>
        <v>1.3243072818334098</v>
      </c>
      <c r="Q577" s="6">
        <f t="shared" si="109"/>
        <v>0.46562336084508127</v>
      </c>
      <c r="R577" s="6">
        <f t="shared" si="110"/>
        <v>-0.66890458642024375</v>
      </c>
      <c r="S577">
        <f t="shared" si="111"/>
        <v>1</v>
      </c>
      <c r="T577">
        <f t="shared" si="112"/>
        <v>0</v>
      </c>
      <c r="U577">
        <f t="shared" si="113"/>
        <v>0</v>
      </c>
      <c r="V577">
        <f t="shared" si="114"/>
        <v>0</v>
      </c>
      <c r="W577">
        <f t="shared" si="115"/>
        <v>0</v>
      </c>
      <c r="X577">
        <f t="shared" si="116"/>
        <v>0</v>
      </c>
      <c r="Y577">
        <f t="shared" si="117"/>
        <v>0</v>
      </c>
      <c r="Z577">
        <f t="shared" si="118"/>
        <v>1</v>
      </c>
      <c r="AA577">
        <f t="shared" si="119"/>
        <v>0</v>
      </c>
    </row>
    <row r="578" spans="2:27" x14ac:dyDescent="0.3">
      <c r="B578">
        <v>571</v>
      </c>
      <c r="C578" s="1">
        <v>41114</v>
      </c>
      <c r="D578">
        <v>3</v>
      </c>
      <c r="E578">
        <v>1</v>
      </c>
      <c r="F578">
        <v>7</v>
      </c>
      <c r="G578">
        <v>2</v>
      </c>
      <c r="H578">
        <v>1</v>
      </c>
      <c r="I578">
        <v>1140</v>
      </c>
      <c r="J578">
        <v>6452</v>
      </c>
      <c r="K578" s="8">
        <v>7592</v>
      </c>
      <c r="L578" s="12">
        <v>35.322499999999998</v>
      </c>
      <c r="M578" s="12">
        <v>65.5</v>
      </c>
      <c r="N578" s="12">
        <v>14.167418</v>
      </c>
      <c r="O578" s="13">
        <f t="shared" si="107"/>
        <v>1.5949550917693229</v>
      </c>
      <c r="P578" s="6">
        <f t="shared" si="108"/>
        <v>1.4252162945830065</v>
      </c>
      <c r="Q578" s="6">
        <f t="shared" si="109"/>
        <v>0.19044210315813562</v>
      </c>
      <c r="R578" s="6">
        <f t="shared" si="110"/>
        <v>0.27074479300481141</v>
      </c>
      <c r="S578">
        <f t="shared" si="111"/>
        <v>0</v>
      </c>
      <c r="T578">
        <f t="shared" si="112"/>
        <v>1</v>
      </c>
      <c r="U578">
        <f t="shared" si="113"/>
        <v>0</v>
      </c>
      <c r="V578">
        <f t="shared" si="114"/>
        <v>0</v>
      </c>
      <c r="W578">
        <f t="shared" si="115"/>
        <v>0</v>
      </c>
      <c r="X578">
        <f t="shared" si="116"/>
        <v>0</v>
      </c>
      <c r="Y578">
        <f t="shared" si="117"/>
        <v>0</v>
      </c>
      <c r="Z578">
        <f t="shared" si="118"/>
        <v>1</v>
      </c>
      <c r="AA578">
        <f t="shared" si="119"/>
        <v>0</v>
      </c>
    </row>
    <row r="579" spans="2:27" x14ac:dyDescent="0.3">
      <c r="B579">
        <v>572</v>
      </c>
      <c r="C579" s="1">
        <v>41115</v>
      </c>
      <c r="D579">
        <v>3</v>
      </c>
      <c r="E579">
        <v>1</v>
      </c>
      <c r="F579">
        <v>7</v>
      </c>
      <c r="G579">
        <v>3</v>
      </c>
      <c r="H579">
        <v>1</v>
      </c>
      <c r="I579">
        <v>1383</v>
      </c>
      <c r="J579">
        <v>6790</v>
      </c>
      <c r="K579" s="8">
        <v>8173</v>
      </c>
      <c r="L579" s="12">
        <v>32.7027</v>
      </c>
      <c r="M579" s="12">
        <v>45</v>
      </c>
      <c r="N579" s="12">
        <v>11.041600000000001</v>
      </c>
      <c r="O579" s="13">
        <f t="shared" si="107"/>
        <v>1.8950760767708894</v>
      </c>
      <c r="P579" s="6">
        <f t="shared" si="108"/>
        <v>1.1034717176933413</v>
      </c>
      <c r="Q579" s="6">
        <f t="shared" si="109"/>
        <v>-1.2498560515594523</v>
      </c>
      <c r="R579" s="6">
        <f t="shared" si="110"/>
        <v>-0.33167103401002285</v>
      </c>
      <c r="S579">
        <f t="shared" si="111"/>
        <v>0</v>
      </c>
      <c r="T579">
        <f t="shared" si="112"/>
        <v>0</v>
      </c>
      <c r="U579">
        <f t="shared" si="113"/>
        <v>1</v>
      </c>
      <c r="V579">
        <f t="shared" si="114"/>
        <v>0</v>
      </c>
      <c r="W579">
        <f t="shared" si="115"/>
        <v>0</v>
      </c>
      <c r="X579">
        <f t="shared" si="116"/>
        <v>0</v>
      </c>
      <c r="Y579">
        <f t="shared" si="117"/>
        <v>0</v>
      </c>
      <c r="Z579">
        <f t="shared" si="118"/>
        <v>1</v>
      </c>
      <c r="AA579">
        <f t="shared" si="119"/>
        <v>0</v>
      </c>
    </row>
    <row r="580" spans="2:27" x14ac:dyDescent="0.3">
      <c r="B580">
        <v>573</v>
      </c>
      <c r="C580" s="1">
        <v>41116</v>
      </c>
      <c r="D580">
        <v>3</v>
      </c>
      <c r="E580">
        <v>1</v>
      </c>
      <c r="F580">
        <v>7</v>
      </c>
      <c r="G580">
        <v>4</v>
      </c>
      <c r="H580">
        <v>1</v>
      </c>
      <c r="I580">
        <v>1036</v>
      </c>
      <c r="J580">
        <v>5825</v>
      </c>
      <c r="K580" s="8">
        <v>6861</v>
      </c>
      <c r="L580" s="12">
        <v>36.963149999999999</v>
      </c>
      <c r="M580" s="12">
        <v>59.666699999999999</v>
      </c>
      <c r="N580" s="12">
        <v>19.082471000000002</v>
      </c>
      <c r="O580" s="13">
        <f t="shared" si="107"/>
        <v>1.2173502035831867</v>
      </c>
      <c r="P580" s="6">
        <f t="shared" si="108"/>
        <v>1.6267088665633216</v>
      </c>
      <c r="Q580" s="6">
        <f t="shared" si="109"/>
        <v>-0.21939649322791843</v>
      </c>
      <c r="R580" s="6">
        <f t="shared" si="110"/>
        <v>1.2179866726717481</v>
      </c>
      <c r="S580">
        <f t="shared" si="111"/>
        <v>0</v>
      </c>
      <c r="T580">
        <f t="shared" si="112"/>
        <v>0</v>
      </c>
      <c r="U580">
        <f t="shared" si="113"/>
        <v>0</v>
      </c>
      <c r="V580">
        <f t="shared" si="114"/>
        <v>1</v>
      </c>
      <c r="W580">
        <f t="shared" si="115"/>
        <v>0</v>
      </c>
      <c r="X580">
        <f t="shared" si="116"/>
        <v>0</v>
      </c>
      <c r="Y580">
        <f t="shared" si="117"/>
        <v>0</v>
      </c>
      <c r="Z580">
        <f t="shared" si="118"/>
        <v>1</v>
      </c>
      <c r="AA580">
        <f t="shared" si="119"/>
        <v>0</v>
      </c>
    </row>
    <row r="581" spans="2:27" x14ac:dyDescent="0.3">
      <c r="B581">
        <v>574</v>
      </c>
      <c r="C581" s="1">
        <v>41117</v>
      </c>
      <c r="D581">
        <v>3</v>
      </c>
      <c r="E581">
        <v>1</v>
      </c>
      <c r="F581">
        <v>7</v>
      </c>
      <c r="G581">
        <v>5</v>
      </c>
      <c r="H581">
        <v>1</v>
      </c>
      <c r="I581">
        <v>1259</v>
      </c>
      <c r="J581">
        <v>5645</v>
      </c>
      <c r="K581" s="8">
        <v>6904</v>
      </c>
      <c r="L581" s="12">
        <v>36.710850000000001</v>
      </c>
      <c r="M581" s="12">
        <v>59.458300000000001</v>
      </c>
      <c r="N581" s="12">
        <v>10.250463999999999</v>
      </c>
      <c r="O581" s="13">
        <f t="shared" si="107"/>
        <v>1.2395622558294299</v>
      </c>
      <c r="P581" s="6">
        <f t="shared" si="108"/>
        <v>1.5957232353131261</v>
      </c>
      <c r="Q581" s="6">
        <f t="shared" si="109"/>
        <v>-0.23403835349343755</v>
      </c>
      <c r="R581" s="6">
        <f t="shared" si="110"/>
        <v>-0.4841408347857587</v>
      </c>
      <c r="S581">
        <f t="shared" si="111"/>
        <v>0</v>
      </c>
      <c r="T581">
        <f t="shared" si="112"/>
        <v>0</v>
      </c>
      <c r="U581">
        <f t="shared" si="113"/>
        <v>0</v>
      </c>
      <c r="V581">
        <f t="shared" si="114"/>
        <v>0</v>
      </c>
      <c r="W581">
        <f t="shared" si="115"/>
        <v>1</v>
      </c>
      <c r="X581">
        <f t="shared" si="116"/>
        <v>0</v>
      </c>
      <c r="Y581">
        <f t="shared" si="117"/>
        <v>0</v>
      </c>
      <c r="Z581">
        <f t="shared" si="118"/>
        <v>1</v>
      </c>
      <c r="AA581">
        <f t="shared" si="119"/>
        <v>0</v>
      </c>
    </row>
    <row r="582" spans="2:27" x14ac:dyDescent="0.3">
      <c r="B582">
        <v>575</v>
      </c>
      <c r="C582" s="1">
        <v>41118</v>
      </c>
      <c r="D582">
        <v>3</v>
      </c>
      <c r="E582">
        <v>1</v>
      </c>
      <c r="F582">
        <v>7</v>
      </c>
      <c r="G582">
        <v>6</v>
      </c>
      <c r="H582">
        <v>1</v>
      </c>
      <c r="I582">
        <v>2234</v>
      </c>
      <c r="J582">
        <v>4451</v>
      </c>
      <c r="K582" s="8">
        <v>6685</v>
      </c>
      <c r="L582" s="12">
        <v>34.880200000000002</v>
      </c>
      <c r="M582" s="12">
        <v>61.333300000000001</v>
      </c>
      <c r="N582" s="12">
        <v>10.542450000000001</v>
      </c>
      <c r="O582" s="13">
        <f t="shared" si="107"/>
        <v>1.1264357571799581</v>
      </c>
      <c r="P582" s="6">
        <f t="shared" si="108"/>
        <v>1.3708962600924737</v>
      </c>
      <c r="Q582" s="6">
        <f t="shared" si="109"/>
        <v>-0.10230376617170693</v>
      </c>
      <c r="R582" s="6">
        <f t="shared" si="110"/>
        <v>-0.427868528571272</v>
      </c>
      <c r="S582">
        <f t="shared" si="111"/>
        <v>0</v>
      </c>
      <c r="T582">
        <f t="shared" si="112"/>
        <v>0</v>
      </c>
      <c r="U582">
        <f t="shared" si="113"/>
        <v>0</v>
      </c>
      <c r="V582">
        <f t="shared" si="114"/>
        <v>0</v>
      </c>
      <c r="W582">
        <f t="shared" si="115"/>
        <v>0</v>
      </c>
      <c r="X582">
        <f t="shared" si="116"/>
        <v>0</v>
      </c>
      <c r="Y582">
        <f t="shared" si="117"/>
        <v>0</v>
      </c>
      <c r="Z582">
        <f t="shared" si="118"/>
        <v>1</v>
      </c>
      <c r="AA582">
        <f t="shared" si="119"/>
        <v>0</v>
      </c>
    </row>
    <row r="583" spans="2:27" x14ac:dyDescent="0.3">
      <c r="B583">
        <v>576</v>
      </c>
      <c r="C583" s="1">
        <v>41119</v>
      </c>
      <c r="D583">
        <v>3</v>
      </c>
      <c r="E583">
        <v>1</v>
      </c>
      <c r="F583">
        <v>7</v>
      </c>
      <c r="G583">
        <v>0</v>
      </c>
      <c r="H583">
        <v>1</v>
      </c>
      <c r="I583">
        <v>2153</v>
      </c>
      <c r="J583">
        <v>4444</v>
      </c>
      <c r="K583" s="8">
        <v>6597</v>
      </c>
      <c r="L583" s="12">
        <v>33.396650000000001</v>
      </c>
      <c r="M583" s="12">
        <v>62.375</v>
      </c>
      <c r="N583" s="12">
        <v>11.416532</v>
      </c>
      <c r="O583" s="13">
        <f t="shared" si="107"/>
        <v>1.080978533978344</v>
      </c>
      <c r="P583" s="6">
        <f t="shared" si="108"/>
        <v>1.1886975552124586</v>
      </c>
      <c r="Q583" s="6">
        <f t="shared" si="109"/>
        <v>-2.911554237808207E-2</v>
      </c>
      <c r="R583" s="6">
        <f t="shared" si="110"/>
        <v>-0.25941315755837863</v>
      </c>
      <c r="S583">
        <f t="shared" si="111"/>
        <v>0</v>
      </c>
      <c r="T583">
        <f t="shared" si="112"/>
        <v>0</v>
      </c>
      <c r="U583">
        <f t="shared" si="113"/>
        <v>0</v>
      </c>
      <c r="V583">
        <f t="shared" si="114"/>
        <v>0</v>
      </c>
      <c r="W583">
        <f t="shared" si="115"/>
        <v>0</v>
      </c>
      <c r="X583">
        <f t="shared" si="116"/>
        <v>0</v>
      </c>
      <c r="Y583">
        <f t="shared" si="117"/>
        <v>0</v>
      </c>
      <c r="Z583">
        <f t="shared" si="118"/>
        <v>1</v>
      </c>
      <c r="AA583">
        <f t="shared" si="119"/>
        <v>0</v>
      </c>
    </row>
    <row r="584" spans="2:27" x14ac:dyDescent="0.3">
      <c r="B584">
        <v>577</v>
      </c>
      <c r="C584" s="1">
        <v>41120</v>
      </c>
      <c r="D584">
        <v>3</v>
      </c>
      <c r="E584">
        <v>1</v>
      </c>
      <c r="F584">
        <v>7</v>
      </c>
      <c r="G584">
        <v>1</v>
      </c>
      <c r="H584">
        <v>1</v>
      </c>
      <c r="I584">
        <v>1040</v>
      </c>
      <c r="J584">
        <v>6065</v>
      </c>
      <c r="K584" s="8">
        <v>7105</v>
      </c>
      <c r="L584" s="12">
        <v>34.24935</v>
      </c>
      <c r="M584" s="12">
        <v>66.875</v>
      </c>
      <c r="N584" s="12">
        <v>10.292339</v>
      </c>
      <c r="O584" s="13">
        <f t="shared" si="107"/>
        <v>1.3433906860967533</v>
      </c>
      <c r="P584" s="6">
        <f t="shared" si="108"/>
        <v>1.293419900702121</v>
      </c>
      <c r="Q584" s="6">
        <f t="shared" si="109"/>
        <v>0.28704746719407143</v>
      </c>
      <c r="R584" s="6">
        <f t="shared" si="110"/>
        <v>-0.47607057517491541</v>
      </c>
      <c r="S584">
        <f t="shared" si="111"/>
        <v>1</v>
      </c>
      <c r="T584">
        <f t="shared" si="112"/>
        <v>0</v>
      </c>
      <c r="U584">
        <f t="shared" si="113"/>
        <v>0</v>
      </c>
      <c r="V584">
        <f t="shared" si="114"/>
        <v>0</v>
      </c>
      <c r="W584">
        <f t="shared" si="115"/>
        <v>0</v>
      </c>
      <c r="X584">
        <f t="shared" si="116"/>
        <v>0</v>
      </c>
      <c r="Y584">
        <f t="shared" si="117"/>
        <v>0</v>
      </c>
      <c r="Z584">
        <f t="shared" si="118"/>
        <v>1</v>
      </c>
      <c r="AA584">
        <f t="shared" si="119"/>
        <v>0</v>
      </c>
    </row>
    <row r="585" spans="2:27" x14ac:dyDescent="0.3">
      <c r="B585">
        <v>578</v>
      </c>
      <c r="C585" s="1">
        <v>41121</v>
      </c>
      <c r="D585">
        <v>3</v>
      </c>
      <c r="E585">
        <v>1</v>
      </c>
      <c r="F585">
        <v>7</v>
      </c>
      <c r="G585">
        <v>2</v>
      </c>
      <c r="H585">
        <v>1</v>
      </c>
      <c r="I585">
        <v>968</v>
      </c>
      <c r="J585">
        <v>6248</v>
      </c>
      <c r="K585" s="8">
        <v>7216</v>
      </c>
      <c r="L585" s="12">
        <v>33.144799999999996</v>
      </c>
      <c r="M585" s="12">
        <v>70.416700000000006</v>
      </c>
      <c r="N585" s="12">
        <v>11.083475</v>
      </c>
      <c r="O585" s="13">
        <f t="shared" ref="O585:O648" si="120">(K585-K$2)/K$3</f>
        <v>1.4007287744533348</v>
      </c>
      <c r="P585" s="6">
        <f t="shared" ref="P585:P648" si="121">(L585-L$2)/L$3</f>
        <v>1.1577671896541475</v>
      </c>
      <c r="Q585" s="6">
        <f t="shared" ref="Q585:Q648" si="122">(M585-M$2)/M$3</f>
        <v>0.53588180741667091</v>
      </c>
      <c r="R585" s="6">
        <f t="shared" ref="R585:R648" si="123">(N585-N$2)/N$3</f>
        <v>-0.32360077439917995</v>
      </c>
      <c r="S585">
        <f t="shared" ref="S585:S648" si="124">IF($G585=1,1,0)</f>
        <v>0</v>
      </c>
      <c r="T585">
        <f t="shared" ref="T585:T648" si="125">IF($G585=2,1,0)</f>
        <v>1</v>
      </c>
      <c r="U585">
        <f t="shared" ref="U585:U648" si="126">IF($G585=3,1,0)</f>
        <v>0</v>
      </c>
      <c r="V585">
        <f t="shared" ref="V585:V648" si="127">IF($G585=4,1,0)</f>
        <v>0</v>
      </c>
      <c r="W585">
        <f t="shared" ref="W585:W648" si="128">IF($G585=5,1,0)</f>
        <v>0</v>
      </c>
      <c r="X585">
        <f t="shared" ref="X585:X648" si="129">IF($H585=3,1,0)</f>
        <v>0</v>
      </c>
      <c r="Y585">
        <f t="shared" ref="Y585:Y648" si="130">IF($D585=2,1,0)</f>
        <v>0</v>
      </c>
      <c r="Z585">
        <f t="shared" ref="Z585:Z648" si="131">IF($D585=3,1,0)</f>
        <v>1</v>
      </c>
      <c r="AA585">
        <f t="shared" ref="AA585:AA648" si="132">IF($D585=4,1,0)</f>
        <v>0</v>
      </c>
    </row>
    <row r="586" spans="2:27" x14ac:dyDescent="0.3">
      <c r="B586">
        <v>579</v>
      </c>
      <c r="C586" s="1">
        <v>41122</v>
      </c>
      <c r="D586">
        <v>3</v>
      </c>
      <c r="E586">
        <v>1</v>
      </c>
      <c r="F586">
        <v>8</v>
      </c>
      <c r="G586">
        <v>3</v>
      </c>
      <c r="H586">
        <v>1</v>
      </c>
      <c r="I586">
        <v>1074</v>
      </c>
      <c r="J586">
        <v>6506</v>
      </c>
      <c r="K586" s="8">
        <v>7580</v>
      </c>
      <c r="L586" s="12">
        <v>33.365400000000001</v>
      </c>
      <c r="M586" s="12">
        <v>67.75</v>
      </c>
      <c r="N586" s="12">
        <v>9.4589929999999995</v>
      </c>
      <c r="O586" s="13">
        <f t="shared" si="120"/>
        <v>1.5887563795145574</v>
      </c>
      <c r="P586" s="6">
        <f t="shared" si="121"/>
        <v>1.1848596599426662</v>
      </c>
      <c r="Q586" s="6">
        <f t="shared" si="122"/>
        <v>0.34852360794421233</v>
      </c>
      <c r="R586" s="6">
        <f t="shared" si="123"/>
        <v>-0.63667519763838087</v>
      </c>
      <c r="S586">
        <f t="shared" si="124"/>
        <v>0</v>
      </c>
      <c r="T586">
        <f t="shared" si="125"/>
        <v>0</v>
      </c>
      <c r="U586">
        <f t="shared" si="126"/>
        <v>1</v>
      </c>
      <c r="V586">
        <f t="shared" si="127"/>
        <v>0</v>
      </c>
      <c r="W586">
        <f t="shared" si="128"/>
        <v>0</v>
      </c>
      <c r="X586">
        <f t="shared" si="129"/>
        <v>0</v>
      </c>
      <c r="Y586">
        <f t="shared" si="130"/>
        <v>0</v>
      </c>
      <c r="Z586">
        <f t="shared" si="131"/>
        <v>1</v>
      </c>
      <c r="AA586">
        <f t="shared" si="132"/>
        <v>0</v>
      </c>
    </row>
    <row r="587" spans="2:27" x14ac:dyDescent="0.3">
      <c r="B587">
        <v>580</v>
      </c>
      <c r="C587" s="1">
        <v>41123</v>
      </c>
      <c r="D587">
        <v>3</v>
      </c>
      <c r="E587">
        <v>1</v>
      </c>
      <c r="F587">
        <v>8</v>
      </c>
      <c r="G587">
        <v>4</v>
      </c>
      <c r="H587">
        <v>1</v>
      </c>
      <c r="I587">
        <v>983</v>
      </c>
      <c r="J587">
        <v>6278</v>
      </c>
      <c r="K587" s="8">
        <v>7261</v>
      </c>
      <c r="L587" s="12">
        <v>35.354399999999998</v>
      </c>
      <c r="M587" s="12">
        <v>65.958299999999994</v>
      </c>
      <c r="N587" s="12">
        <v>8.6667179999999995</v>
      </c>
      <c r="O587" s="13">
        <f t="shared" si="120"/>
        <v>1.4239739454087057</v>
      </c>
      <c r="P587" s="6">
        <f t="shared" si="121"/>
        <v>1.4291340180744105</v>
      </c>
      <c r="Q587" s="6">
        <f t="shared" si="122"/>
        <v>0.22264154922189475</v>
      </c>
      <c r="R587" s="6">
        <f t="shared" si="123"/>
        <v>-0.78936450947553138</v>
      </c>
      <c r="S587">
        <f t="shared" si="124"/>
        <v>0</v>
      </c>
      <c r="T587">
        <f t="shared" si="125"/>
        <v>0</v>
      </c>
      <c r="U587">
        <f t="shared" si="126"/>
        <v>0</v>
      </c>
      <c r="V587">
        <f t="shared" si="127"/>
        <v>1</v>
      </c>
      <c r="W587">
        <f t="shared" si="128"/>
        <v>0</v>
      </c>
      <c r="X587">
        <f t="shared" si="129"/>
        <v>0</v>
      </c>
      <c r="Y587">
        <f t="shared" si="130"/>
        <v>0</v>
      </c>
      <c r="Z587">
        <f t="shared" si="131"/>
        <v>1</v>
      </c>
      <c r="AA587">
        <f t="shared" si="132"/>
        <v>0</v>
      </c>
    </row>
    <row r="588" spans="2:27" x14ac:dyDescent="0.3">
      <c r="B588">
        <v>581</v>
      </c>
      <c r="C588" s="1">
        <v>41124</v>
      </c>
      <c r="D588">
        <v>3</v>
      </c>
      <c r="E588">
        <v>1</v>
      </c>
      <c r="F588">
        <v>8</v>
      </c>
      <c r="G588">
        <v>5</v>
      </c>
      <c r="H588">
        <v>2</v>
      </c>
      <c r="I588">
        <v>1328</v>
      </c>
      <c r="J588">
        <v>5847</v>
      </c>
      <c r="K588" s="8">
        <v>7175</v>
      </c>
      <c r="L588" s="12">
        <v>36.143349999999998</v>
      </c>
      <c r="M588" s="12">
        <v>64.25</v>
      </c>
      <c r="N588" s="12">
        <v>14.458064</v>
      </c>
      <c r="O588" s="13">
        <f t="shared" si="120"/>
        <v>1.3795498409162192</v>
      </c>
      <c r="P588" s="6">
        <f t="shared" si="121"/>
        <v>1.5260270572136965</v>
      </c>
      <c r="Q588" s="6">
        <f t="shared" si="122"/>
        <v>0.10261904494364854</v>
      </c>
      <c r="R588" s="6">
        <f t="shared" si="123"/>
        <v>0.32675885091175094</v>
      </c>
      <c r="S588">
        <f t="shared" si="124"/>
        <v>0</v>
      </c>
      <c r="T588">
        <f t="shared" si="125"/>
        <v>0</v>
      </c>
      <c r="U588">
        <f t="shared" si="126"/>
        <v>0</v>
      </c>
      <c r="V588">
        <f t="shared" si="127"/>
        <v>0</v>
      </c>
      <c r="W588">
        <f t="shared" si="128"/>
        <v>1</v>
      </c>
      <c r="X588">
        <f t="shared" si="129"/>
        <v>0</v>
      </c>
      <c r="Y588">
        <f t="shared" si="130"/>
        <v>0</v>
      </c>
      <c r="Z588">
        <f t="shared" si="131"/>
        <v>1</v>
      </c>
      <c r="AA588">
        <f t="shared" si="132"/>
        <v>0</v>
      </c>
    </row>
    <row r="589" spans="2:27" x14ac:dyDescent="0.3">
      <c r="B589">
        <v>582</v>
      </c>
      <c r="C589" s="1">
        <v>41125</v>
      </c>
      <c r="D589">
        <v>3</v>
      </c>
      <c r="E589">
        <v>1</v>
      </c>
      <c r="F589">
        <v>8</v>
      </c>
      <c r="G589">
        <v>6</v>
      </c>
      <c r="H589">
        <v>1</v>
      </c>
      <c r="I589">
        <v>2345</v>
      </c>
      <c r="J589">
        <v>4479</v>
      </c>
      <c r="K589" s="8">
        <v>6824</v>
      </c>
      <c r="L589" s="12">
        <v>37.56335</v>
      </c>
      <c r="M589" s="12">
        <v>61.333300000000001</v>
      </c>
      <c r="N589" s="12">
        <v>17.249686000000001</v>
      </c>
      <c r="O589" s="13">
        <f t="shared" si="120"/>
        <v>1.1982375074643261</v>
      </c>
      <c r="P589" s="6">
        <f t="shared" si="121"/>
        <v>1.7004210182730617</v>
      </c>
      <c r="Q589" s="6">
        <f t="shared" si="122"/>
        <v>-0.10230376617170693</v>
      </c>
      <c r="R589" s="6">
        <f t="shared" si="123"/>
        <v>0.86476755002436922</v>
      </c>
      <c r="S589">
        <f t="shared" si="124"/>
        <v>0</v>
      </c>
      <c r="T589">
        <f t="shared" si="125"/>
        <v>0</v>
      </c>
      <c r="U589">
        <f t="shared" si="126"/>
        <v>0</v>
      </c>
      <c r="V589">
        <f t="shared" si="127"/>
        <v>0</v>
      </c>
      <c r="W589">
        <f t="shared" si="128"/>
        <v>0</v>
      </c>
      <c r="X589">
        <f t="shared" si="129"/>
        <v>0</v>
      </c>
      <c r="Y589">
        <f t="shared" si="130"/>
        <v>0</v>
      </c>
      <c r="Z589">
        <f t="shared" si="131"/>
        <v>1</v>
      </c>
      <c r="AA589">
        <f t="shared" si="132"/>
        <v>0</v>
      </c>
    </row>
    <row r="590" spans="2:27" x14ac:dyDescent="0.3">
      <c r="B590">
        <v>583</v>
      </c>
      <c r="C590" s="1">
        <v>41126</v>
      </c>
      <c r="D590">
        <v>3</v>
      </c>
      <c r="E590">
        <v>1</v>
      </c>
      <c r="F590">
        <v>8</v>
      </c>
      <c r="G590">
        <v>0</v>
      </c>
      <c r="H590">
        <v>1</v>
      </c>
      <c r="I590">
        <v>1707</v>
      </c>
      <c r="J590">
        <v>3757</v>
      </c>
      <c r="K590" s="8">
        <v>5464</v>
      </c>
      <c r="L590" s="12">
        <v>36.55395</v>
      </c>
      <c r="M590" s="12">
        <v>65.25</v>
      </c>
      <c r="N590" s="12">
        <v>19.458207000000002</v>
      </c>
      <c r="O590" s="13">
        <f t="shared" si="120"/>
        <v>0.49571678525756091</v>
      </c>
      <c r="P590" s="6">
        <f t="shared" si="121"/>
        <v>1.5764539307425525</v>
      </c>
      <c r="Q590" s="6">
        <f t="shared" si="122"/>
        <v>0.17287749151523821</v>
      </c>
      <c r="R590" s="6">
        <f t="shared" si="123"/>
        <v>1.2903994981079205</v>
      </c>
      <c r="S590">
        <f t="shared" si="124"/>
        <v>0</v>
      </c>
      <c r="T590">
        <f t="shared" si="125"/>
        <v>0</v>
      </c>
      <c r="U590">
        <f t="shared" si="126"/>
        <v>0</v>
      </c>
      <c r="V590">
        <f t="shared" si="127"/>
        <v>0</v>
      </c>
      <c r="W590">
        <f t="shared" si="128"/>
        <v>0</v>
      </c>
      <c r="X590">
        <f t="shared" si="129"/>
        <v>0</v>
      </c>
      <c r="Y590">
        <f t="shared" si="130"/>
        <v>0</v>
      </c>
      <c r="Z590">
        <f t="shared" si="131"/>
        <v>1</v>
      </c>
      <c r="AA590">
        <f t="shared" si="132"/>
        <v>0</v>
      </c>
    </row>
    <row r="591" spans="2:27" x14ac:dyDescent="0.3">
      <c r="B591">
        <v>584</v>
      </c>
      <c r="C591" s="1">
        <v>41127</v>
      </c>
      <c r="D591">
        <v>3</v>
      </c>
      <c r="E591">
        <v>1</v>
      </c>
      <c r="F591">
        <v>8</v>
      </c>
      <c r="G591">
        <v>1</v>
      </c>
      <c r="H591">
        <v>2</v>
      </c>
      <c r="I591">
        <v>1233</v>
      </c>
      <c r="J591">
        <v>5780</v>
      </c>
      <c r="K591" s="8">
        <v>7013</v>
      </c>
      <c r="L591" s="12">
        <v>35.512300000000003</v>
      </c>
      <c r="M591" s="12">
        <v>65.416700000000006</v>
      </c>
      <c r="N591" s="12">
        <v>8.6667179999999995</v>
      </c>
      <c r="O591" s="13">
        <f t="shared" si="120"/>
        <v>1.2958672254768839</v>
      </c>
      <c r="P591" s="6">
        <f t="shared" si="121"/>
        <v>1.4485261352936178</v>
      </c>
      <c r="Q591" s="6">
        <f t="shared" si="122"/>
        <v>0.1845895745587226</v>
      </c>
      <c r="R591" s="6">
        <f t="shared" si="123"/>
        <v>-0.78936450947553138</v>
      </c>
      <c r="S591">
        <f t="shared" si="124"/>
        <v>1</v>
      </c>
      <c r="T591">
        <f t="shared" si="125"/>
        <v>0</v>
      </c>
      <c r="U591">
        <f t="shared" si="126"/>
        <v>0</v>
      </c>
      <c r="V591">
        <f t="shared" si="127"/>
        <v>0</v>
      </c>
      <c r="W591">
        <f t="shared" si="128"/>
        <v>0</v>
      </c>
      <c r="X591">
        <f t="shared" si="129"/>
        <v>0</v>
      </c>
      <c r="Y591">
        <f t="shared" si="130"/>
        <v>0</v>
      </c>
      <c r="Z591">
        <f t="shared" si="131"/>
        <v>1</v>
      </c>
      <c r="AA591">
        <f t="shared" si="132"/>
        <v>0</v>
      </c>
    </row>
    <row r="592" spans="2:27" x14ac:dyDescent="0.3">
      <c r="B592">
        <v>585</v>
      </c>
      <c r="C592" s="1">
        <v>41128</v>
      </c>
      <c r="D592">
        <v>3</v>
      </c>
      <c r="E592">
        <v>1</v>
      </c>
      <c r="F592">
        <v>8</v>
      </c>
      <c r="G592">
        <v>2</v>
      </c>
      <c r="H592">
        <v>2</v>
      </c>
      <c r="I592">
        <v>1278</v>
      </c>
      <c r="J592">
        <v>5995</v>
      </c>
      <c r="K592" s="8">
        <v>7273</v>
      </c>
      <c r="L592" s="12">
        <v>34.881050000000002</v>
      </c>
      <c r="M592" s="12">
        <v>70.375</v>
      </c>
      <c r="N592" s="12">
        <v>7.8328360000000004</v>
      </c>
      <c r="O592" s="13">
        <f t="shared" si="120"/>
        <v>1.4301726576634715</v>
      </c>
      <c r="P592" s="6">
        <f t="shared" si="121"/>
        <v>1.371000650843812</v>
      </c>
      <c r="Q592" s="6">
        <f t="shared" si="122"/>
        <v>0.53295203019463522</v>
      </c>
      <c r="R592" s="6">
        <f t="shared" si="123"/>
        <v>-0.95007243126201524</v>
      </c>
      <c r="S592">
        <f t="shared" si="124"/>
        <v>0</v>
      </c>
      <c r="T592">
        <f t="shared" si="125"/>
        <v>1</v>
      </c>
      <c r="U592">
        <f t="shared" si="126"/>
        <v>0</v>
      </c>
      <c r="V592">
        <f t="shared" si="127"/>
        <v>0</v>
      </c>
      <c r="W592">
        <f t="shared" si="128"/>
        <v>0</v>
      </c>
      <c r="X592">
        <f t="shared" si="129"/>
        <v>0</v>
      </c>
      <c r="Y592">
        <f t="shared" si="130"/>
        <v>0</v>
      </c>
      <c r="Z592">
        <f t="shared" si="131"/>
        <v>1</v>
      </c>
      <c r="AA592">
        <f t="shared" si="132"/>
        <v>0</v>
      </c>
    </row>
    <row r="593" spans="2:27" x14ac:dyDescent="0.3">
      <c r="B593">
        <v>586</v>
      </c>
      <c r="C593" s="1">
        <v>41129</v>
      </c>
      <c r="D593">
        <v>3</v>
      </c>
      <c r="E593">
        <v>1</v>
      </c>
      <c r="F593">
        <v>8</v>
      </c>
      <c r="G593">
        <v>3</v>
      </c>
      <c r="H593">
        <v>2</v>
      </c>
      <c r="I593">
        <v>1263</v>
      </c>
      <c r="J593">
        <v>6271</v>
      </c>
      <c r="K593" s="8">
        <v>7534</v>
      </c>
      <c r="L593" s="12">
        <v>35.385849999999998</v>
      </c>
      <c r="M593" s="12">
        <v>67.291700000000006</v>
      </c>
      <c r="N593" s="12">
        <v>7.4169</v>
      </c>
      <c r="O593" s="13">
        <f t="shared" si="120"/>
        <v>1.5649946492046227</v>
      </c>
      <c r="P593" s="6">
        <f t="shared" si="121"/>
        <v>1.4329964758739295</v>
      </c>
      <c r="Q593" s="6">
        <f t="shared" si="122"/>
        <v>0.3163241618804532</v>
      </c>
      <c r="R593" s="6">
        <f t="shared" si="123"/>
        <v>-1.0302327059245973</v>
      </c>
      <c r="S593">
        <f t="shared" si="124"/>
        <v>0</v>
      </c>
      <c r="T593">
        <f t="shared" si="125"/>
        <v>0</v>
      </c>
      <c r="U593">
        <f t="shared" si="126"/>
        <v>1</v>
      </c>
      <c r="V593">
        <f t="shared" si="127"/>
        <v>0</v>
      </c>
      <c r="W593">
        <f t="shared" si="128"/>
        <v>0</v>
      </c>
      <c r="X593">
        <f t="shared" si="129"/>
        <v>0</v>
      </c>
      <c r="Y593">
        <f t="shared" si="130"/>
        <v>0</v>
      </c>
      <c r="Z593">
        <f t="shared" si="131"/>
        <v>1</v>
      </c>
      <c r="AA593">
        <f t="shared" si="132"/>
        <v>0</v>
      </c>
    </row>
    <row r="594" spans="2:27" x14ac:dyDescent="0.3">
      <c r="B594">
        <v>587</v>
      </c>
      <c r="C594" s="1">
        <v>41130</v>
      </c>
      <c r="D594">
        <v>3</v>
      </c>
      <c r="E594">
        <v>1</v>
      </c>
      <c r="F594">
        <v>8</v>
      </c>
      <c r="G594">
        <v>4</v>
      </c>
      <c r="H594">
        <v>1</v>
      </c>
      <c r="I594">
        <v>1196</v>
      </c>
      <c r="J594">
        <v>6090</v>
      </c>
      <c r="K594" s="8">
        <v>7286</v>
      </c>
      <c r="L594" s="12">
        <v>34.9754</v>
      </c>
      <c r="M594" s="12">
        <v>62.041699999999999</v>
      </c>
      <c r="N594" s="12">
        <v>10.4587</v>
      </c>
      <c r="O594" s="13">
        <f t="shared" si="120"/>
        <v>1.4368879292728007</v>
      </c>
      <c r="P594" s="6">
        <f t="shared" si="121"/>
        <v>1.3825880242423689</v>
      </c>
      <c r="Q594" s="6">
        <f t="shared" si="122"/>
        <v>-5.2532682620392991E-2</v>
      </c>
      <c r="R594" s="6">
        <f t="shared" si="123"/>
        <v>-0.44400904779295813</v>
      </c>
      <c r="S594">
        <f t="shared" si="124"/>
        <v>0</v>
      </c>
      <c r="T594">
        <f t="shared" si="125"/>
        <v>0</v>
      </c>
      <c r="U594">
        <f t="shared" si="126"/>
        <v>0</v>
      </c>
      <c r="V594">
        <f t="shared" si="127"/>
        <v>1</v>
      </c>
      <c r="W594">
        <f t="shared" si="128"/>
        <v>0</v>
      </c>
      <c r="X594">
        <f t="shared" si="129"/>
        <v>0</v>
      </c>
      <c r="Y594">
        <f t="shared" si="130"/>
        <v>0</v>
      </c>
      <c r="Z594">
        <f t="shared" si="131"/>
        <v>1</v>
      </c>
      <c r="AA594">
        <f t="shared" si="132"/>
        <v>0</v>
      </c>
    </row>
    <row r="595" spans="2:27" x14ac:dyDescent="0.3">
      <c r="B595">
        <v>588</v>
      </c>
      <c r="C595" s="1">
        <v>41131</v>
      </c>
      <c r="D595">
        <v>3</v>
      </c>
      <c r="E595">
        <v>1</v>
      </c>
      <c r="F595">
        <v>8</v>
      </c>
      <c r="G595">
        <v>5</v>
      </c>
      <c r="H595">
        <v>2</v>
      </c>
      <c r="I595">
        <v>1065</v>
      </c>
      <c r="J595">
        <v>4721</v>
      </c>
      <c r="K595" s="8">
        <v>5786</v>
      </c>
      <c r="L595" s="12">
        <v>33.397100000000002</v>
      </c>
      <c r="M595" s="12">
        <v>71.583299999999994</v>
      </c>
      <c r="N595" s="12">
        <v>16.000471000000001</v>
      </c>
      <c r="O595" s="13">
        <f t="shared" si="120"/>
        <v>0.66204889742710382</v>
      </c>
      <c r="P595" s="6">
        <f t="shared" si="121"/>
        <v>1.1887528209043436</v>
      </c>
      <c r="Q595" s="6">
        <f t="shared" si="122"/>
        <v>0.61784531118708663</v>
      </c>
      <c r="R595" s="6">
        <f t="shared" si="123"/>
        <v>0.62401556531369962</v>
      </c>
      <c r="S595">
        <f t="shared" si="124"/>
        <v>0</v>
      </c>
      <c r="T595">
        <f t="shared" si="125"/>
        <v>0</v>
      </c>
      <c r="U595">
        <f t="shared" si="126"/>
        <v>0</v>
      </c>
      <c r="V595">
        <f t="shared" si="127"/>
        <v>0</v>
      </c>
      <c r="W595">
        <f t="shared" si="128"/>
        <v>1</v>
      </c>
      <c r="X595">
        <f t="shared" si="129"/>
        <v>0</v>
      </c>
      <c r="Y595">
        <f t="shared" si="130"/>
        <v>0</v>
      </c>
      <c r="Z595">
        <f t="shared" si="131"/>
        <v>1</v>
      </c>
      <c r="AA595">
        <f t="shared" si="132"/>
        <v>0</v>
      </c>
    </row>
    <row r="596" spans="2:27" x14ac:dyDescent="0.3">
      <c r="B596">
        <v>589</v>
      </c>
      <c r="C596" s="1">
        <v>41132</v>
      </c>
      <c r="D596">
        <v>3</v>
      </c>
      <c r="E596">
        <v>1</v>
      </c>
      <c r="F596">
        <v>8</v>
      </c>
      <c r="G596">
        <v>6</v>
      </c>
      <c r="H596">
        <v>2</v>
      </c>
      <c r="I596">
        <v>2247</v>
      </c>
      <c r="J596">
        <v>4052</v>
      </c>
      <c r="K596" s="8">
        <v>6299</v>
      </c>
      <c r="L596" s="12">
        <v>31.913350000000001</v>
      </c>
      <c r="M596" s="12">
        <v>73.291700000000006</v>
      </c>
      <c r="N596" s="12">
        <v>13.834092999999999</v>
      </c>
      <c r="O596" s="13">
        <f t="shared" si="120"/>
        <v>0.92704384631833214</v>
      </c>
      <c r="P596" s="6">
        <f t="shared" si="121"/>
        <v>1.0065295534946022</v>
      </c>
      <c r="Q596" s="6">
        <f t="shared" si="122"/>
        <v>0.73787484130999115</v>
      </c>
      <c r="R596" s="6">
        <f t="shared" si="123"/>
        <v>0.20650552650250067</v>
      </c>
      <c r="S596">
        <f t="shared" si="124"/>
        <v>0</v>
      </c>
      <c r="T596">
        <f t="shared" si="125"/>
        <v>0</v>
      </c>
      <c r="U596">
        <f t="shared" si="126"/>
        <v>0</v>
      </c>
      <c r="V596">
        <f t="shared" si="127"/>
        <v>0</v>
      </c>
      <c r="W596">
        <f t="shared" si="128"/>
        <v>0</v>
      </c>
      <c r="X596">
        <f t="shared" si="129"/>
        <v>0</v>
      </c>
      <c r="Y596">
        <f t="shared" si="130"/>
        <v>0</v>
      </c>
      <c r="Z596">
        <f t="shared" si="131"/>
        <v>1</v>
      </c>
      <c r="AA596">
        <f t="shared" si="132"/>
        <v>0</v>
      </c>
    </row>
    <row r="597" spans="2:27" x14ac:dyDescent="0.3">
      <c r="B597">
        <v>590</v>
      </c>
      <c r="C597" s="1">
        <v>41133</v>
      </c>
      <c r="D597">
        <v>3</v>
      </c>
      <c r="E597">
        <v>1</v>
      </c>
      <c r="F597">
        <v>8</v>
      </c>
      <c r="G597">
        <v>0</v>
      </c>
      <c r="H597">
        <v>1</v>
      </c>
      <c r="I597">
        <v>2182</v>
      </c>
      <c r="J597">
        <v>4362</v>
      </c>
      <c r="K597" s="8">
        <v>6544</v>
      </c>
      <c r="L597" s="12">
        <v>32.228949999999998</v>
      </c>
      <c r="M597" s="12">
        <v>53.041699999999999</v>
      </c>
      <c r="N597" s="12">
        <v>8.208304</v>
      </c>
      <c r="O597" s="13">
        <f t="shared" si="120"/>
        <v>1.0536008881864627</v>
      </c>
      <c r="P597" s="6">
        <f t="shared" si="121"/>
        <v>1.0452892254032888</v>
      </c>
      <c r="Q597" s="6">
        <f t="shared" si="122"/>
        <v>-0.68485870176469998</v>
      </c>
      <c r="R597" s="6">
        <f t="shared" si="123"/>
        <v>-0.87771125548735218</v>
      </c>
      <c r="S597">
        <f t="shared" si="124"/>
        <v>0</v>
      </c>
      <c r="T597">
        <f t="shared" si="125"/>
        <v>0</v>
      </c>
      <c r="U597">
        <f t="shared" si="126"/>
        <v>0</v>
      </c>
      <c r="V597">
        <f t="shared" si="127"/>
        <v>0</v>
      </c>
      <c r="W597">
        <f t="shared" si="128"/>
        <v>0</v>
      </c>
      <c r="X597">
        <f t="shared" si="129"/>
        <v>0</v>
      </c>
      <c r="Y597">
        <f t="shared" si="130"/>
        <v>0</v>
      </c>
      <c r="Z597">
        <f t="shared" si="131"/>
        <v>1</v>
      </c>
      <c r="AA597">
        <f t="shared" si="132"/>
        <v>0</v>
      </c>
    </row>
    <row r="598" spans="2:27" x14ac:dyDescent="0.3">
      <c r="B598">
        <v>591</v>
      </c>
      <c r="C598" s="1">
        <v>41134</v>
      </c>
      <c r="D598">
        <v>3</v>
      </c>
      <c r="E598">
        <v>1</v>
      </c>
      <c r="F598">
        <v>8</v>
      </c>
      <c r="G598">
        <v>1</v>
      </c>
      <c r="H598">
        <v>1</v>
      </c>
      <c r="I598">
        <v>1207</v>
      </c>
      <c r="J598">
        <v>5676</v>
      </c>
      <c r="K598" s="8">
        <v>6883</v>
      </c>
      <c r="L598" s="12">
        <v>33.112699999999997</v>
      </c>
      <c r="M598" s="12">
        <v>54.541699999999999</v>
      </c>
      <c r="N598" s="12">
        <v>9.1262039999999995</v>
      </c>
      <c r="O598" s="13">
        <f t="shared" si="120"/>
        <v>1.2287145093835901</v>
      </c>
      <c r="P598" s="6">
        <f t="shared" si="121"/>
        <v>1.1538249036330168</v>
      </c>
      <c r="Q598" s="6">
        <f t="shared" si="122"/>
        <v>-0.57947103190731541</v>
      </c>
      <c r="R598" s="6">
        <f t="shared" si="123"/>
        <v>-0.70081116481767269</v>
      </c>
      <c r="S598">
        <f t="shared" si="124"/>
        <v>1</v>
      </c>
      <c r="T598">
        <f t="shared" si="125"/>
        <v>0</v>
      </c>
      <c r="U598">
        <f t="shared" si="126"/>
        <v>0</v>
      </c>
      <c r="V598">
        <f t="shared" si="127"/>
        <v>0</v>
      </c>
      <c r="W598">
        <f t="shared" si="128"/>
        <v>0</v>
      </c>
      <c r="X598">
        <f t="shared" si="129"/>
        <v>0</v>
      </c>
      <c r="Y598">
        <f t="shared" si="130"/>
        <v>0</v>
      </c>
      <c r="Z598">
        <f t="shared" si="131"/>
        <v>1</v>
      </c>
      <c r="AA598">
        <f t="shared" si="132"/>
        <v>0</v>
      </c>
    </row>
    <row r="599" spans="2:27" x14ac:dyDescent="0.3">
      <c r="B599">
        <v>592</v>
      </c>
      <c r="C599" s="1">
        <v>41135</v>
      </c>
      <c r="D599">
        <v>3</v>
      </c>
      <c r="E599">
        <v>1</v>
      </c>
      <c r="F599">
        <v>8</v>
      </c>
      <c r="G599">
        <v>2</v>
      </c>
      <c r="H599">
        <v>1</v>
      </c>
      <c r="I599">
        <v>1128</v>
      </c>
      <c r="J599">
        <v>5656</v>
      </c>
      <c r="K599" s="8">
        <v>6784</v>
      </c>
      <c r="L599" s="12">
        <v>33.838949999999997</v>
      </c>
      <c r="M599" s="12">
        <v>68.666700000000006</v>
      </c>
      <c r="N599" s="12">
        <v>11.333586</v>
      </c>
      <c r="O599" s="13">
        <f t="shared" si="120"/>
        <v>1.1775751332817741</v>
      </c>
      <c r="P599" s="6">
        <f t="shared" si="121"/>
        <v>1.2430175897029914</v>
      </c>
      <c r="Q599" s="6">
        <f t="shared" si="122"/>
        <v>0.41292952591638898</v>
      </c>
      <c r="R599" s="6">
        <f t="shared" si="123"/>
        <v>-0.27539872779553648</v>
      </c>
      <c r="S599">
        <f t="shared" si="124"/>
        <v>0</v>
      </c>
      <c r="T599">
        <f t="shared" si="125"/>
        <v>1</v>
      </c>
      <c r="U599">
        <f t="shared" si="126"/>
        <v>0</v>
      </c>
      <c r="V599">
        <f t="shared" si="127"/>
        <v>0</v>
      </c>
      <c r="W599">
        <f t="shared" si="128"/>
        <v>0</v>
      </c>
      <c r="X599">
        <f t="shared" si="129"/>
        <v>0</v>
      </c>
      <c r="Y599">
        <f t="shared" si="130"/>
        <v>0</v>
      </c>
      <c r="Z599">
        <f t="shared" si="131"/>
        <v>1</v>
      </c>
      <c r="AA599">
        <f t="shared" si="132"/>
        <v>0</v>
      </c>
    </row>
    <row r="600" spans="2:27" x14ac:dyDescent="0.3">
      <c r="B600">
        <v>593</v>
      </c>
      <c r="C600" s="1">
        <v>41136</v>
      </c>
      <c r="D600">
        <v>3</v>
      </c>
      <c r="E600">
        <v>1</v>
      </c>
      <c r="F600">
        <v>8</v>
      </c>
      <c r="G600">
        <v>3</v>
      </c>
      <c r="H600">
        <v>1</v>
      </c>
      <c r="I600">
        <v>1198</v>
      </c>
      <c r="J600">
        <v>6149</v>
      </c>
      <c r="K600" s="8">
        <v>7347</v>
      </c>
      <c r="L600" s="12">
        <v>32.70185</v>
      </c>
      <c r="M600" s="12">
        <v>61.958300000000001</v>
      </c>
      <c r="N600" s="12">
        <v>11.374656999999999</v>
      </c>
      <c r="O600" s="13">
        <f t="shared" si="120"/>
        <v>1.4683980499011924</v>
      </c>
      <c r="P600" s="6">
        <f t="shared" si="121"/>
        <v>1.103367326942003</v>
      </c>
      <c r="Q600" s="6">
        <f t="shared" si="122"/>
        <v>-5.8392237064463393E-2</v>
      </c>
      <c r="R600" s="6">
        <f t="shared" si="123"/>
        <v>-0.26748341716922186</v>
      </c>
      <c r="S600">
        <f t="shared" si="124"/>
        <v>0</v>
      </c>
      <c r="T600">
        <f t="shared" si="125"/>
        <v>0</v>
      </c>
      <c r="U600">
        <f t="shared" si="126"/>
        <v>1</v>
      </c>
      <c r="V600">
        <f t="shared" si="127"/>
        <v>0</v>
      </c>
      <c r="W600">
        <f t="shared" si="128"/>
        <v>0</v>
      </c>
      <c r="X600">
        <f t="shared" si="129"/>
        <v>0</v>
      </c>
      <c r="Y600">
        <f t="shared" si="130"/>
        <v>0</v>
      </c>
      <c r="Z600">
        <f t="shared" si="131"/>
        <v>1</v>
      </c>
      <c r="AA600">
        <f t="shared" si="132"/>
        <v>0</v>
      </c>
    </row>
    <row r="601" spans="2:27" x14ac:dyDescent="0.3">
      <c r="B601">
        <v>594</v>
      </c>
      <c r="C601" s="1">
        <v>41137</v>
      </c>
      <c r="D601">
        <v>3</v>
      </c>
      <c r="E601">
        <v>1</v>
      </c>
      <c r="F601">
        <v>8</v>
      </c>
      <c r="G601">
        <v>4</v>
      </c>
      <c r="H601">
        <v>1</v>
      </c>
      <c r="I601">
        <v>1338</v>
      </c>
      <c r="J601">
        <v>6267</v>
      </c>
      <c r="K601" s="8">
        <v>7605</v>
      </c>
      <c r="L601" s="12">
        <v>32.734400000000001</v>
      </c>
      <c r="M601" s="12">
        <v>51.916699999999999</v>
      </c>
      <c r="N601" s="12">
        <v>9.5003320000000002</v>
      </c>
      <c r="O601" s="13">
        <f t="shared" si="120"/>
        <v>1.6016703633786522</v>
      </c>
      <c r="P601" s="6">
        <f t="shared" si="121"/>
        <v>1.1073648786550188</v>
      </c>
      <c r="Q601" s="6">
        <f t="shared" si="122"/>
        <v>-0.7638994541577383</v>
      </c>
      <c r="R601" s="6">
        <f t="shared" si="123"/>
        <v>-0.62870823735055648</v>
      </c>
      <c r="S601">
        <f t="shared" si="124"/>
        <v>0</v>
      </c>
      <c r="T601">
        <f t="shared" si="125"/>
        <v>0</v>
      </c>
      <c r="U601">
        <f t="shared" si="126"/>
        <v>0</v>
      </c>
      <c r="V601">
        <f t="shared" si="127"/>
        <v>1</v>
      </c>
      <c r="W601">
        <f t="shared" si="128"/>
        <v>0</v>
      </c>
      <c r="X601">
        <f t="shared" si="129"/>
        <v>0</v>
      </c>
      <c r="Y601">
        <f t="shared" si="130"/>
        <v>0</v>
      </c>
      <c r="Z601">
        <f t="shared" si="131"/>
        <v>1</v>
      </c>
      <c r="AA601">
        <f t="shared" si="132"/>
        <v>0</v>
      </c>
    </row>
    <row r="602" spans="2:27" x14ac:dyDescent="0.3">
      <c r="B602">
        <v>595</v>
      </c>
      <c r="C602" s="1">
        <v>41138</v>
      </c>
      <c r="D602">
        <v>3</v>
      </c>
      <c r="E602">
        <v>1</v>
      </c>
      <c r="F602">
        <v>8</v>
      </c>
      <c r="G602">
        <v>5</v>
      </c>
      <c r="H602">
        <v>1</v>
      </c>
      <c r="I602">
        <v>1483</v>
      </c>
      <c r="J602">
        <v>5665</v>
      </c>
      <c r="K602" s="8">
        <v>7148</v>
      </c>
      <c r="L602" s="12">
        <v>12.12</v>
      </c>
      <c r="M602" s="12">
        <v>57.083300000000001</v>
      </c>
      <c r="N602" s="12">
        <v>15.500718000000001</v>
      </c>
      <c r="O602" s="13">
        <f t="shared" si="120"/>
        <v>1.3656027383429965</v>
      </c>
      <c r="P602" s="6">
        <f t="shared" si="121"/>
        <v>-1.4243441853324297</v>
      </c>
      <c r="Q602" s="6">
        <f t="shared" si="122"/>
        <v>-0.40090216410096297</v>
      </c>
      <c r="R602" s="6">
        <f t="shared" si="123"/>
        <v>0.52770185901405431</v>
      </c>
      <c r="S602">
        <f t="shared" si="124"/>
        <v>0</v>
      </c>
      <c r="T602">
        <f t="shared" si="125"/>
        <v>0</v>
      </c>
      <c r="U602">
        <f t="shared" si="126"/>
        <v>0</v>
      </c>
      <c r="V602">
        <f t="shared" si="127"/>
        <v>0</v>
      </c>
      <c r="W602">
        <f t="shared" si="128"/>
        <v>1</v>
      </c>
      <c r="X602">
        <f t="shared" si="129"/>
        <v>0</v>
      </c>
      <c r="Y602">
        <f t="shared" si="130"/>
        <v>0</v>
      </c>
      <c r="Z602">
        <f t="shared" si="131"/>
        <v>1</v>
      </c>
      <c r="AA602">
        <f t="shared" si="132"/>
        <v>0</v>
      </c>
    </row>
    <row r="603" spans="2:27" x14ac:dyDescent="0.3">
      <c r="B603">
        <v>596</v>
      </c>
      <c r="C603" s="1">
        <v>41139</v>
      </c>
      <c r="D603">
        <v>3</v>
      </c>
      <c r="E603">
        <v>1</v>
      </c>
      <c r="F603">
        <v>8</v>
      </c>
      <c r="G603">
        <v>6</v>
      </c>
      <c r="H603">
        <v>1</v>
      </c>
      <c r="I603">
        <v>2827</v>
      </c>
      <c r="J603">
        <v>5038</v>
      </c>
      <c r="K603" s="8">
        <v>7865</v>
      </c>
      <c r="L603" s="12">
        <v>30.903549999999999</v>
      </c>
      <c r="M603" s="12">
        <v>60.333300000000001</v>
      </c>
      <c r="N603" s="12">
        <v>11.917089000000001</v>
      </c>
      <c r="O603" s="13">
        <f t="shared" si="120"/>
        <v>1.7359757955652397</v>
      </c>
      <c r="P603" s="6">
        <f t="shared" si="121"/>
        <v>0.88251334090463929</v>
      </c>
      <c r="Q603" s="6">
        <f t="shared" si="122"/>
        <v>-0.17256221274329658</v>
      </c>
      <c r="R603" s="6">
        <f t="shared" si="123"/>
        <v>-0.16294450227420509</v>
      </c>
      <c r="S603">
        <f t="shared" si="124"/>
        <v>0</v>
      </c>
      <c r="T603">
        <f t="shared" si="125"/>
        <v>0</v>
      </c>
      <c r="U603">
        <f t="shared" si="126"/>
        <v>0</v>
      </c>
      <c r="V603">
        <f t="shared" si="127"/>
        <v>0</v>
      </c>
      <c r="W603">
        <f t="shared" si="128"/>
        <v>0</v>
      </c>
      <c r="X603">
        <f t="shared" si="129"/>
        <v>0</v>
      </c>
      <c r="Y603">
        <f t="shared" si="130"/>
        <v>0</v>
      </c>
      <c r="Z603">
        <f t="shared" si="131"/>
        <v>1</v>
      </c>
      <c r="AA603">
        <f t="shared" si="132"/>
        <v>0</v>
      </c>
    </row>
    <row r="604" spans="2:27" x14ac:dyDescent="0.3">
      <c r="B604">
        <v>597</v>
      </c>
      <c r="C604" s="1">
        <v>41140</v>
      </c>
      <c r="D604">
        <v>3</v>
      </c>
      <c r="E604">
        <v>1</v>
      </c>
      <c r="F604">
        <v>8</v>
      </c>
      <c r="G604">
        <v>0</v>
      </c>
      <c r="H604">
        <v>2</v>
      </c>
      <c r="I604">
        <v>1208</v>
      </c>
      <c r="J604">
        <v>3341</v>
      </c>
      <c r="K604" s="8">
        <v>4549</v>
      </c>
      <c r="L604" s="12">
        <v>30.177700000000002</v>
      </c>
      <c r="M604" s="12">
        <v>71.166700000000006</v>
      </c>
      <c r="N604" s="12">
        <v>5.7921500000000004</v>
      </c>
      <c r="O604" s="13">
        <f t="shared" si="120"/>
        <v>2.3064975831685784E-2</v>
      </c>
      <c r="P604" s="6">
        <f t="shared" si="121"/>
        <v>0.79336977989411828</v>
      </c>
      <c r="Q604" s="6">
        <f t="shared" si="122"/>
        <v>0.58857564234536319</v>
      </c>
      <c r="R604" s="6">
        <f t="shared" si="123"/>
        <v>-1.3433587788253074</v>
      </c>
      <c r="S604">
        <f t="shared" si="124"/>
        <v>0</v>
      </c>
      <c r="T604">
        <f t="shared" si="125"/>
        <v>0</v>
      </c>
      <c r="U604">
        <f t="shared" si="126"/>
        <v>0</v>
      </c>
      <c r="V604">
        <f t="shared" si="127"/>
        <v>0</v>
      </c>
      <c r="W604">
        <f t="shared" si="128"/>
        <v>0</v>
      </c>
      <c r="X604">
        <f t="shared" si="129"/>
        <v>0</v>
      </c>
      <c r="Y604">
        <f t="shared" si="130"/>
        <v>0</v>
      </c>
      <c r="Z604">
        <f t="shared" si="131"/>
        <v>1</v>
      </c>
      <c r="AA604">
        <f t="shared" si="132"/>
        <v>0</v>
      </c>
    </row>
    <row r="605" spans="2:27" x14ac:dyDescent="0.3">
      <c r="B605">
        <v>598</v>
      </c>
      <c r="C605" s="1">
        <v>41141</v>
      </c>
      <c r="D605">
        <v>3</v>
      </c>
      <c r="E605">
        <v>1</v>
      </c>
      <c r="F605">
        <v>8</v>
      </c>
      <c r="G605">
        <v>1</v>
      </c>
      <c r="H605">
        <v>2</v>
      </c>
      <c r="I605">
        <v>1026</v>
      </c>
      <c r="J605">
        <v>5504</v>
      </c>
      <c r="K605" s="8">
        <v>6530</v>
      </c>
      <c r="L605" s="12">
        <v>29.798349999999999</v>
      </c>
      <c r="M605" s="12">
        <v>73.416700000000006</v>
      </c>
      <c r="N605" s="12">
        <v>8.7085930000000005</v>
      </c>
      <c r="O605" s="13">
        <f t="shared" si="120"/>
        <v>1.0463690572225695</v>
      </c>
      <c r="P605" s="6">
        <f t="shared" si="121"/>
        <v>0.74678080163505456</v>
      </c>
      <c r="Q605" s="6">
        <f t="shared" si="122"/>
        <v>0.74665714713143994</v>
      </c>
      <c r="R605" s="6">
        <f t="shared" si="123"/>
        <v>-0.7812942498646881</v>
      </c>
      <c r="S605">
        <f t="shared" si="124"/>
        <v>1</v>
      </c>
      <c r="T605">
        <f t="shared" si="125"/>
        <v>0</v>
      </c>
      <c r="U605">
        <f t="shared" si="126"/>
        <v>0</v>
      </c>
      <c r="V605">
        <f t="shared" si="127"/>
        <v>0</v>
      </c>
      <c r="W605">
        <f t="shared" si="128"/>
        <v>0</v>
      </c>
      <c r="X605">
        <f t="shared" si="129"/>
        <v>0</v>
      </c>
      <c r="Y605">
        <f t="shared" si="130"/>
        <v>0</v>
      </c>
      <c r="Z605">
        <f t="shared" si="131"/>
        <v>1</v>
      </c>
      <c r="AA605">
        <f t="shared" si="132"/>
        <v>0</v>
      </c>
    </row>
    <row r="606" spans="2:27" x14ac:dyDescent="0.3">
      <c r="B606">
        <v>599</v>
      </c>
      <c r="C606" s="1">
        <v>41142</v>
      </c>
      <c r="D606">
        <v>3</v>
      </c>
      <c r="E606">
        <v>1</v>
      </c>
      <c r="F606">
        <v>8</v>
      </c>
      <c r="G606">
        <v>2</v>
      </c>
      <c r="H606">
        <v>1</v>
      </c>
      <c r="I606">
        <v>1081</v>
      </c>
      <c r="J606">
        <v>5925</v>
      </c>
      <c r="K606" s="8">
        <v>7006</v>
      </c>
      <c r="L606" s="12">
        <v>30.05125</v>
      </c>
      <c r="M606" s="12">
        <v>67.375</v>
      </c>
      <c r="N606" s="12">
        <v>4.8756436000000001</v>
      </c>
      <c r="O606" s="13">
        <f t="shared" si="120"/>
        <v>1.2922513099949373</v>
      </c>
      <c r="P606" s="6">
        <f t="shared" si="121"/>
        <v>0.77784012047443019</v>
      </c>
      <c r="Q606" s="6">
        <f t="shared" si="122"/>
        <v>0.32217669047986625</v>
      </c>
      <c r="R606" s="6">
        <f t="shared" si="123"/>
        <v>-1.5199902912551382</v>
      </c>
      <c r="S606">
        <f t="shared" si="124"/>
        <v>0</v>
      </c>
      <c r="T606">
        <f t="shared" si="125"/>
        <v>1</v>
      </c>
      <c r="U606">
        <f t="shared" si="126"/>
        <v>0</v>
      </c>
      <c r="V606">
        <f t="shared" si="127"/>
        <v>0</v>
      </c>
      <c r="W606">
        <f t="shared" si="128"/>
        <v>0</v>
      </c>
      <c r="X606">
        <f t="shared" si="129"/>
        <v>0</v>
      </c>
      <c r="Y606">
        <f t="shared" si="130"/>
        <v>0</v>
      </c>
      <c r="Z606">
        <f t="shared" si="131"/>
        <v>1</v>
      </c>
      <c r="AA606">
        <f t="shared" si="132"/>
        <v>0</v>
      </c>
    </row>
    <row r="607" spans="2:27" x14ac:dyDescent="0.3">
      <c r="B607">
        <v>600</v>
      </c>
      <c r="C607" s="1">
        <v>41143</v>
      </c>
      <c r="D607">
        <v>3</v>
      </c>
      <c r="E607">
        <v>1</v>
      </c>
      <c r="F607">
        <v>8</v>
      </c>
      <c r="G607">
        <v>3</v>
      </c>
      <c r="H607">
        <v>1</v>
      </c>
      <c r="I607">
        <v>1094</v>
      </c>
      <c r="J607">
        <v>6281</v>
      </c>
      <c r="K607" s="8">
        <v>7375</v>
      </c>
      <c r="L607" s="12">
        <v>31.092700000000001</v>
      </c>
      <c r="M607" s="12">
        <v>67.708299999999994</v>
      </c>
      <c r="N607" s="12">
        <v>4.7089810999999999</v>
      </c>
      <c r="O607" s="13">
        <f t="shared" si="120"/>
        <v>1.4828617118289786</v>
      </c>
      <c r="P607" s="6">
        <f t="shared" si="121"/>
        <v>0.90574335339363865</v>
      </c>
      <c r="Q607" s="6">
        <f t="shared" si="122"/>
        <v>0.34559383072217664</v>
      </c>
      <c r="R607" s="6">
        <f t="shared" si="123"/>
        <v>-1.5521099245062937</v>
      </c>
      <c r="S607">
        <f t="shared" si="124"/>
        <v>0</v>
      </c>
      <c r="T607">
        <f t="shared" si="125"/>
        <v>0</v>
      </c>
      <c r="U607">
        <f t="shared" si="126"/>
        <v>1</v>
      </c>
      <c r="V607">
        <f t="shared" si="127"/>
        <v>0</v>
      </c>
      <c r="W607">
        <f t="shared" si="128"/>
        <v>0</v>
      </c>
      <c r="X607">
        <f t="shared" si="129"/>
        <v>0</v>
      </c>
      <c r="Y607">
        <f t="shared" si="130"/>
        <v>0</v>
      </c>
      <c r="Z607">
        <f t="shared" si="131"/>
        <v>1</v>
      </c>
      <c r="AA607">
        <f t="shared" si="132"/>
        <v>0</v>
      </c>
    </row>
    <row r="608" spans="2:27" x14ac:dyDescent="0.3">
      <c r="B608">
        <v>601</v>
      </c>
      <c r="C608" s="1">
        <v>41144</v>
      </c>
      <c r="D608">
        <v>3</v>
      </c>
      <c r="E608">
        <v>1</v>
      </c>
      <c r="F608">
        <v>8</v>
      </c>
      <c r="G608">
        <v>4</v>
      </c>
      <c r="H608">
        <v>1</v>
      </c>
      <c r="I608">
        <v>1363</v>
      </c>
      <c r="J608">
        <v>6402</v>
      </c>
      <c r="K608" s="8">
        <v>7765</v>
      </c>
      <c r="L608" s="12">
        <v>31.8504</v>
      </c>
      <c r="M608" s="12">
        <v>63.583300000000001</v>
      </c>
      <c r="N608" s="12">
        <v>5.6679186000000001</v>
      </c>
      <c r="O608" s="13">
        <f t="shared" si="120"/>
        <v>1.68431986010886</v>
      </c>
      <c r="P608" s="6">
        <f t="shared" si="121"/>
        <v>0.9987984972631323</v>
      </c>
      <c r="Q608" s="6">
        <f t="shared" si="122"/>
        <v>5.5777738614369805E-2</v>
      </c>
      <c r="R608" s="6">
        <f t="shared" si="123"/>
        <v>-1.3673009794179876</v>
      </c>
      <c r="S608">
        <f t="shared" si="124"/>
        <v>0</v>
      </c>
      <c r="T608">
        <f t="shared" si="125"/>
        <v>0</v>
      </c>
      <c r="U608">
        <f t="shared" si="126"/>
        <v>0</v>
      </c>
      <c r="V608">
        <f t="shared" si="127"/>
        <v>1</v>
      </c>
      <c r="W608">
        <f t="shared" si="128"/>
        <v>0</v>
      </c>
      <c r="X608">
        <f t="shared" si="129"/>
        <v>0</v>
      </c>
      <c r="Y608">
        <f t="shared" si="130"/>
        <v>0</v>
      </c>
      <c r="Z608">
        <f t="shared" si="131"/>
        <v>1</v>
      </c>
      <c r="AA608">
        <f t="shared" si="132"/>
        <v>0</v>
      </c>
    </row>
    <row r="609" spans="2:27" x14ac:dyDescent="0.3">
      <c r="B609">
        <v>602</v>
      </c>
      <c r="C609" s="1">
        <v>41145</v>
      </c>
      <c r="D609">
        <v>3</v>
      </c>
      <c r="E609">
        <v>1</v>
      </c>
      <c r="F609">
        <v>8</v>
      </c>
      <c r="G609">
        <v>5</v>
      </c>
      <c r="H609">
        <v>2</v>
      </c>
      <c r="I609">
        <v>1325</v>
      </c>
      <c r="J609">
        <v>6257</v>
      </c>
      <c r="K609" s="8">
        <v>7582</v>
      </c>
      <c r="L609" s="12">
        <v>32.354999999999997</v>
      </c>
      <c r="M609" s="12">
        <v>61.5</v>
      </c>
      <c r="N609" s="12">
        <v>4.8337686</v>
      </c>
      <c r="O609" s="13">
        <f t="shared" si="120"/>
        <v>1.5897894982236849</v>
      </c>
      <c r="P609" s="6">
        <f t="shared" si="121"/>
        <v>1.0607697597635231</v>
      </c>
      <c r="Q609" s="6">
        <f t="shared" si="122"/>
        <v>-9.0591683128223022E-2</v>
      </c>
      <c r="R609" s="6">
        <f t="shared" si="123"/>
        <v>-1.5280605508659812</v>
      </c>
      <c r="S609">
        <f t="shared" si="124"/>
        <v>0</v>
      </c>
      <c r="T609">
        <f t="shared" si="125"/>
        <v>0</v>
      </c>
      <c r="U609">
        <f t="shared" si="126"/>
        <v>0</v>
      </c>
      <c r="V609">
        <f t="shared" si="127"/>
        <v>0</v>
      </c>
      <c r="W609">
        <f t="shared" si="128"/>
        <v>1</v>
      </c>
      <c r="X609">
        <f t="shared" si="129"/>
        <v>0</v>
      </c>
      <c r="Y609">
        <f t="shared" si="130"/>
        <v>0</v>
      </c>
      <c r="Z609">
        <f t="shared" si="131"/>
        <v>1</v>
      </c>
      <c r="AA609">
        <f t="shared" si="132"/>
        <v>0</v>
      </c>
    </row>
    <row r="610" spans="2:27" x14ac:dyDescent="0.3">
      <c r="B610">
        <v>603</v>
      </c>
      <c r="C610" s="1">
        <v>41146</v>
      </c>
      <c r="D610">
        <v>3</v>
      </c>
      <c r="E610">
        <v>1</v>
      </c>
      <c r="F610">
        <v>8</v>
      </c>
      <c r="G610">
        <v>6</v>
      </c>
      <c r="H610">
        <v>2</v>
      </c>
      <c r="I610">
        <v>1829</v>
      </c>
      <c r="J610">
        <v>4224</v>
      </c>
      <c r="K610" s="8">
        <v>6053</v>
      </c>
      <c r="L610" s="12">
        <v>30.934799999999999</v>
      </c>
      <c r="M610" s="12">
        <v>71.291700000000006</v>
      </c>
      <c r="N610" s="12">
        <v>16.375336000000001</v>
      </c>
      <c r="O610" s="13">
        <f t="shared" si="120"/>
        <v>0.79997024509563786</v>
      </c>
      <c r="P610" s="6">
        <f t="shared" si="121"/>
        <v>0.88635123617443168</v>
      </c>
      <c r="Q610" s="6">
        <f t="shared" si="122"/>
        <v>0.59735794816681187</v>
      </c>
      <c r="R610" s="6">
        <f t="shared" si="123"/>
        <v>0.69626052934996652</v>
      </c>
      <c r="S610">
        <f t="shared" si="124"/>
        <v>0</v>
      </c>
      <c r="T610">
        <f t="shared" si="125"/>
        <v>0</v>
      </c>
      <c r="U610">
        <f t="shared" si="126"/>
        <v>0</v>
      </c>
      <c r="V610">
        <f t="shared" si="127"/>
        <v>0</v>
      </c>
      <c r="W610">
        <f t="shared" si="128"/>
        <v>0</v>
      </c>
      <c r="X610">
        <f t="shared" si="129"/>
        <v>0</v>
      </c>
      <c r="Y610">
        <f t="shared" si="130"/>
        <v>0</v>
      </c>
      <c r="Z610">
        <f t="shared" si="131"/>
        <v>1</v>
      </c>
      <c r="AA610">
        <f t="shared" si="132"/>
        <v>0</v>
      </c>
    </row>
    <row r="611" spans="2:27" x14ac:dyDescent="0.3">
      <c r="B611">
        <v>604</v>
      </c>
      <c r="C611" s="1">
        <v>41147</v>
      </c>
      <c r="D611">
        <v>3</v>
      </c>
      <c r="E611">
        <v>1</v>
      </c>
      <c r="F611">
        <v>8</v>
      </c>
      <c r="G611">
        <v>0</v>
      </c>
      <c r="H611">
        <v>2</v>
      </c>
      <c r="I611">
        <v>1483</v>
      </c>
      <c r="J611">
        <v>3772</v>
      </c>
      <c r="K611" s="8">
        <v>5255</v>
      </c>
      <c r="L611" s="12">
        <v>29.799800000000001</v>
      </c>
      <c r="M611" s="12">
        <v>84.583299999999994</v>
      </c>
      <c r="N611" s="12">
        <v>15.333486000000001</v>
      </c>
      <c r="O611" s="13">
        <f t="shared" si="120"/>
        <v>0.38775588015372714</v>
      </c>
      <c r="P611" s="6">
        <f t="shared" si="121"/>
        <v>0.74695887997557309</v>
      </c>
      <c r="Q611" s="6">
        <f t="shared" si="122"/>
        <v>1.5312051166177523</v>
      </c>
      <c r="R611" s="6">
        <f t="shared" si="123"/>
        <v>0.49547247023219143</v>
      </c>
      <c r="S611">
        <f t="shared" si="124"/>
        <v>0</v>
      </c>
      <c r="T611">
        <f t="shared" si="125"/>
        <v>0</v>
      </c>
      <c r="U611">
        <f t="shared" si="126"/>
        <v>0</v>
      </c>
      <c r="V611">
        <f t="shared" si="127"/>
        <v>0</v>
      </c>
      <c r="W611">
        <f t="shared" si="128"/>
        <v>0</v>
      </c>
      <c r="X611">
        <f t="shared" si="129"/>
        <v>0</v>
      </c>
      <c r="Y611">
        <f t="shared" si="130"/>
        <v>0</v>
      </c>
      <c r="Z611">
        <f t="shared" si="131"/>
        <v>1</v>
      </c>
      <c r="AA611">
        <f t="shared" si="132"/>
        <v>0</v>
      </c>
    </row>
    <row r="612" spans="2:27" x14ac:dyDescent="0.3">
      <c r="B612">
        <v>605</v>
      </c>
      <c r="C612" s="1">
        <v>41148</v>
      </c>
      <c r="D612">
        <v>3</v>
      </c>
      <c r="E612">
        <v>1</v>
      </c>
      <c r="F612">
        <v>8</v>
      </c>
      <c r="G612">
        <v>1</v>
      </c>
      <c r="H612">
        <v>1</v>
      </c>
      <c r="I612">
        <v>989</v>
      </c>
      <c r="J612">
        <v>5928</v>
      </c>
      <c r="K612" s="8">
        <v>6917</v>
      </c>
      <c r="L612" s="12">
        <v>32.734400000000001</v>
      </c>
      <c r="M612" s="12">
        <v>73.041700000000006</v>
      </c>
      <c r="N612" s="12">
        <v>8.6251110000000004</v>
      </c>
      <c r="O612" s="13">
        <f t="shared" si="120"/>
        <v>1.2462775274387592</v>
      </c>
      <c r="P612" s="6">
        <f t="shared" si="121"/>
        <v>1.1073648786550188</v>
      </c>
      <c r="Q612" s="6">
        <f t="shared" si="122"/>
        <v>0.72031022966709379</v>
      </c>
      <c r="R612" s="6">
        <f t="shared" si="123"/>
        <v>-0.79738311942486484</v>
      </c>
      <c r="S612">
        <f t="shared" si="124"/>
        <v>1</v>
      </c>
      <c r="T612">
        <f t="shared" si="125"/>
        <v>0</v>
      </c>
      <c r="U612">
        <f t="shared" si="126"/>
        <v>0</v>
      </c>
      <c r="V612">
        <f t="shared" si="127"/>
        <v>0</v>
      </c>
      <c r="W612">
        <f t="shared" si="128"/>
        <v>0</v>
      </c>
      <c r="X612">
        <f t="shared" si="129"/>
        <v>0</v>
      </c>
      <c r="Y612">
        <f t="shared" si="130"/>
        <v>0</v>
      </c>
      <c r="Z612">
        <f t="shared" si="131"/>
        <v>1</v>
      </c>
      <c r="AA612">
        <f t="shared" si="132"/>
        <v>0</v>
      </c>
    </row>
    <row r="613" spans="2:27" x14ac:dyDescent="0.3">
      <c r="B613">
        <v>606</v>
      </c>
      <c r="C613" s="1">
        <v>41149</v>
      </c>
      <c r="D613">
        <v>3</v>
      </c>
      <c r="E613">
        <v>1</v>
      </c>
      <c r="F613">
        <v>8</v>
      </c>
      <c r="G613">
        <v>2</v>
      </c>
      <c r="H613">
        <v>1</v>
      </c>
      <c r="I613">
        <v>935</v>
      </c>
      <c r="J613">
        <v>6105</v>
      </c>
      <c r="K613" s="8">
        <v>7040</v>
      </c>
      <c r="L613" s="12">
        <v>33.302500000000002</v>
      </c>
      <c r="M613" s="12">
        <v>62</v>
      </c>
      <c r="N613" s="12">
        <v>12.791975000000001</v>
      </c>
      <c r="O613" s="13">
        <f t="shared" si="120"/>
        <v>1.3098143280501064</v>
      </c>
      <c r="P613" s="6">
        <f t="shared" si="121"/>
        <v>1.1771347443436284</v>
      </c>
      <c r="Q613" s="6">
        <f t="shared" si="122"/>
        <v>-5.5462459842428195E-2</v>
      </c>
      <c r="R613" s="6">
        <f t="shared" si="123"/>
        <v>5.6658177232165492E-3</v>
      </c>
      <c r="S613">
        <f t="shared" si="124"/>
        <v>0</v>
      </c>
      <c r="T613">
        <f t="shared" si="125"/>
        <v>1</v>
      </c>
      <c r="U613">
        <f t="shared" si="126"/>
        <v>0</v>
      </c>
      <c r="V613">
        <f t="shared" si="127"/>
        <v>0</v>
      </c>
      <c r="W613">
        <f t="shared" si="128"/>
        <v>0</v>
      </c>
      <c r="X613">
        <f t="shared" si="129"/>
        <v>0</v>
      </c>
      <c r="Y613">
        <f t="shared" si="130"/>
        <v>0</v>
      </c>
      <c r="Z613">
        <f t="shared" si="131"/>
        <v>1</v>
      </c>
      <c r="AA613">
        <f t="shared" si="132"/>
        <v>0</v>
      </c>
    </row>
    <row r="614" spans="2:27" x14ac:dyDescent="0.3">
      <c r="B614">
        <v>607</v>
      </c>
      <c r="C614" s="1">
        <v>41150</v>
      </c>
      <c r="D614">
        <v>3</v>
      </c>
      <c r="E614">
        <v>1</v>
      </c>
      <c r="F614">
        <v>8</v>
      </c>
      <c r="G614">
        <v>3</v>
      </c>
      <c r="H614">
        <v>1</v>
      </c>
      <c r="I614">
        <v>1177</v>
      </c>
      <c r="J614">
        <v>6520</v>
      </c>
      <c r="K614" s="8">
        <v>7697</v>
      </c>
      <c r="L614" s="12">
        <v>31.786650000000002</v>
      </c>
      <c r="M614" s="12">
        <v>55.208300000000001</v>
      </c>
      <c r="N614" s="12">
        <v>7.5416540000000003</v>
      </c>
      <c r="O614" s="13">
        <f t="shared" si="120"/>
        <v>1.6491938239985218</v>
      </c>
      <c r="P614" s="6">
        <f t="shared" si="121"/>
        <v>0.99096919091275604</v>
      </c>
      <c r="Q614" s="6">
        <f t="shared" si="122"/>
        <v>-0.53263675142269362</v>
      </c>
      <c r="R614" s="6">
        <f t="shared" si="123"/>
        <v>-1.0061897884919735</v>
      </c>
      <c r="S614">
        <f t="shared" si="124"/>
        <v>0</v>
      </c>
      <c r="T614">
        <f t="shared" si="125"/>
        <v>0</v>
      </c>
      <c r="U614">
        <f t="shared" si="126"/>
        <v>1</v>
      </c>
      <c r="V614">
        <f t="shared" si="127"/>
        <v>0</v>
      </c>
      <c r="W614">
        <f t="shared" si="128"/>
        <v>0</v>
      </c>
      <c r="X614">
        <f t="shared" si="129"/>
        <v>0</v>
      </c>
      <c r="Y614">
        <f t="shared" si="130"/>
        <v>0</v>
      </c>
      <c r="Z614">
        <f t="shared" si="131"/>
        <v>1</v>
      </c>
      <c r="AA614">
        <f t="shared" si="132"/>
        <v>0</v>
      </c>
    </row>
    <row r="615" spans="2:27" x14ac:dyDescent="0.3">
      <c r="B615">
        <v>608</v>
      </c>
      <c r="C615" s="1">
        <v>41151</v>
      </c>
      <c r="D615">
        <v>3</v>
      </c>
      <c r="E615">
        <v>1</v>
      </c>
      <c r="F615">
        <v>8</v>
      </c>
      <c r="G615">
        <v>4</v>
      </c>
      <c r="H615">
        <v>1</v>
      </c>
      <c r="I615">
        <v>1172</v>
      </c>
      <c r="J615">
        <v>6541</v>
      </c>
      <c r="K615" s="8">
        <v>7713</v>
      </c>
      <c r="L615" s="12">
        <v>32.638950000000001</v>
      </c>
      <c r="M615" s="12">
        <v>59.041699999999999</v>
      </c>
      <c r="N615" s="12">
        <v>5.1668189</v>
      </c>
      <c r="O615" s="13">
        <f t="shared" si="120"/>
        <v>1.6574587736715425</v>
      </c>
      <c r="P615" s="6">
        <f t="shared" si="121"/>
        <v>1.095642411342965</v>
      </c>
      <c r="Q615" s="6">
        <f t="shared" si="122"/>
        <v>-0.26330802233516198</v>
      </c>
      <c r="R615" s="6">
        <f t="shared" si="123"/>
        <v>-1.4638742252667176</v>
      </c>
      <c r="S615">
        <f t="shared" si="124"/>
        <v>0</v>
      </c>
      <c r="T615">
        <f t="shared" si="125"/>
        <v>0</v>
      </c>
      <c r="U615">
        <f t="shared" si="126"/>
        <v>0</v>
      </c>
      <c r="V615">
        <f t="shared" si="127"/>
        <v>1</v>
      </c>
      <c r="W615">
        <f t="shared" si="128"/>
        <v>0</v>
      </c>
      <c r="X615">
        <f t="shared" si="129"/>
        <v>0</v>
      </c>
      <c r="Y615">
        <f t="shared" si="130"/>
        <v>0</v>
      </c>
      <c r="Z615">
        <f t="shared" si="131"/>
        <v>1</v>
      </c>
      <c r="AA615">
        <f t="shared" si="132"/>
        <v>0</v>
      </c>
    </row>
    <row r="616" spans="2:27" x14ac:dyDescent="0.3">
      <c r="B616">
        <v>609</v>
      </c>
      <c r="C616" s="1">
        <v>41152</v>
      </c>
      <c r="D616">
        <v>3</v>
      </c>
      <c r="E616">
        <v>1</v>
      </c>
      <c r="F616">
        <v>8</v>
      </c>
      <c r="G616">
        <v>5</v>
      </c>
      <c r="H616">
        <v>1</v>
      </c>
      <c r="I616">
        <v>1433</v>
      </c>
      <c r="J616">
        <v>5917</v>
      </c>
      <c r="K616" s="8">
        <v>7350</v>
      </c>
      <c r="L616" s="12">
        <v>34.47</v>
      </c>
      <c r="M616" s="12">
        <v>58.75</v>
      </c>
      <c r="N616" s="12">
        <v>11.291710999999999</v>
      </c>
      <c r="O616" s="13">
        <f t="shared" si="120"/>
        <v>1.4699477279648838</v>
      </c>
      <c r="P616" s="6">
        <f t="shared" si="121"/>
        <v>1.3205185116230707</v>
      </c>
      <c r="Q616" s="6">
        <f t="shared" si="122"/>
        <v>-0.28380241120009458</v>
      </c>
      <c r="R616" s="6">
        <f t="shared" si="123"/>
        <v>-0.28346898740637977</v>
      </c>
      <c r="S616">
        <f t="shared" si="124"/>
        <v>0</v>
      </c>
      <c r="T616">
        <f t="shared" si="125"/>
        <v>0</v>
      </c>
      <c r="U616">
        <f t="shared" si="126"/>
        <v>0</v>
      </c>
      <c r="V616">
        <f t="shared" si="127"/>
        <v>0</v>
      </c>
      <c r="W616">
        <f t="shared" si="128"/>
        <v>1</v>
      </c>
      <c r="X616">
        <f t="shared" si="129"/>
        <v>0</v>
      </c>
      <c r="Y616">
        <f t="shared" si="130"/>
        <v>0</v>
      </c>
      <c r="Z616">
        <f t="shared" si="131"/>
        <v>1</v>
      </c>
      <c r="AA616">
        <f t="shared" si="132"/>
        <v>0</v>
      </c>
    </row>
    <row r="617" spans="2:27" x14ac:dyDescent="0.3">
      <c r="B617">
        <v>610</v>
      </c>
      <c r="C617" s="1">
        <v>41153</v>
      </c>
      <c r="D617">
        <v>3</v>
      </c>
      <c r="E617">
        <v>1</v>
      </c>
      <c r="F617">
        <v>9</v>
      </c>
      <c r="G617">
        <v>6</v>
      </c>
      <c r="H617">
        <v>2</v>
      </c>
      <c r="I617">
        <v>2352</v>
      </c>
      <c r="J617">
        <v>3788</v>
      </c>
      <c r="K617" s="8">
        <v>6140</v>
      </c>
      <c r="L617" s="12">
        <v>35.1327</v>
      </c>
      <c r="M617" s="12">
        <v>63.833300000000001</v>
      </c>
      <c r="N617" s="12">
        <v>7.5835290000000004</v>
      </c>
      <c r="O617" s="13">
        <f t="shared" si="120"/>
        <v>0.84491090894268828</v>
      </c>
      <c r="P617" s="6">
        <f t="shared" si="121"/>
        <v>1.4019064538723958</v>
      </c>
      <c r="Q617" s="6">
        <f t="shared" si="122"/>
        <v>7.3342350257267222E-2</v>
      </c>
      <c r="R617" s="6">
        <f t="shared" si="123"/>
        <v>-0.99811952888113042</v>
      </c>
      <c r="S617">
        <f t="shared" si="124"/>
        <v>0</v>
      </c>
      <c r="T617">
        <f t="shared" si="125"/>
        <v>0</v>
      </c>
      <c r="U617">
        <f t="shared" si="126"/>
        <v>0</v>
      </c>
      <c r="V617">
        <f t="shared" si="127"/>
        <v>0</v>
      </c>
      <c r="W617">
        <f t="shared" si="128"/>
        <v>0</v>
      </c>
      <c r="X617">
        <f t="shared" si="129"/>
        <v>0</v>
      </c>
      <c r="Y617">
        <f t="shared" si="130"/>
        <v>0</v>
      </c>
      <c r="Z617">
        <f t="shared" si="131"/>
        <v>1</v>
      </c>
      <c r="AA617">
        <f t="shared" si="132"/>
        <v>0</v>
      </c>
    </row>
    <row r="618" spans="2:27" x14ac:dyDescent="0.3">
      <c r="B618">
        <v>611</v>
      </c>
      <c r="C618" s="1">
        <v>41154</v>
      </c>
      <c r="D618">
        <v>3</v>
      </c>
      <c r="E618">
        <v>1</v>
      </c>
      <c r="F618">
        <v>9</v>
      </c>
      <c r="G618">
        <v>0</v>
      </c>
      <c r="H618">
        <v>2</v>
      </c>
      <c r="I618">
        <v>2613</v>
      </c>
      <c r="J618">
        <v>3197</v>
      </c>
      <c r="K618" s="8">
        <v>5810</v>
      </c>
      <c r="L618" s="12">
        <v>32.450000000000003</v>
      </c>
      <c r="M618" s="12">
        <v>81.5</v>
      </c>
      <c r="N618" s="12">
        <v>4.2927435999999997</v>
      </c>
      <c r="O618" s="13">
        <f t="shared" si="120"/>
        <v>0.67444632193663501</v>
      </c>
      <c r="P618" s="6">
        <f t="shared" si="121"/>
        <v>1.0724369613836926</v>
      </c>
      <c r="Q618" s="6">
        <f t="shared" si="122"/>
        <v>1.3145772483035703</v>
      </c>
      <c r="R618" s="6">
        <f t="shared" si="123"/>
        <v>-1.6323283050380735</v>
      </c>
      <c r="S618">
        <f t="shared" si="124"/>
        <v>0</v>
      </c>
      <c r="T618">
        <f t="shared" si="125"/>
        <v>0</v>
      </c>
      <c r="U618">
        <f t="shared" si="126"/>
        <v>0</v>
      </c>
      <c r="V618">
        <f t="shared" si="127"/>
        <v>0</v>
      </c>
      <c r="W618">
        <f t="shared" si="128"/>
        <v>0</v>
      </c>
      <c r="X618">
        <f t="shared" si="129"/>
        <v>0</v>
      </c>
      <c r="Y618">
        <f t="shared" si="130"/>
        <v>0</v>
      </c>
      <c r="Z618">
        <f t="shared" si="131"/>
        <v>1</v>
      </c>
      <c r="AA618">
        <f t="shared" si="132"/>
        <v>0</v>
      </c>
    </row>
    <row r="619" spans="2:27" x14ac:dyDescent="0.3">
      <c r="B619">
        <v>612</v>
      </c>
      <c r="C619" s="1">
        <v>41155</v>
      </c>
      <c r="D619">
        <v>3</v>
      </c>
      <c r="E619">
        <v>1</v>
      </c>
      <c r="F619">
        <v>9</v>
      </c>
      <c r="G619">
        <v>1</v>
      </c>
      <c r="H619">
        <v>1</v>
      </c>
      <c r="I619">
        <v>1965</v>
      </c>
      <c r="J619">
        <v>4069</v>
      </c>
      <c r="K619" s="8">
        <v>6034</v>
      </c>
      <c r="L619" s="12">
        <v>33.081449999999997</v>
      </c>
      <c r="M619" s="12">
        <v>79.083299999999994</v>
      </c>
      <c r="N619" s="12">
        <v>10.125107</v>
      </c>
      <c r="O619" s="13">
        <f t="shared" si="120"/>
        <v>0.7901556173589257</v>
      </c>
      <c r="P619" s="6">
        <f t="shared" si="121"/>
        <v>1.1499870083632244</v>
      </c>
      <c r="Q619" s="6">
        <f t="shared" si="122"/>
        <v>1.1447836604740091</v>
      </c>
      <c r="R619" s="6">
        <f t="shared" si="123"/>
        <v>-0.50829996395677823</v>
      </c>
      <c r="S619">
        <f t="shared" si="124"/>
        <v>1</v>
      </c>
      <c r="T619">
        <f t="shared" si="125"/>
        <v>0</v>
      </c>
      <c r="U619">
        <f t="shared" si="126"/>
        <v>0</v>
      </c>
      <c r="V619">
        <f t="shared" si="127"/>
        <v>0</v>
      </c>
      <c r="W619">
        <f t="shared" si="128"/>
        <v>0</v>
      </c>
      <c r="X619">
        <f t="shared" si="129"/>
        <v>0</v>
      </c>
      <c r="Y619">
        <f t="shared" si="130"/>
        <v>0</v>
      </c>
      <c r="Z619">
        <f t="shared" si="131"/>
        <v>1</v>
      </c>
      <c r="AA619">
        <f t="shared" si="132"/>
        <v>0</v>
      </c>
    </row>
    <row r="620" spans="2:27" x14ac:dyDescent="0.3">
      <c r="B620">
        <v>613</v>
      </c>
      <c r="C620" s="1">
        <v>41156</v>
      </c>
      <c r="D620">
        <v>3</v>
      </c>
      <c r="E620">
        <v>1</v>
      </c>
      <c r="F620">
        <v>9</v>
      </c>
      <c r="G620">
        <v>2</v>
      </c>
      <c r="H620">
        <v>1</v>
      </c>
      <c r="I620">
        <v>867</v>
      </c>
      <c r="J620">
        <v>5997</v>
      </c>
      <c r="K620" s="8">
        <v>6864</v>
      </c>
      <c r="L620" s="12">
        <v>34.3444</v>
      </c>
      <c r="M620" s="12">
        <v>75.5</v>
      </c>
      <c r="N620" s="12">
        <v>15.833507000000001</v>
      </c>
      <c r="O620" s="13">
        <f t="shared" si="120"/>
        <v>1.2188998816468779</v>
      </c>
      <c r="P620" s="6">
        <f t="shared" si="121"/>
        <v>1.3050932429547215</v>
      </c>
      <c r="Q620" s="6">
        <f t="shared" si="122"/>
        <v>0.8930265688740322</v>
      </c>
      <c r="R620" s="6">
        <f t="shared" si="123"/>
        <v>0.59183782619334613</v>
      </c>
      <c r="S620">
        <f t="shared" si="124"/>
        <v>0</v>
      </c>
      <c r="T620">
        <f t="shared" si="125"/>
        <v>1</v>
      </c>
      <c r="U620">
        <f t="shared" si="126"/>
        <v>0</v>
      </c>
      <c r="V620">
        <f t="shared" si="127"/>
        <v>0</v>
      </c>
      <c r="W620">
        <f t="shared" si="128"/>
        <v>0</v>
      </c>
      <c r="X620">
        <f t="shared" si="129"/>
        <v>0</v>
      </c>
      <c r="Y620">
        <f t="shared" si="130"/>
        <v>0</v>
      </c>
      <c r="Z620">
        <f t="shared" si="131"/>
        <v>1</v>
      </c>
      <c r="AA620">
        <f t="shared" si="132"/>
        <v>0</v>
      </c>
    </row>
    <row r="621" spans="2:27" x14ac:dyDescent="0.3">
      <c r="B621">
        <v>614</v>
      </c>
      <c r="C621" s="1">
        <v>41157</v>
      </c>
      <c r="D621">
        <v>3</v>
      </c>
      <c r="E621">
        <v>1</v>
      </c>
      <c r="F621">
        <v>9</v>
      </c>
      <c r="G621">
        <v>3</v>
      </c>
      <c r="H621">
        <v>1</v>
      </c>
      <c r="I621">
        <v>832</v>
      </c>
      <c r="J621">
        <v>6280</v>
      </c>
      <c r="K621" s="8">
        <v>7112</v>
      </c>
      <c r="L621" s="12">
        <v>35.449150000000003</v>
      </c>
      <c r="M621" s="12">
        <v>74.125</v>
      </c>
      <c r="N621" s="12">
        <v>12.583136</v>
      </c>
      <c r="O621" s="13">
        <f t="shared" si="120"/>
        <v>1.3470066015786999</v>
      </c>
      <c r="P621" s="6">
        <f t="shared" si="121"/>
        <v>1.4407705165324214</v>
      </c>
      <c r="Q621" s="6">
        <f t="shared" si="122"/>
        <v>0.79642120483809642</v>
      </c>
      <c r="R621" s="6">
        <f t="shared" si="123"/>
        <v>-3.4582181007980113E-2</v>
      </c>
      <c r="S621">
        <f t="shared" si="124"/>
        <v>0</v>
      </c>
      <c r="T621">
        <f t="shared" si="125"/>
        <v>0</v>
      </c>
      <c r="U621">
        <f t="shared" si="126"/>
        <v>1</v>
      </c>
      <c r="V621">
        <f t="shared" si="127"/>
        <v>0</v>
      </c>
      <c r="W621">
        <f t="shared" si="128"/>
        <v>0</v>
      </c>
      <c r="X621">
        <f t="shared" si="129"/>
        <v>0</v>
      </c>
      <c r="Y621">
        <f t="shared" si="130"/>
        <v>0</v>
      </c>
      <c r="Z621">
        <f t="shared" si="131"/>
        <v>1</v>
      </c>
      <c r="AA621">
        <f t="shared" si="132"/>
        <v>0</v>
      </c>
    </row>
    <row r="622" spans="2:27" x14ac:dyDescent="0.3">
      <c r="B622">
        <v>615</v>
      </c>
      <c r="C622" s="1">
        <v>41158</v>
      </c>
      <c r="D622">
        <v>3</v>
      </c>
      <c r="E622">
        <v>1</v>
      </c>
      <c r="F622">
        <v>9</v>
      </c>
      <c r="G622">
        <v>4</v>
      </c>
      <c r="H622">
        <v>2</v>
      </c>
      <c r="I622">
        <v>611</v>
      </c>
      <c r="J622">
        <v>5592</v>
      </c>
      <c r="K622" s="8">
        <v>6203</v>
      </c>
      <c r="L622" s="12">
        <v>32.766449999999999</v>
      </c>
      <c r="M622" s="12">
        <v>81.041700000000006</v>
      </c>
      <c r="N622" s="12">
        <v>9.5422069999999994</v>
      </c>
      <c r="O622" s="13">
        <f t="shared" si="120"/>
        <v>0.87745414828020751</v>
      </c>
      <c r="P622" s="6">
        <f t="shared" si="121"/>
        <v>1.1113010240437176</v>
      </c>
      <c r="Q622" s="6">
        <f t="shared" si="122"/>
        <v>1.2823778022398111</v>
      </c>
      <c r="R622" s="6">
        <f t="shared" si="123"/>
        <v>-0.62063797773971363</v>
      </c>
      <c r="S622">
        <f t="shared" si="124"/>
        <v>0</v>
      </c>
      <c r="T622">
        <f t="shared" si="125"/>
        <v>0</v>
      </c>
      <c r="U622">
        <f t="shared" si="126"/>
        <v>0</v>
      </c>
      <c r="V622">
        <f t="shared" si="127"/>
        <v>1</v>
      </c>
      <c r="W622">
        <f t="shared" si="128"/>
        <v>0</v>
      </c>
      <c r="X622">
        <f t="shared" si="129"/>
        <v>0</v>
      </c>
      <c r="Y622">
        <f t="shared" si="130"/>
        <v>0</v>
      </c>
      <c r="Z622">
        <f t="shared" si="131"/>
        <v>1</v>
      </c>
      <c r="AA622">
        <f t="shared" si="132"/>
        <v>0</v>
      </c>
    </row>
    <row r="623" spans="2:27" x14ac:dyDescent="0.3">
      <c r="B623">
        <v>616</v>
      </c>
      <c r="C623" s="1">
        <v>41159</v>
      </c>
      <c r="D623">
        <v>3</v>
      </c>
      <c r="E623">
        <v>1</v>
      </c>
      <c r="F623">
        <v>9</v>
      </c>
      <c r="G623">
        <v>5</v>
      </c>
      <c r="H623">
        <v>1</v>
      </c>
      <c r="I623">
        <v>1045</v>
      </c>
      <c r="J623">
        <v>6459</v>
      </c>
      <c r="K623" s="8">
        <v>7504</v>
      </c>
      <c r="L623" s="12">
        <v>32.860199999999999</v>
      </c>
      <c r="M623" s="12">
        <v>73.625</v>
      </c>
      <c r="N623" s="12">
        <v>11.500282</v>
      </c>
      <c r="O623" s="13">
        <f t="shared" si="120"/>
        <v>1.5494978685677088</v>
      </c>
      <c r="P623" s="6">
        <f t="shared" si="121"/>
        <v>1.1228147098530947</v>
      </c>
      <c r="Q623" s="6">
        <f t="shared" si="122"/>
        <v>0.7612919815523016</v>
      </c>
      <c r="R623" s="6">
        <f t="shared" si="123"/>
        <v>-0.24327263833669252</v>
      </c>
      <c r="S623">
        <f t="shared" si="124"/>
        <v>0</v>
      </c>
      <c r="T623">
        <f t="shared" si="125"/>
        <v>0</v>
      </c>
      <c r="U623">
        <f t="shared" si="126"/>
        <v>0</v>
      </c>
      <c r="V623">
        <f t="shared" si="127"/>
        <v>0</v>
      </c>
      <c r="W623">
        <f t="shared" si="128"/>
        <v>1</v>
      </c>
      <c r="X623">
        <f t="shared" si="129"/>
        <v>0</v>
      </c>
      <c r="Y623">
        <f t="shared" si="130"/>
        <v>0</v>
      </c>
      <c r="Z623">
        <f t="shared" si="131"/>
        <v>1</v>
      </c>
      <c r="AA623">
        <f t="shared" si="132"/>
        <v>0</v>
      </c>
    </row>
    <row r="624" spans="2:27" x14ac:dyDescent="0.3">
      <c r="B624">
        <v>617</v>
      </c>
      <c r="C624" s="1">
        <v>41160</v>
      </c>
      <c r="D624">
        <v>3</v>
      </c>
      <c r="E624">
        <v>1</v>
      </c>
      <c r="F624">
        <v>9</v>
      </c>
      <c r="G624">
        <v>6</v>
      </c>
      <c r="H624">
        <v>2</v>
      </c>
      <c r="I624">
        <v>1557</v>
      </c>
      <c r="J624">
        <v>4419</v>
      </c>
      <c r="K624" s="8">
        <v>5976</v>
      </c>
      <c r="L624" s="12">
        <v>30.556049999999999</v>
      </c>
      <c r="M624" s="12">
        <v>79.916700000000006</v>
      </c>
      <c r="N624" s="12">
        <v>18.833967999999999</v>
      </c>
      <c r="O624" s="13">
        <f t="shared" si="120"/>
        <v>0.76019517479422538</v>
      </c>
      <c r="P624" s="6">
        <f t="shared" si="121"/>
        <v>0.8398359455045481</v>
      </c>
      <c r="Q624" s="6">
        <f t="shared" si="122"/>
        <v>1.2033370498467726</v>
      </c>
      <c r="R624" s="6">
        <f t="shared" si="123"/>
        <v>1.1700945240371605</v>
      </c>
      <c r="S624">
        <f t="shared" si="124"/>
        <v>0</v>
      </c>
      <c r="T624">
        <f t="shared" si="125"/>
        <v>0</v>
      </c>
      <c r="U624">
        <f t="shared" si="126"/>
        <v>0</v>
      </c>
      <c r="V624">
        <f t="shared" si="127"/>
        <v>0</v>
      </c>
      <c r="W624">
        <f t="shared" si="128"/>
        <v>0</v>
      </c>
      <c r="X624">
        <f t="shared" si="129"/>
        <v>0</v>
      </c>
      <c r="Y624">
        <f t="shared" si="130"/>
        <v>0</v>
      </c>
      <c r="Z624">
        <f t="shared" si="131"/>
        <v>1</v>
      </c>
      <c r="AA624">
        <f t="shared" si="132"/>
        <v>0</v>
      </c>
    </row>
    <row r="625" spans="2:27" x14ac:dyDescent="0.3">
      <c r="B625">
        <v>618</v>
      </c>
      <c r="C625" s="1">
        <v>41161</v>
      </c>
      <c r="D625">
        <v>3</v>
      </c>
      <c r="E625">
        <v>1</v>
      </c>
      <c r="F625">
        <v>9</v>
      </c>
      <c r="G625">
        <v>0</v>
      </c>
      <c r="H625">
        <v>1</v>
      </c>
      <c r="I625">
        <v>2570</v>
      </c>
      <c r="J625">
        <v>5657</v>
      </c>
      <c r="K625" s="8">
        <v>8227</v>
      </c>
      <c r="L625" s="12">
        <v>28.946249999999999</v>
      </c>
      <c r="M625" s="12">
        <v>54.75</v>
      </c>
      <c r="N625" s="12">
        <v>15.041232000000001</v>
      </c>
      <c r="O625" s="13">
        <f t="shared" si="120"/>
        <v>1.9229702819173347</v>
      </c>
      <c r="P625" s="6">
        <f t="shared" si="121"/>
        <v>0.64213214373457206</v>
      </c>
      <c r="Q625" s="6">
        <f t="shared" si="122"/>
        <v>-0.5648361974864532</v>
      </c>
      <c r="R625" s="6">
        <f t="shared" si="123"/>
        <v>0.43914851435619567</v>
      </c>
      <c r="S625">
        <f t="shared" si="124"/>
        <v>0</v>
      </c>
      <c r="T625">
        <f t="shared" si="125"/>
        <v>0</v>
      </c>
      <c r="U625">
        <f t="shared" si="126"/>
        <v>0</v>
      </c>
      <c r="V625">
        <f t="shared" si="127"/>
        <v>0</v>
      </c>
      <c r="W625">
        <f t="shared" si="128"/>
        <v>0</v>
      </c>
      <c r="X625">
        <f t="shared" si="129"/>
        <v>0</v>
      </c>
      <c r="Y625">
        <f t="shared" si="130"/>
        <v>0</v>
      </c>
      <c r="Z625">
        <f t="shared" si="131"/>
        <v>1</v>
      </c>
      <c r="AA625">
        <f t="shared" si="132"/>
        <v>0</v>
      </c>
    </row>
    <row r="626" spans="2:27" x14ac:dyDescent="0.3">
      <c r="B626">
        <v>619</v>
      </c>
      <c r="C626" s="1">
        <v>41162</v>
      </c>
      <c r="D626">
        <v>3</v>
      </c>
      <c r="E626">
        <v>1</v>
      </c>
      <c r="F626">
        <v>9</v>
      </c>
      <c r="G626">
        <v>1</v>
      </c>
      <c r="H626">
        <v>1</v>
      </c>
      <c r="I626">
        <v>1118</v>
      </c>
      <c r="J626">
        <v>6407</v>
      </c>
      <c r="K626" s="8">
        <v>7525</v>
      </c>
      <c r="L626" s="12">
        <v>28.282699999999998</v>
      </c>
      <c r="M626" s="12">
        <v>50.375</v>
      </c>
      <c r="N626" s="12">
        <v>17.333770999999999</v>
      </c>
      <c r="O626" s="13">
        <f t="shared" si="120"/>
        <v>1.5603456150135484</v>
      </c>
      <c r="P626" s="6">
        <f t="shared" si="121"/>
        <v>0.56063981073390878</v>
      </c>
      <c r="Q626" s="6">
        <f t="shared" si="122"/>
        <v>-0.872216901237158</v>
      </c>
      <c r="R626" s="6">
        <f t="shared" si="123"/>
        <v>0.88097263132294179</v>
      </c>
      <c r="S626">
        <f t="shared" si="124"/>
        <v>1</v>
      </c>
      <c r="T626">
        <f t="shared" si="125"/>
        <v>0</v>
      </c>
      <c r="U626">
        <f t="shared" si="126"/>
        <v>0</v>
      </c>
      <c r="V626">
        <f t="shared" si="127"/>
        <v>0</v>
      </c>
      <c r="W626">
        <f t="shared" si="128"/>
        <v>0</v>
      </c>
      <c r="X626">
        <f t="shared" si="129"/>
        <v>0</v>
      </c>
      <c r="Y626">
        <f t="shared" si="130"/>
        <v>0</v>
      </c>
      <c r="Z626">
        <f t="shared" si="131"/>
        <v>1</v>
      </c>
      <c r="AA626">
        <f t="shared" si="132"/>
        <v>0</v>
      </c>
    </row>
    <row r="627" spans="2:27" x14ac:dyDescent="0.3">
      <c r="B627">
        <v>620</v>
      </c>
      <c r="C627" s="1">
        <v>41163</v>
      </c>
      <c r="D627">
        <v>3</v>
      </c>
      <c r="E627">
        <v>1</v>
      </c>
      <c r="F627">
        <v>9</v>
      </c>
      <c r="G627">
        <v>2</v>
      </c>
      <c r="H627">
        <v>1</v>
      </c>
      <c r="I627">
        <v>1070</v>
      </c>
      <c r="J627">
        <v>6697</v>
      </c>
      <c r="K627" s="8">
        <v>7767</v>
      </c>
      <c r="L627" s="12">
        <v>27.714600000000001</v>
      </c>
      <c r="M627" s="12">
        <v>52</v>
      </c>
      <c r="N627" s="12">
        <v>6.1676314000000003</v>
      </c>
      <c r="O627" s="13">
        <f t="shared" si="120"/>
        <v>1.6853529788179875</v>
      </c>
      <c r="P627" s="6">
        <f t="shared" si="121"/>
        <v>0.49086994504529974</v>
      </c>
      <c r="Q627" s="6">
        <f t="shared" si="122"/>
        <v>-0.75804692555832476</v>
      </c>
      <c r="R627" s="6">
        <f t="shared" si="123"/>
        <v>-1.2709950205675689</v>
      </c>
      <c r="S627">
        <f t="shared" si="124"/>
        <v>0</v>
      </c>
      <c r="T627">
        <f t="shared" si="125"/>
        <v>1</v>
      </c>
      <c r="U627">
        <f t="shared" si="126"/>
        <v>0</v>
      </c>
      <c r="V627">
        <f t="shared" si="127"/>
        <v>0</v>
      </c>
      <c r="W627">
        <f t="shared" si="128"/>
        <v>0</v>
      </c>
      <c r="X627">
        <f t="shared" si="129"/>
        <v>0</v>
      </c>
      <c r="Y627">
        <f t="shared" si="130"/>
        <v>0</v>
      </c>
      <c r="Z627">
        <f t="shared" si="131"/>
        <v>1</v>
      </c>
      <c r="AA627">
        <f t="shared" si="132"/>
        <v>0</v>
      </c>
    </row>
    <row r="628" spans="2:27" x14ac:dyDescent="0.3">
      <c r="B628">
        <v>621</v>
      </c>
      <c r="C628" s="1">
        <v>41164</v>
      </c>
      <c r="D628">
        <v>3</v>
      </c>
      <c r="E628">
        <v>1</v>
      </c>
      <c r="F628">
        <v>9</v>
      </c>
      <c r="G628">
        <v>3</v>
      </c>
      <c r="H628">
        <v>1</v>
      </c>
      <c r="I628">
        <v>1050</v>
      </c>
      <c r="J628">
        <v>6820</v>
      </c>
      <c r="K628" s="8">
        <v>7870</v>
      </c>
      <c r="L628" s="12">
        <v>28.50375</v>
      </c>
      <c r="M628" s="12">
        <v>57.708300000000001</v>
      </c>
      <c r="N628" s="12">
        <v>8.8336819999999996</v>
      </c>
      <c r="O628" s="13">
        <f t="shared" si="120"/>
        <v>1.7385585923380587</v>
      </c>
      <c r="P628" s="6">
        <f t="shared" si="121"/>
        <v>0.58778754671431233</v>
      </c>
      <c r="Q628" s="6">
        <f t="shared" si="122"/>
        <v>-0.35699063499371947</v>
      </c>
      <c r="R628" s="6">
        <f t="shared" si="123"/>
        <v>-0.7571867703551779</v>
      </c>
      <c r="S628">
        <f t="shared" si="124"/>
        <v>0</v>
      </c>
      <c r="T628">
        <f t="shared" si="125"/>
        <v>0</v>
      </c>
      <c r="U628">
        <f t="shared" si="126"/>
        <v>1</v>
      </c>
      <c r="V628">
        <f t="shared" si="127"/>
        <v>0</v>
      </c>
      <c r="W628">
        <f t="shared" si="128"/>
        <v>0</v>
      </c>
      <c r="X628">
        <f t="shared" si="129"/>
        <v>0</v>
      </c>
      <c r="Y628">
        <f t="shared" si="130"/>
        <v>0</v>
      </c>
      <c r="Z628">
        <f t="shared" si="131"/>
        <v>1</v>
      </c>
      <c r="AA628">
        <f t="shared" si="132"/>
        <v>0</v>
      </c>
    </row>
    <row r="629" spans="2:27" x14ac:dyDescent="0.3">
      <c r="B629">
        <v>622</v>
      </c>
      <c r="C629" s="1">
        <v>41165</v>
      </c>
      <c r="D629">
        <v>3</v>
      </c>
      <c r="E629">
        <v>1</v>
      </c>
      <c r="F629">
        <v>9</v>
      </c>
      <c r="G629">
        <v>4</v>
      </c>
      <c r="H629">
        <v>1</v>
      </c>
      <c r="I629">
        <v>1054</v>
      </c>
      <c r="J629">
        <v>6750</v>
      </c>
      <c r="K629" s="8">
        <v>7804</v>
      </c>
      <c r="L629" s="12">
        <v>28.977900000000002</v>
      </c>
      <c r="M629" s="12">
        <v>63.708300000000001</v>
      </c>
      <c r="N629" s="12">
        <v>5.5422935999999998</v>
      </c>
      <c r="O629" s="13">
        <f t="shared" si="120"/>
        <v>1.7044656749368481</v>
      </c>
      <c r="P629" s="6">
        <f t="shared" si="121"/>
        <v>0.6460191640638181</v>
      </c>
      <c r="Q629" s="6">
        <f t="shared" si="122"/>
        <v>6.4560044435818517E-2</v>
      </c>
      <c r="R629" s="6">
        <f t="shared" si="123"/>
        <v>-1.3915117582505168</v>
      </c>
      <c r="S629">
        <f t="shared" si="124"/>
        <v>0</v>
      </c>
      <c r="T629">
        <f t="shared" si="125"/>
        <v>0</v>
      </c>
      <c r="U629">
        <f t="shared" si="126"/>
        <v>0</v>
      </c>
      <c r="V629">
        <f t="shared" si="127"/>
        <v>1</v>
      </c>
      <c r="W629">
        <f t="shared" si="128"/>
        <v>0</v>
      </c>
      <c r="X629">
        <f t="shared" si="129"/>
        <v>0</v>
      </c>
      <c r="Y629">
        <f t="shared" si="130"/>
        <v>0</v>
      </c>
      <c r="Z629">
        <f t="shared" si="131"/>
        <v>1</v>
      </c>
      <c r="AA629">
        <f t="shared" si="132"/>
        <v>0</v>
      </c>
    </row>
    <row r="630" spans="2:27" x14ac:dyDescent="0.3">
      <c r="B630">
        <v>623</v>
      </c>
      <c r="C630" s="1">
        <v>41166</v>
      </c>
      <c r="D630">
        <v>3</v>
      </c>
      <c r="E630">
        <v>1</v>
      </c>
      <c r="F630">
        <v>9</v>
      </c>
      <c r="G630">
        <v>5</v>
      </c>
      <c r="H630">
        <v>1</v>
      </c>
      <c r="I630">
        <v>1379</v>
      </c>
      <c r="J630">
        <v>6630</v>
      </c>
      <c r="K630" s="8">
        <v>8009</v>
      </c>
      <c r="L630" s="12">
        <v>29.704149999999998</v>
      </c>
      <c r="M630" s="12">
        <v>67.25</v>
      </c>
      <c r="N630" s="12">
        <v>6.9588210000000004</v>
      </c>
      <c r="O630" s="13">
        <f t="shared" si="120"/>
        <v>1.8103603426224266</v>
      </c>
      <c r="P630" s="6">
        <f t="shared" si="121"/>
        <v>0.73521185013379231</v>
      </c>
      <c r="Q630" s="6">
        <f t="shared" si="122"/>
        <v>0.31339438465841751</v>
      </c>
      <c r="R630" s="6">
        <f t="shared" si="123"/>
        <v>-1.1185148898595314</v>
      </c>
      <c r="S630">
        <f t="shared" si="124"/>
        <v>0</v>
      </c>
      <c r="T630">
        <f t="shared" si="125"/>
        <v>0</v>
      </c>
      <c r="U630">
        <f t="shared" si="126"/>
        <v>0</v>
      </c>
      <c r="V630">
        <f t="shared" si="127"/>
        <v>0</v>
      </c>
      <c r="W630">
        <f t="shared" si="128"/>
        <v>1</v>
      </c>
      <c r="X630">
        <f t="shared" si="129"/>
        <v>0</v>
      </c>
      <c r="Y630">
        <f t="shared" si="130"/>
        <v>0</v>
      </c>
      <c r="Z630">
        <f t="shared" si="131"/>
        <v>1</v>
      </c>
      <c r="AA630">
        <f t="shared" si="132"/>
        <v>0</v>
      </c>
    </row>
    <row r="631" spans="2:27" x14ac:dyDescent="0.3">
      <c r="B631">
        <v>624</v>
      </c>
      <c r="C631" s="1">
        <v>41167</v>
      </c>
      <c r="D631">
        <v>3</v>
      </c>
      <c r="E631">
        <v>1</v>
      </c>
      <c r="F631">
        <v>9</v>
      </c>
      <c r="G631">
        <v>6</v>
      </c>
      <c r="H631">
        <v>1</v>
      </c>
      <c r="I631">
        <v>3160</v>
      </c>
      <c r="J631">
        <v>5554</v>
      </c>
      <c r="K631" s="8">
        <v>8714</v>
      </c>
      <c r="L631" s="12">
        <v>29.29335</v>
      </c>
      <c r="M631" s="12">
        <v>50.166699999999999</v>
      </c>
      <c r="N631" s="12">
        <v>16.583907</v>
      </c>
      <c r="O631" s="13">
        <f t="shared" si="120"/>
        <v>2.1745346875899041</v>
      </c>
      <c r="P631" s="6">
        <f t="shared" si="121"/>
        <v>0.68476041407521004</v>
      </c>
      <c r="Q631" s="6">
        <f t="shared" si="122"/>
        <v>-0.88685173565802022</v>
      </c>
      <c r="R631" s="6">
        <f t="shared" si="123"/>
        <v>0.73645687841965335</v>
      </c>
      <c r="S631">
        <f t="shared" si="124"/>
        <v>0</v>
      </c>
      <c r="T631">
        <f t="shared" si="125"/>
        <v>0</v>
      </c>
      <c r="U631">
        <f t="shared" si="126"/>
        <v>0</v>
      </c>
      <c r="V631">
        <f t="shared" si="127"/>
        <v>0</v>
      </c>
      <c r="W631">
        <f t="shared" si="128"/>
        <v>0</v>
      </c>
      <c r="X631">
        <f t="shared" si="129"/>
        <v>0</v>
      </c>
      <c r="Y631">
        <f t="shared" si="130"/>
        <v>0</v>
      </c>
      <c r="Z631">
        <f t="shared" si="131"/>
        <v>1</v>
      </c>
      <c r="AA631">
        <f t="shared" si="132"/>
        <v>0</v>
      </c>
    </row>
    <row r="632" spans="2:27" x14ac:dyDescent="0.3">
      <c r="B632">
        <v>625</v>
      </c>
      <c r="C632" s="1">
        <v>41168</v>
      </c>
      <c r="D632">
        <v>3</v>
      </c>
      <c r="E632">
        <v>1</v>
      </c>
      <c r="F632">
        <v>9</v>
      </c>
      <c r="G632">
        <v>0</v>
      </c>
      <c r="H632">
        <v>1</v>
      </c>
      <c r="I632">
        <v>2166</v>
      </c>
      <c r="J632">
        <v>5167</v>
      </c>
      <c r="K632" s="8">
        <v>7333</v>
      </c>
      <c r="L632" s="12">
        <v>28.15625</v>
      </c>
      <c r="M632" s="12">
        <v>57</v>
      </c>
      <c r="N632" s="12">
        <v>6.0422811000000003</v>
      </c>
      <c r="O632" s="13">
        <f t="shared" si="120"/>
        <v>1.4611662189372991</v>
      </c>
      <c r="P632" s="6">
        <f t="shared" si="121"/>
        <v>0.54511015131422114</v>
      </c>
      <c r="Q632" s="6">
        <f t="shared" si="122"/>
        <v>-0.40675469270037651</v>
      </c>
      <c r="R632" s="6">
        <f t="shared" si="123"/>
        <v>-1.2951528584970509</v>
      </c>
      <c r="S632">
        <f t="shared" si="124"/>
        <v>0</v>
      </c>
      <c r="T632">
        <f t="shared" si="125"/>
        <v>0</v>
      </c>
      <c r="U632">
        <f t="shared" si="126"/>
        <v>0</v>
      </c>
      <c r="V632">
        <f t="shared" si="127"/>
        <v>0</v>
      </c>
      <c r="W632">
        <f t="shared" si="128"/>
        <v>0</v>
      </c>
      <c r="X632">
        <f t="shared" si="129"/>
        <v>0</v>
      </c>
      <c r="Y632">
        <f t="shared" si="130"/>
        <v>0</v>
      </c>
      <c r="Z632">
        <f t="shared" si="131"/>
        <v>1</v>
      </c>
      <c r="AA632">
        <f t="shared" si="132"/>
        <v>0</v>
      </c>
    </row>
    <row r="633" spans="2:27" x14ac:dyDescent="0.3">
      <c r="B633">
        <v>626</v>
      </c>
      <c r="C633" s="1">
        <v>41169</v>
      </c>
      <c r="D633">
        <v>3</v>
      </c>
      <c r="E633">
        <v>1</v>
      </c>
      <c r="F633">
        <v>9</v>
      </c>
      <c r="G633">
        <v>1</v>
      </c>
      <c r="H633">
        <v>2</v>
      </c>
      <c r="I633">
        <v>1022</v>
      </c>
      <c r="J633">
        <v>5847</v>
      </c>
      <c r="K633" s="8">
        <v>6869</v>
      </c>
      <c r="L633" s="12">
        <v>27.6525</v>
      </c>
      <c r="M633" s="12">
        <v>73.458299999999994</v>
      </c>
      <c r="N633" s="12">
        <v>10.166714000000001</v>
      </c>
      <c r="O633" s="13">
        <f t="shared" si="120"/>
        <v>1.221482678419697</v>
      </c>
      <c r="P633" s="6">
        <f t="shared" si="121"/>
        <v>0.48324327956516822</v>
      </c>
      <c r="Q633" s="6">
        <f t="shared" si="122"/>
        <v>0.74957989850881723</v>
      </c>
      <c r="R633" s="6">
        <f t="shared" si="123"/>
        <v>-0.50028135400744445</v>
      </c>
      <c r="S633">
        <f t="shared" si="124"/>
        <v>1</v>
      </c>
      <c r="T633">
        <f t="shared" si="125"/>
        <v>0</v>
      </c>
      <c r="U633">
        <f t="shared" si="126"/>
        <v>0</v>
      </c>
      <c r="V633">
        <f t="shared" si="127"/>
        <v>0</v>
      </c>
      <c r="W633">
        <f t="shared" si="128"/>
        <v>0</v>
      </c>
      <c r="X633">
        <f t="shared" si="129"/>
        <v>0</v>
      </c>
      <c r="Y633">
        <f t="shared" si="130"/>
        <v>0</v>
      </c>
      <c r="Z633">
        <f t="shared" si="131"/>
        <v>1</v>
      </c>
      <c r="AA633">
        <f t="shared" si="132"/>
        <v>0</v>
      </c>
    </row>
    <row r="634" spans="2:27" x14ac:dyDescent="0.3">
      <c r="B634">
        <v>627</v>
      </c>
      <c r="C634" s="1">
        <v>41170</v>
      </c>
      <c r="D634">
        <v>3</v>
      </c>
      <c r="E634">
        <v>1</v>
      </c>
      <c r="F634">
        <v>9</v>
      </c>
      <c r="G634">
        <v>2</v>
      </c>
      <c r="H634">
        <v>2</v>
      </c>
      <c r="I634">
        <v>371</v>
      </c>
      <c r="J634">
        <v>3702</v>
      </c>
      <c r="K634" s="8">
        <v>4073</v>
      </c>
      <c r="L634" s="12">
        <v>28.253350000000001</v>
      </c>
      <c r="M634" s="12">
        <v>87.25</v>
      </c>
      <c r="N634" s="12">
        <v>23.958328999999999</v>
      </c>
      <c r="O634" s="13">
        <f t="shared" si="120"/>
        <v>-0.22281727694068204</v>
      </c>
      <c r="P634" s="6">
        <f t="shared" si="121"/>
        <v>0.55703525949652011</v>
      </c>
      <c r="Q634" s="6">
        <f t="shared" si="122"/>
        <v>1.7185633160902107</v>
      </c>
      <c r="R634" s="6">
        <f t="shared" si="123"/>
        <v>2.1576747893429347</v>
      </c>
      <c r="S634">
        <f t="shared" si="124"/>
        <v>0</v>
      </c>
      <c r="T634">
        <f t="shared" si="125"/>
        <v>1</v>
      </c>
      <c r="U634">
        <f t="shared" si="126"/>
        <v>0</v>
      </c>
      <c r="V634">
        <f t="shared" si="127"/>
        <v>0</v>
      </c>
      <c r="W634">
        <f t="shared" si="128"/>
        <v>0</v>
      </c>
      <c r="X634">
        <f t="shared" si="129"/>
        <v>0</v>
      </c>
      <c r="Y634">
        <f t="shared" si="130"/>
        <v>0</v>
      </c>
      <c r="Z634">
        <f t="shared" si="131"/>
        <v>1</v>
      </c>
      <c r="AA634">
        <f t="shared" si="132"/>
        <v>0</v>
      </c>
    </row>
    <row r="635" spans="2:27" x14ac:dyDescent="0.3">
      <c r="B635">
        <v>628</v>
      </c>
      <c r="C635" s="1">
        <v>41171</v>
      </c>
      <c r="D635">
        <v>3</v>
      </c>
      <c r="E635">
        <v>1</v>
      </c>
      <c r="F635">
        <v>9</v>
      </c>
      <c r="G635">
        <v>3</v>
      </c>
      <c r="H635">
        <v>1</v>
      </c>
      <c r="I635">
        <v>788</v>
      </c>
      <c r="J635">
        <v>6803</v>
      </c>
      <c r="K635" s="8">
        <v>7591</v>
      </c>
      <c r="L635" s="12">
        <v>27.020199999999999</v>
      </c>
      <c r="M635" s="12">
        <v>53.666699999999999</v>
      </c>
      <c r="N635" s="12">
        <v>14.416725</v>
      </c>
      <c r="O635" s="13">
        <f t="shared" si="120"/>
        <v>1.5944385324147592</v>
      </c>
      <c r="P635" s="6">
        <f t="shared" si="121"/>
        <v>0.40558884183429733</v>
      </c>
      <c r="Q635" s="6">
        <f t="shared" si="122"/>
        <v>-0.64094717265745638</v>
      </c>
      <c r="R635" s="6">
        <f t="shared" si="123"/>
        <v>0.31879189062392654</v>
      </c>
      <c r="S635">
        <f t="shared" si="124"/>
        <v>0</v>
      </c>
      <c r="T635">
        <f t="shared" si="125"/>
        <v>0</v>
      </c>
      <c r="U635">
        <f t="shared" si="126"/>
        <v>1</v>
      </c>
      <c r="V635">
        <f t="shared" si="127"/>
        <v>0</v>
      </c>
      <c r="W635">
        <f t="shared" si="128"/>
        <v>0</v>
      </c>
      <c r="X635">
        <f t="shared" si="129"/>
        <v>0</v>
      </c>
      <c r="Y635">
        <f t="shared" si="130"/>
        <v>0</v>
      </c>
      <c r="Z635">
        <f t="shared" si="131"/>
        <v>1</v>
      </c>
      <c r="AA635">
        <f t="shared" si="132"/>
        <v>0</v>
      </c>
    </row>
    <row r="636" spans="2:27" x14ac:dyDescent="0.3">
      <c r="B636">
        <v>629</v>
      </c>
      <c r="C636" s="1">
        <v>41172</v>
      </c>
      <c r="D636">
        <v>3</v>
      </c>
      <c r="E636">
        <v>1</v>
      </c>
      <c r="F636">
        <v>9</v>
      </c>
      <c r="G636">
        <v>4</v>
      </c>
      <c r="H636">
        <v>1</v>
      </c>
      <c r="I636">
        <v>939</v>
      </c>
      <c r="J636">
        <v>6781</v>
      </c>
      <c r="K636" s="8">
        <v>7720</v>
      </c>
      <c r="L636" s="12">
        <v>26.6096</v>
      </c>
      <c r="M636" s="12">
        <v>61.833300000000001</v>
      </c>
      <c r="N636" s="12">
        <v>7.9171889999999996</v>
      </c>
      <c r="O636" s="13">
        <f t="shared" si="120"/>
        <v>1.6610746891534891</v>
      </c>
      <c r="P636" s="6">
        <f t="shared" si="121"/>
        <v>0.35516196830544161</v>
      </c>
      <c r="Q636" s="6">
        <f t="shared" si="122"/>
        <v>-6.7174542885912097E-2</v>
      </c>
      <c r="R636" s="6">
        <f t="shared" si="123"/>
        <v>-0.93381570030193317</v>
      </c>
      <c r="S636">
        <f t="shared" si="124"/>
        <v>0</v>
      </c>
      <c r="T636">
        <f t="shared" si="125"/>
        <v>0</v>
      </c>
      <c r="U636">
        <f t="shared" si="126"/>
        <v>0</v>
      </c>
      <c r="V636">
        <f t="shared" si="127"/>
        <v>1</v>
      </c>
      <c r="W636">
        <f t="shared" si="128"/>
        <v>0</v>
      </c>
      <c r="X636">
        <f t="shared" si="129"/>
        <v>0</v>
      </c>
      <c r="Y636">
        <f t="shared" si="130"/>
        <v>0</v>
      </c>
      <c r="Z636">
        <f t="shared" si="131"/>
        <v>1</v>
      </c>
      <c r="AA636">
        <f t="shared" si="132"/>
        <v>0</v>
      </c>
    </row>
    <row r="637" spans="2:27" x14ac:dyDescent="0.3">
      <c r="B637">
        <v>630</v>
      </c>
      <c r="C637" s="1">
        <v>41173</v>
      </c>
      <c r="D637">
        <v>3</v>
      </c>
      <c r="E637">
        <v>1</v>
      </c>
      <c r="F637">
        <v>9</v>
      </c>
      <c r="G637">
        <v>5</v>
      </c>
      <c r="H637">
        <v>1</v>
      </c>
      <c r="I637">
        <v>1250</v>
      </c>
      <c r="J637">
        <v>6917</v>
      </c>
      <c r="K637" s="8">
        <v>8167</v>
      </c>
      <c r="L637" s="12">
        <v>28.598549999999999</v>
      </c>
      <c r="M637" s="12">
        <v>66.875</v>
      </c>
      <c r="N637" s="12">
        <v>10.333342999999999</v>
      </c>
      <c r="O637" s="13">
        <f t="shared" si="120"/>
        <v>1.8919767206435067</v>
      </c>
      <c r="P637" s="6">
        <f t="shared" si="121"/>
        <v>0.59943018580475438</v>
      </c>
      <c r="Q637" s="6">
        <f t="shared" si="122"/>
        <v>0.28704746719407143</v>
      </c>
      <c r="R637" s="6">
        <f t="shared" si="123"/>
        <v>-0.46816817696397811</v>
      </c>
      <c r="S637">
        <f t="shared" si="124"/>
        <v>0</v>
      </c>
      <c r="T637">
        <f t="shared" si="125"/>
        <v>0</v>
      </c>
      <c r="U637">
        <f t="shared" si="126"/>
        <v>0</v>
      </c>
      <c r="V637">
        <f t="shared" si="127"/>
        <v>0</v>
      </c>
      <c r="W637">
        <f t="shared" si="128"/>
        <v>1</v>
      </c>
      <c r="X637">
        <f t="shared" si="129"/>
        <v>0</v>
      </c>
      <c r="Y637">
        <f t="shared" si="130"/>
        <v>0</v>
      </c>
      <c r="Z637">
        <f t="shared" si="131"/>
        <v>1</v>
      </c>
      <c r="AA637">
        <f t="shared" si="132"/>
        <v>0</v>
      </c>
    </row>
    <row r="638" spans="2:27" x14ac:dyDescent="0.3">
      <c r="B638">
        <v>631</v>
      </c>
      <c r="C638" s="1">
        <v>41174</v>
      </c>
      <c r="D638">
        <v>3</v>
      </c>
      <c r="E638">
        <v>1</v>
      </c>
      <c r="F638">
        <v>9</v>
      </c>
      <c r="G638">
        <v>6</v>
      </c>
      <c r="H638">
        <v>1</v>
      </c>
      <c r="I638">
        <v>2512</v>
      </c>
      <c r="J638">
        <v>5883</v>
      </c>
      <c r="K638" s="8">
        <v>8395</v>
      </c>
      <c r="L638" s="12">
        <v>30.5244</v>
      </c>
      <c r="M638" s="12">
        <v>64.666700000000006</v>
      </c>
      <c r="N638" s="12">
        <v>19.000060999999999</v>
      </c>
      <c r="O638" s="13">
        <f t="shared" si="120"/>
        <v>2.0097522534840526</v>
      </c>
      <c r="P638" s="6">
        <f t="shared" si="121"/>
        <v>0.8359489251753025</v>
      </c>
      <c r="Q638" s="6">
        <f t="shared" si="122"/>
        <v>0.13189573963003037</v>
      </c>
      <c r="R638" s="6">
        <f t="shared" si="123"/>
        <v>1.2021044017576084</v>
      </c>
      <c r="S638">
        <f t="shared" si="124"/>
        <v>0</v>
      </c>
      <c r="T638">
        <f t="shared" si="125"/>
        <v>0</v>
      </c>
      <c r="U638">
        <f t="shared" si="126"/>
        <v>0</v>
      </c>
      <c r="V638">
        <f t="shared" si="127"/>
        <v>0</v>
      </c>
      <c r="W638">
        <f t="shared" si="128"/>
        <v>0</v>
      </c>
      <c r="X638">
        <f t="shared" si="129"/>
        <v>0</v>
      </c>
      <c r="Y638">
        <f t="shared" si="130"/>
        <v>0</v>
      </c>
      <c r="Z638">
        <f t="shared" si="131"/>
        <v>1</v>
      </c>
      <c r="AA638">
        <f t="shared" si="132"/>
        <v>0</v>
      </c>
    </row>
    <row r="639" spans="2:27" x14ac:dyDescent="0.3">
      <c r="B639">
        <v>632</v>
      </c>
      <c r="C639" s="1">
        <v>41175</v>
      </c>
      <c r="D639">
        <v>4</v>
      </c>
      <c r="E639">
        <v>1</v>
      </c>
      <c r="F639">
        <v>9</v>
      </c>
      <c r="G639">
        <v>0</v>
      </c>
      <c r="H639">
        <v>1</v>
      </c>
      <c r="I639">
        <v>2454</v>
      </c>
      <c r="J639">
        <v>5453</v>
      </c>
      <c r="K639" s="8">
        <v>7907</v>
      </c>
      <c r="L639" s="12">
        <v>25.946650000000002</v>
      </c>
      <c r="M639" s="12">
        <v>46.708300000000001</v>
      </c>
      <c r="N639" s="12">
        <v>14.958285999999999</v>
      </c>
      <c r="O639" s="13">
        <f t="shared" si="120"/>
        <v>1.7576712884569192</v>
      </c>
      <c r="P639" s="6">
        <f t="shared" si="121"/>
        <v>0.27374332289395858</v>
      </c>
      <c r="Q639" s="6">
        <f t="shared" si="122"/>
        <v>-1.1298335472812058</v>
      </c>
      <c r="R639" s="6">
        <f t="shared" si="123"/>
        <v>0.42316294411903749</v>
      </c>
      <c r="S639">
        <f t="shared" si="124"/>
        <v>0</v>
      </c>
      <c r="T639">
        <f t="shared" si="125"/>
        <v>0</v>
      </c>
      <c r="U639">
        <f t="shared" si="126"/>
        <v>0</v>
      </c>
      <c r="V639">
        <f t="shared" si="127"/>
        <v>0</v>
      </c>
      <c r="W639">
        <f t="shared" si="128"/>
        <v>0</v>
      </c>
      <c r="X639">
        <f t="shared" si="129"/>
        <v>0</v>
      </c>
      <c r="Y639">
        <f t="shared" si="130"/>
        <v>0</v>
      </c>
      <c r="Z639">
        <f t="shared" si="131"/>
        <v>0</v>
      </c>
      <c r="AA639">
        <f t="shared" si="132"/>
        <v>1</v>
      </c>
    </row>
    <row r="640" spans="2:27" x14ac:dyDescent="0.3">
      <c r="B640">
        <v>633</v>
      </c>
      <c r="C640" s="1">
        <v>41176</v>
      </c>
      <c r="D640">
        <v>4</v>
      </c>
      <c r="E640">
        <v>1</v>
      </c>
      <c r="F640">
        <v>9</v>
      </c>
      <c r="G640">
        <v>1</v>
      </c>
      <c r="H640">
        <v>1</v>
      </c>
      <c r="I640">
        <v>1001</v>
      </c>
      <c r="J640">
        <v>6435</v>
      </c>
      <c r="K640" s="8">
        <v>7436</v>
      </c>
      <c r="L640" s="12">
        <v>25.12565</v>
      </c>
      <c r="M640" s="12">
        <v>49.291699999999999</v>
      </c>
      <c r="N640" s="12">
        <v>9.5410679999999992</v>
      </c>
      <c r="O640" s="13">
        <f t="shared" si="120"/>
        <v>1.5143718324573705</v>
      </c>
      <c r="P640" s="6">
        <f t="shared" si="121"/>
        <v>0.17291413836597339</v>
      </c>
      <c r="Q640" s="6">
        <f t="shared" si="122"/>
        <v>-0.94832787640816119</v>
      </c>
      <c r="R640" s="6">
        <f t="shared" si="123"/>
        <v>-0.62085748880112857</v>
      </c>
      <c r="S640">
        <f t="shared" si="124"/>
        <v>1</v>
      </c>
      <c r="T640">
        <f t="shared" si="125"/>
        <v>0</v>
      </c>
      <c r="U640">
        <f t="shared" si="126"/>
        <v>0</v>
      </c>
      <c r="V640">
        <f t="shared" si="127"/>
        <v>0</v>
      </c>
      <c r="W640">
        <f t="shared" si="128"/>
        <v>0</v>
      </c>
      <c r="X640">
        <f t="shared" si="129"/>
        <v>0</v>
      </c>
      <c r="Y640">
        <f t="shared" si="130"/>
        <v>0</v>
      </c>
      <c r="Z640">
        <f t="shared" si="131"/>
        <v>0</v>
      </c>
      <c r="AA640">
        <f t="shared" si="132"/>
        <v>1</v>
      </c>
    </row>
    <row r="641" spans="2:27" x14ac:dyDescent="0.3">
      <c r="B641">
        <v>634</v>
      </c>
      <c r="C641" s="1">
        <v>41177</v>
      </c>
      <c r="D641">
        <v>4</v>
      </c>
      <c r="E641">
        <v>1</v>
      </c>
      <c r="F641">
        <v>9</v>
      </c>
      <c r="G641">
        <v>2</v>
      </c>
      <c r="H641">
        <v>1</v>
      </c>
      <c r="I641">
        <v>845</v>
      </c>
      <c r="J641">
        <v>6693</v>
      </c>
      <c r="K641" s="8">
        <v>7538</v>
      </c>
      <c r="L641" s="12">
        <v>27.208950000000002</v>
      </c>
      <c r="M641" s="12">
        <v>57</v>
      </c>
      <c r="N641" s="12">
        <v>15.833507000000001</v>
      </c>
      <c r="O641" s="13">
        <f t="shared" si="120"/>
        <v>1.5670608866228779</v>
      </c>
      <c r="P641" s="6">
        <f t="shared" si="121"/>
        <v>0.42876972926384349</v>
      </c>
      <c r="Q641" s="6">
        <f t="shared" si="122"/>
        <v>-0.40675469270037651</v>
      </c>
      <c r="R641" s="6">
        <f t="shared" si="123"/>
        <v>0.59183782619334613</v>
      </c>
      <c r="S641">
        <f t="shared" si="124"/>
        <v>0</v>
      </c>
      <c r="T641">
        <f t="shared" si="125"/>
        <v>1</v>
      </c>
      <c r="U641">
        <f t="shared" si="126"/>
        <v>0</v>
      </c>
      <c r="V641">
        <f t="shared" si="127"/>
        <v>0</v>
      </c>
      <c r="W641">
        <f t="shared" si="128"/>
        <v>0</v>
      </c>
      <c r="X641">
        <f t="shared" si="129"/>
        <v>0</v>
      </c>
      <c r="Y641">
        <f t="shared" si="130"/>
        <v>0</v>
      </c>
      <c r="Z641">
        <f t="shared" si="131"/>
        <v>0</v>
      </c>
      <c r="AA641">
        <f t="shared" si="132"/>
        <v>1</v>
      </c>
    </row>
    <row r="642" spans="2:27" x14ac:dyDescent="0.3">
      <c r="B642">
        <v>635</v>
      </c>
      <c r="C642" s="1">
        <v>41178</v>
      </c>
      <c r="D642">
        <v>4</v>
      </c>
      <c r="E642">
        <v>1</v>
      </c>
      <c r="F642">
        <v>9</v>
      </c>
      <c r="G642">
        <v>3</v>
      </c>
      <c r="H642">
        <v>1</v>
      </c>
      <c r="I642">
        <v>787</v>
      </c>
      <c r="J642">
        <v>6946</v>
      </c>
      <c r="K642" s="8">
        <v>7733</v>
      </c>
      <c r="L642" s="12">
        <v>29.830649999999999</v>
      </c>
      <c r="M642" s="12">
        <v>63.083300000000001</v>
      </c>
      <c r="N642" s="12">
        <v>16.3748</v>
      </c>
      <c r="O642" s="13">
        <f t="shared" si="120"/>
        <v>1.6677899607628184</v>
      </c>
      <c r="P642" s="6">
        <f t="shared" si="121"/>
        <v>0.75074765018591183</v>
      </c>
      <c r="Q642" s="6">
        <f t="shared" si="122"/>
        <v>2.0648515328574975E-2</v>
      </c>
      <c r="R642" s="6">
        <f t="shared" si="123"/>
        <v>0.69615723002694763</v>
      </c>
      <c r="S642">
        <f t="shared" si="124"/>
        <v>0</v>
      </c>
      <c r="T642">
        <f t="shared" si="125"/>
        <v>0</v>
      </c>
      <c r="U642">
        <f t="shared" si="126"/>
        <v>1</v>
      </c>
      <c r="V642">
        <f t="shared" si="127"/>
        <v>0</v>
      </c>
      <c r="W642">
        <f t="shared" si="128"/>
        <v>0</v>
      </c>
      <c r="X642">
        <f t="shared" si="129"/>
        <v>0</v>
      </c>
      <c r="Y642">
        <f t="shared" si="130"/>
        <v>0</v>
      </c>
      <c r="Z642">
        <f t="shared" si="131"/>
        <v>0</v>
      </c>
      <c r="AA642">
        <f t="shared" si="132"/>
        <v>1</v>
      </c>
    </row>
    <row r="643" spans="2:27" x14ac:dyDescent="0.3">
      <c r="B643">
        <v>636</v>
      </c>
      <c r="C643" s="1">
        <v>41179</v>
      </c>
      <c r="D643">
        <v>4</v>
      </c>
      <c r="E643">
        <v>1</v>
      </c>
      <c r="F643">
        <v>9</v>
      </c>
      <c r="G643">
        <v>4</v>
      </c>
      <c r="H643">
        <v>2</v>
      </c>
      <c r="I643">
        <v>751</v>
      </c>
      <c r="J643">
        <v>6642</v>
      </c>
      <c r="K643" s="8">
        <v>7393</v>
      </c>
      <c r="L643" s="12">
        <v>30.39875</v>
      </c>
      <c r="M643" s="12">
        <v>69.083299999999994</v>
      </c>
      <c r="N643" s="12">
        <v>9.0009139999999999</v>
      </c>
      <c r="O643" s="13">
        <f t="shared" si="120"/>
        <v>1.4921597802111271</v>
      </c>
      <c r="P643" s="6">
        <f t="shared" si="121"/>
        <v>0.82051751587452137</v>
      </c>
      <c r="Q643" s="6">
        <f t="shared" si="122"/>
        <v>0.44219919475811242</v>
      </c>
      <c r="R643" s="6">
        <f t="shared" si="123"/>
        <v>-0.72495738157331502</v>
      </c>
      <c r="S643">
        <f t="shared" si="124"/>
        <v>0</v>
      </c>
      <c r="T643">
        <f t="shared" si="125"/>
        <v>0</v>
      </c>
      <c r="U643">
        <f t="shared" si="126"/>
        <v>0</v>
      </c>
      <c r="V643">
        <f t="shared" si="127"/>
        <v>1</v>
      </c>
      <c r="W643">
        <f t="shared" si="128"/>
        <v>0</v>
      </c>
      <c r="X643">
        <f t="shared" si="129"/>
        <v>0</v>
      </c>
      <c r="Y643">
        <f t="shared" si="130"/>
        <v>0</v>
      </c>
      <c r="Z643">
        <f t="shared" si="131"/>
        <v>0</v>
      </c>
      <c r="AA643">
        <f t="shared" si="132"/>
        <v>1</v>
      </c>
    </row>
    <row r="644" spans="2:27" x14ac:dyDescent="0.3">
      <c r="B644">
        <v>637</v>
      </c>
      <c r="C644" s="1">
        <v>41180</v>
      </c>
      <c r="D644">
        <v>4</v>
      </c>
      <c r="E644">
        <v>1</v>
      </c>
      <c r="F644">
        <v>9</v>
      </c>
      <c r="G644">
        <v>5</v>
      </c>
      <c r="H644">
        <v>2</v>
      </c>
      <c r="I644">
        <v>1045</v>
      </c>
      <c r="J644">
        <v>6370</v>
      </c>
      <c r="K644" s="8">
        <v>7415</v>
      </c>
      <c r="L644" s="12">
        <v>29.293150000000001</v>
      </c>
      <c r="M644" s="12">
        <v>69</v>
      </c>
      <c r="N644" s="12">
        <v>10.999993</v>
      </c>
      <c r="O644" s="13">
        <f t="shared" si="120"/>
        <v>1.5035240860115306</v>
      </c>
      <c r="P644" s="6">
        <f t="shared" si="121"/>
        <v>0.68473585154548344</v>
      </c>
      <c r="Q644" s="6">
        <f t="shared" si="122"/>
        <v>0.43634666615869944</v>
      </c>
      <c r="R644" s="6">
        <f t="shared" si="123"/>
        <v>-0.33968964395935664</v>
      </c>
      <c r="S644">
        <f t="shared" si="124"/>
        <v>0</v>
      </c>
      <c r="T644">
        <f t="shared" si="125"/>
        <v>0</v>
      </c>
      <c r="U644">
        <f t="shared" si="126"/>
        <v>0</v>
      </c>
      <c r="V644">
        <f t="shared" si="127"/>
        <v>0</v>
      </c>
      <c r="W644">
        <f t="shared" si="128"/>
        <v>1</v>
      </c>
      <c r="X644">
        <f t="shared" si="129"/>
        <v>0</v>
      </c>
      <c r="Y644">
        <f t="shared" si="130"/>
        <v>0</v>
      </c>
      <c r="Z644">
        <f t="shared" si="131"/>
        <v>0</v>
      </c>
      <c r="AA644">
        <f t="shared" si="132"/>
        <v>1</v>
      </c>
    </row>
    <row r="645" spans="2:27" x14ac:dyDescent="0.3">
      <c r="B645">
        <v>638</v>
      </c>
      <c r="C645" s="1">
        <v>41181</v>
      </c>
      <c r="D645">
        <v>4</v>
      </c>
      <c r="E645">
        <v>1</v>
      </c>
      <c r="F645">
        <v>9</v>
      </c>
      <c r="G645">
        <v>6</v>
      </c>
      <c r="H645">
        <v>1</v>
      </c>
      <c r="I645">
        <v>2589</v>
      </c>
      <c r="J645">
        <v>5966</v>
      </c>
      <c r="K645" s="8">
        <v>8555</v>
      </c>
      <c r="L645" s="12">
        <v>26.514800000000001</v>
      </c>
      <c r="M645" s="12">
        <v>54.291699999999999</v>
      </c>
      <c r="N645" s="12">
        <v>15.249468</v>
      </c>
      <c r="O645" s="13">
        <f t="shared" si="120"/>
        <v>2.0924017502142602</v>
      </c>
      <c r="P645" s="6">
        <f t="shared" si="121"/>
        <v>0.34351932921499956</v>
      </c>
      <c r="Q645" s="6">
        <f t="shared" si="122"/>
        <v>-0.59703564355021288</v>
      </c>
      <c r="R645" s="6">
        <f t="shared" si="123"/>
        <v>0.47928030134899585</v>
      </c>
      <c r="S645">
        <f t="shared" si="124"/>
        <v>0</v>
      </c>
      <c r="T645">
        <f t="shared" si="125"/>
        <v>0</v>
      </c>
      <c r="U645">
        <f t="shared" si="126"/>
        <v>0</v>
      </c>
      <c r="V645">
        <f t="shared" si="127"/>
        <v>0</v>
      </c>
      <c r="W645">
        <f t="shared" si="128"/>
        <v>0</v>
      </c>
      <c r="X645">
        <f t="shared" si="129"/>
        <v>0</v>
      </c>
      <c r="Y645">
        <f t="shared" si="130"/>
        <v>0</v>
      </c>
      <c r="Z645">
        <f t="shared" si="131"/>
        <v>0</v>
      </c>
      <c r="AA645">
        <f t="shared" si="132"/>
        <v>1</v>
      </c>
    </row>
    <row r="646" spans="2:27" x14ac:dyDescent="0.3">
      <c r="B646">
        <v>639</v>
      </c>
      <c r="C646" s="1">
        <v>41182</v>
      </c>
      <c r="D646">
        <v>4</v>
      </c>
      <c r="E646">
        <v>1</v>
      </c>
      <c r="F646">
        <v>9</v>
      </c>
      <c r="G646">
        <v>0</v>
      </c>
      <c r="H646">
        <v>1</v>
      </c>
      <c r="I646">
        <v>2015</v>
      </c>
      <c r="J646">
        <v>4874</v>
      </c>
      <c r="K646" s="8">
        <v>6889</v>
      </c>
      <c r="L646" s="12">
        <v>25.883150000000001</v>
      </c>
      <c r="M646" s="12">
        <v>58.333300000000001</v>
      </c>
      <c r="N646" s="12">
        <v>9.0421859999999992</v>
      </c>
      <c r="O646" s="13">
        <f t="shared" si="120"/>
        <v>1.2318138655109729</v>
      </c>
      <c r="P646" s="6">
        <f t="shared" si="121"/>
        <v>0.26594471970574035</v>
      </c>
      <c r="Q646" s="6">
        <f t="shared" si="122"/>
        <v>-0.31307910588647592</v>
      </c>
      <c r="R646" s="6">
        <f t="shared" si="123"/>
        <v>-0.71700333370086833</v>
      </c>
      <c r="S646">
        <f t="shared" si="124"/>
        <v>0</v>
      </c>
      <c r="T646">
        <f t="shared" si="125"/>
        <v>0</v>
      </c>
      <c r="U646">
        <f t="shared" si="126"/>
        <v>0</v>
      </c>
      <c r="V646">
        <f t="shared" si="127"/>
        <v>0</v>
      </c>
      <c r="W646">
        <f t="shared" si="128"/>
        <v>0</v>
      </c>
      <c r="X646">
        <f t="shared" si="129"/>
        <v>0</v>
      </c>
      <c r="Y646">
        <f t="shared" si="130"/>
        <v>0</v>
      </c>
      <c r="Z646">
        <f t="shared" si="131"/>
        <v>0</v>
      </c>
      <c r="AA646">
        <f t="shared" si="132"/>
        <v>1</v>
      </c>
    </row>
    <row r="647" spans="2:27" x14ac:dyDescent="0.3">
      <c r="B647">
        <v>640</v>
      </c>
      <c r="C647" s="1">
        <v>41183</v>
      </c>
      <c r="D647">
        <v>4</v>
      </c>
      <c r="E647">
        <v>1</v>
      </c>
      <c r="F647">
        <v>10</v>
      </c>
      <c r="G647">
        <v>1</v>
      </c>
      <c r="H647">
        <v>2</v>
      </c>
      <c r="I647">
        <v>763</v>
      </c>
      <c r="J647">
        <v>6015</v>
      </c>
      <c r="K647" s="8">
        <v>6778</v>
      </c>
      <c r="L647" s="12">
        <v>25.6</v>
      </c>
      <c r="M647" s="12">
        <v>64.916700000000006</v>
      </c>
      <c r="N647" s="12">
        <v>6.0838814000000001</v>
      </c>
      <c r="O647" s="13">
        <f t="shared" si="120"/>
        <v>1.1744757771543914</v>
      </c>
      <c r="P647" s="6">
        <f t="shared" si="121"/>
        <v>0.23117031824520581</v>
      </c>
      <c r="Q647" s="6">
        <f t="shared" si="122"/>
        <v>0.14946035127292778</v>
      </c>
      <c r="R647" s="6">
        <f t="shared" si="123"/>
        <v>-1.287135539789255</v>
      </c>
      <c r="S647">
        <f t="shared" si="124"/>
        <v>1</v>
      </c>
      <c r="T647">
        <f t="shared" si="125"/>
        <v>0</v>
      </c>
      <c r="U647">
        <f t="shared" si="126"/>
        <v>0</v>
      </c>
      <c r="V647">
        <f t="shared" si="127"/>
        <v>0</v>
      </c>
      <c r="W647">
        <f t="shared" si="128"/>
        <v>0</v>
      </c>
      <c r="X647">
        <f t="shared" si="129"/>
        <v>0</v>
      </c>
      <c r="Y647">
        <f t="shared" si="130"/>
        <v>0</v>
      </c>
      <c r="Z647">
        <f t="shared" si="131"/>
        <v>0</v>
      </c>
      <c r="AA647">
        <f t="shared" si="132"/>
        <v>1</v>
      </c>
    </row>
    <row r="648" spans="2:27" x14ac:dyDescent="0.3">
      <c r="B648">
        <v>641</v>
      </c>
      <c r="C648" s="1">
        <v>41184</v>
      </c>
      <c r="D648">
        <v>4</v>
      </c>
      <c r="E648">
        <v>1</v>
      </c>
      <c r="F648">
        <v>10</v>
      </c>
      <c r="G648">
        <v>2</v>
      </c>
      <c r="H648">
        <v>3</v>
      </c>
      <c r="I648">
        <v>315</v>
      </c>
      <c r="J648">
        <v>4324</v>
      </c>
      <c r="K648" s="8">
        <v>4639</v>
      </c>
      <c r="L648" s="12">
        <v>27.11665</v>
      </c>
      <c r="M648" s="12">
        <v>87.166700000000006</v>
      </c>
      <c r="N648" s="12">
        <v>6.9998250000000004</v>
      </c>
      <c r="O648" s="13">
        <f t="shared" si="120"/>
        <v>6.9555317742427597E-2</v>
      </c>
      <c r="P648" s="6">
        <f t="shared" si="121"/>
        <v>0.41743412179498457</v>
      </c>
      <c r="Q648" s="6">
        <f t="shared" si="122"/>
        <v>1.7127107874907976</v>
      </c>
      <c r="R648" s="6">
        <f t="shared" si="123"/>
        <v>-1.1106124916485938</v>
      </c>
      <c r="S648">
        <f t="shared" si="124"/>
        <v>0</v>
      </c>
      <c r="T648">
        <f t="shared" si="125"/>
        <v>1</v>
      </c>
      <c r="U648">
        <f t="shared" si="126"/>
        <v>0</v>
      </c>
      <c r="V648">
        <f t="shared" si="127"/>
        <v>0</v>
      </c>
      <c r="W648">
        <f t="shared" si="128"/>
        <v>0</v>
      </c>
      <c r="X648">
        <f t="shared" si="129"/>
        <v>1</v>
      </c>
      <c r="Y648">
        <f t="shared" si="130"/>
        <v>0</v>
      </c>
      <c r="Z648">
        <f t="shared" si="131"/>
        <v>0</v>
      </c>
      <c r="AA648">
        <f t="shared" si="132"/>
        <v>1</v>
      </c>
    </row>
    <row r="649" spans="2:27" x14ac:dyDescent="0.3">
      <c r="B649">
        <v>642</v>
      </c>
      <c r="C649" s="1">
        <v>41185</v>
      </c>
      <c r="D649">
        <v>4</v>
      </c>
      <c r="E649">
        <v>1</v>
      </c>
      <c r="F649">
        <v>10</v>
      </c>
      <c r="G649">
        <v>3</v>
      </c>
      <c r="H649">
        <v>2</v>
      </c>
      <c r="I649">
        <v>728</v>
      </c>
      <c r="J649">
        <v>6844</v>
      </c>
      <c r="K649" s="8">
        <v>7572</v>
      </c>
      <c r="L649" s="12">
        <v>29.95665</v>
      </c>
      <c r="M649" s="12">
        <v>79.375</v>
      </c>
      <c r="N649" s="12">
        <v>4.4585686000000004</v>
      </c>
      <c r="O649" s="13">
        <f t="shared" ref="O649:O712" si="133">(K649-K$2)/K$3</f>
        <v>1.584623904678047</v>
      </c>
      <c r="P649" s="6">
        <f t="shared" ref="P649:P712" si="134">(L649-L$2)/L$3</f>
        <v>0.76622204391371485</v>
      </c>
      <c r="Q649" s="6">
        <f t="shared" ref="Q649:Q712" si="135">(M649-M$2)/M$3</f>
        <v>1.1652780493389421</v>
      </c>
      <c r="R649" s="6">
        <f t="shared" ref="R649:R712" si="136">(N649-N$2)/N$3</f>
        <v>-1.6003700769791349</v>
      </c>
      <c r="S649">
        <f t="shared" ref="S649:S712" si="137">IF($G649=1,1,0)</f>
        <v>0</v>
      </c>
      <c r="T649">
        <f t="shared" ref="T649:T712" si="138">IF($G649=2,1,0)</f>
        <v>0</v>
      </c>
      <c r="U649">
        <f t="shared" ref="U649:U712" si="139">IF($G649=3,1,0)</f>
        <v>1</v>
      </c>
      <c r="V649">
        <f t="shared" ref="V649:V712" si="140">IF($G649=4,1,0)</f>
        <v>0</v>
      </c>
      <c r="W649">
        <f t="shared" ref="W649:W712" si="141">IF($G649=5,1,0)</f>
        <v>0</v>
      </c>
      <c r="X649">
        <f t="shared" ref="X649:X712" si="142">IF($H649=3,1,0)</f>
        <v>0</v>
      </c>
      <c r="Y649">
        <f t="shared" ref="Y649:Y712" si="143">IF($D649=2,1,0)</f>
        <v>0</v>
      </c>
      <c r="Z649">
        <f t="shared" ref="Z649:Z712" si="144">IF($D649=3,1,0)</f>
        <v>0</v>
      </c>
      <c r="AA649">
        <f t="shared" ref="AA649:AA712" si="145">IF($D649=4,1,0)</f>
        <v>1</v>
      </c>
    </row>
    <row r="650" spans="2:27" x14ac:dyDescent="0.3">
      <c r="B650">
        <v>643</v>
      </c>
      <c r="C650" s="1">
        <v>41186</v>
      </c>
      <c r="D650">
        <v>4</v>
      </c>
      <c r="E650">
        <v>1</v>
      </c>
      <c r="F650">
        <v>10</v>
      </c>
      <c r="G650">
        <v>4</v>
      </c>
      <c r="H650">
        <v>2</v>
      </c>
      <c r="I650">
        <v>891</v>
      </c>
      <c r="J650">
        <v>6437</v>
      </c>
      <c r="K650" s="8">
        <v>7328</v>
      </c>
      <c r="L650" s="12">
        <v>30.39875</v>
      </c>
      <c r="M650" s="12">
        <v>72.291700000000006</v>
      </c>
      <c r="N650" s="12">
        <v>7.8755819999999996</v>
      </c>
      <c r="O650" s="13">
        <f t="shared" si="133"/>
        <v>1.4585834221644802</v>
      </c>
      <c r="P650" s="6">
        <f t="shared" si="134"/>
        <v>0.82051751587452137</v>
      </c>
      <c r="Q650" s="6">
        <f t="shared" si="135"/>
        <v>0.66761639473840151</v>
      </c>
      <c r="R650" s="6">
        <f t="shared" si="136"/>
        <v>-0.94183431025126685</v>
      </c>
      <c r="S650">
        <f t="shared" si="137"/>
        <v>0</v>
      </c>
      <c r="T650">
        <f t="shared" si="138"/>
        <v>0</v>
      </c>
      <c r="U650">
        <f t="shared" si="139"/>
        <v>0</v>
      </c>
      <c r="V650">
        <f t="shared" si="140"/>
        <v>1</v>
      </c>
      <c r="W650">
        <f t="shared" si="141"/>
        <v>0</v>
      </c>
      <c r="X650">
        <f t="shared" si="142"/>
        <v>0</v>
      </c>
      <c r="Y650">
        <f t="shared" si="143"/>
        <v>0</v>
      </c>
      <c r="Z650">
        <f t="shared" si="144"/>
        <v>0</v>
      </c>
      <c r="AA650">
        <f t="shared" si="145"/>
        <v>1</v>
      </c>
    </row>
    <row r="651" spans="2:27" x14ac:dyDescent="0.3">
      <c r="B651">
        <v>644</v>
      </c>
      <c r="C651" s="1">
        <v>41187</v>
      </c>
      <c r="D651">
        <v>4</v>
      </c>
      <c r="E651">
        <v>1</v>
      </c>
      <c r="F651">
        <v>10</v>
      </c>
      <c r="G651">
        <v>5</v>
      </c>
      <c r="H651">
        <v>1</v>
      </c>
      <c r="I651">
        <v>1516</v>
      </c>
      <c r="J651">
        <v>6640</v>
      </c>
      <c r="K651" s="8">
        <v>8156</v>
      </c>
      <c r="L651" s="12">
        <v>29.009350000000001</v>
      </c>
      <c r="M651" s="12">
        <v>62.75</v>
      </c>
      <c r="N651" s="12">
        <v>7.1254499999999998</v>
      </c>
      <c r="O651" s="13">
        <f t="shared" si="133"/>
        <v>1.886294567743305</v>
      </c>
      <c r="P651" s="6">
        <f t="shared" si="134"/>
        <v>0.64988162186333709</v>
      </c>
      <c r="Q651" s="6">
        <f t="shared" si="135"/>
        <v>-2.7686249137359488E-3</v>
      </c>
      <c r="R651" s="6">
        <f t="shared" si="136"/>
        <v>-1.0864017128160648</v>
      </c>
      <c r="S651">
        <f t="shared" si="137"/>
        <v>0</v>
      </c>
      <c r="T651">
        <f t="shared" si="138"/>
        <v>0</v>
      </c>
      <c r="U651">
        <f t="shared" si="139"/>
        <v>0</v>
      </c>
      <c r="V651">
        <f t="shared" si="140"/>
        <v>0</v>
      </c>
      <c r="W651">
        <f t="shared" si="141"/>
        <v>1</v>
      </c>
      <c r="X651">
        <f t="shared" si="142"/>
        <v>0</v>
      </c>
      <c r="Y651">
        <f t="shared" si="143"/>
        <v>0</v>
      </c>
      <c r="Z651">
        <f t="shared" si="144"/>
        <v>0</v>
      </c>
      <c r="AA651">
        <f t="shared" si="145"/>
        <v>1</v>
      </c>
    </row>
    <row r="652" spans="2:27" x14ac:dyDescent="0.3">
      <c r="B652">
        <v>645</v>
      </c>
      <c r="C652" s="1">
        <v>41188</v>
      </c>
      <c r="D652">
        <v>4</v>
      </c>
      <c r="E652">
        <v>1</v>
      </c>
      <c r="F652">
        <v>10</v>
      </c>
      <c r="G652">
        <v>6</v>
      </c>
      <c r="H652">
        <v>1</v>
      </c>
      <c r="I652">
        <v>3031</v>
      </c>
      <c r="J652">
        <v>4934</v>
      </c>
      <c r="K652" s="8">
        <v>7965</v>
      </c>
      <c r="L652" s="12">
        <v>26.92605</v>
      </c>
      <c r="M652" s="12">
        <v>66.416700000000006</v>
      </c>
      <c r="N652" s="12">
        <v>17.957674999999998</v>
      </c>
      <c r="O652" s="13">
        <f t="shared" si="133"/>
        <v>1.7876317310216194</v>
      </c>
      <c r="P652" s="6">
        <f t="shared" si="134"/>
        <v>0.39402603096546701</v>
      </c>
      <c r="Q652" s="6">
        <f t="shared" si="135"/>
        <v>0.2548480211303123</v>
      </c>
      <c r="R652" s="6">
        <f t="shared" si="136"/>
        <v>1.0012130433168145</v>
      </c>
      <c r="S652">
        <f t="shared" si="137"/>
        <v>0</v>
      </c>
      <c r="T652">
        <f t="shared" si="138"/>
        <v>0</v>
      </c>
      <c r="U652">
        <f t="shared" si="139"/>
        <v>0</v>
      </c>
      <c r="V652">
        <f t="shared" si="140"/>
        <v>0</v>
      </c>
      <c r="W652">
        <f t="shared" si="141"/>
        <v>0</v>
      </c>
      <c r="X652">
        <f t="shared" si="142"/>
        <v>0</v>
      </c>
      <c r="Y652">
        <f t="shared" si="143"/>
        <v>0</v>
      </c>
      <c r="Z652">
        <f t="shared" si="144"/>
        <v>0</v>
      </c>
      <c r="AA652">
        <f t="shared" si="145"/>
        <v>1</v>
      </c>
    </row>
    <row r="653" spans="2:27" x14ac:dyDescent="0.3">
      <c r="B653">
        <v>646</v>
      </c>
      <c r="C653" s="1">
        <v>41189</v>
      </c>
      <c r="D653">
        <v>4</v>
      </c>
      <c r="E653">
        <v>1</v>
      </c>
      <c r="F653">
        <v>10</v>
      </c>
      <c r="G653">
        <v>0</v>
      </c>
      <c r="H653">
        <v>2</v>
      </c>
      <c r="I653">
        <v>781</v>
      </c>
      <c r="J653">
        <v>2729</v>
      </c>
      <c r="K653" s="8">
        <v>3510</v>
      </c>
      <c r="L653" s="12">
        <v>20.990649999999999</v>
      </c>
      <c r="M653" s="12">
        <v>70.833299999999994</v>
      </c>
      <c r="N653" s="12">
        <v>9.4578539999999993</v>
      </c>
      <c r="O653" s="13">
        <f t="shared" si="133"/>
        <v>-0.51364019356010027</v>
      </c>
      <c r="P653" s="6">
        <f t="shared" si="134"/>
        <v>-0.33491616373295274</v>
      </c>
      <c r="Q653" s="6">
        <f t="shared" si="135"/>
        <v>0.56515147625839435</v>
      </c>
      <c r="R653" s="6">
        <f t="shared" si="136"/>
        <v>-0.63689470869979581</v>
      </c>
      <c r="S653">
        <f t="shared" si="137"/>
        <v>0</v>
      </c>
      <c r="T653">
        <f t="shared" si="138"/>
        <v>0</v>
      </c>
      <c r="U653">
        <f t="shared" si="139"/>
        <v>0</v>
      </c>
      <c r="V653">
        <f t="shared" si="140"/>
        <v>0</v>
      </c>
      <c r="W653">
        <f t="shared" si="141"/>
        <v>0</v>
      </c>
      <c r="X653">
        <f t="shared" si="142"/>
        <v>0</v>
      </c>
      <c r="Y653">
        <f t="shared" si="143"/>
        <v>0</v>
      </c>
      <c r="Z653">
        <f t="shared" si="144"/>
        <v>0</v>
      </c>
      <c r="AA653">
        <f t="shared" si="145"/>
        <v>1</v>
      </c>
    </row>
    <row r="654" spans="2:27" x14ac:dyDescent="0.3">
      <c r="B654">
        <v>647</v>
      </c>
      <c r="C654" s="1">
        <v>41190</v>
      </c>
      <c r="D654">
        <v>4</v>
      </c>
      <c r="E654">
        <v>1</v>
      </c>
      <c r="F654">
        <v>10</v>
      </c>
      <c r="G654">
        <v>1</v>
      </c>
      <c r="H654">
        <v>2</v>
      </c>
      <c r="I654">
        <v>874</v>
      </c>
      <c r="J654">
        <v>4604</v>
      </c>
      <c r="K654" s="8">
        <v>5478</v>
      </c>
      <c r="L654" s="12">
        <v>19.380400000000002</v>
      </c>
      <c r="M654" s="12">
        <v>70.958299999999994</v>
      </c>
      <c r="N654" s="12">
        <v>12.708493000000001</v>
      </c>
      <c r="O654" s="13">
        <f t="shared" si="133"/>
        <v>0.50294861622145404</v>
      </c>
      <c r="P654" s="6">
        <f t="shared" si="134"/>
        <v>-0.53267523119481341</v>
      </c>
      <c r="Q654" s="6">
        <f t="shared" si="135"/>
        <v>0.57393378207984302</v>
      </c>
      <c r="R654" s="6">
        <f t="shared" si="136"/>
        <v>-1.0423051836960162E-2</v>
      </c>
      <c r="S654">
        <f t="shared" si="137"/>
        <v>1</v>
      </c>
      <c r="T654">
        <f t="shared" si="138"/>
        <v>0</v>
      </c>
      <c r="U654">
        <f t="shared" si="139"/>
        <v>0</v>
      </c>
      <c r="V654">
        <f t="shared" si="140"/>
        <v>0</v>
      </c>
      <c r="W654">
        <f t="shared" si="141"/>
        <v>0</v>
      </c>
      <c r="X654">
        <f t="shared" si="142"/>
        <v>0</v>
      </c>
      <c r="Y654">
        <f t="shared" si="143"/>
        <v>0</v>
      </c>
      <c r="Z654">
        <f t="shared" si="144"/>
        <v>0</v>
      </c>
      <c r="AA654">
        <f t="shared" si="145"/>
        <v>1</v>
      </c>
    </row>
    <row r="655" spans="2:27" x14ac:dyDescent="0.3">
      <c r="B655">
        <v>648</v>
      </c>
      <c r="C655" s="1">
        <v>41191</v>
      </c>
      <c r="D655">
        <v>4</v>
      </c>
      <c r="E655">
        <v>1</v>
      </c>
      <c r="F655">
        <v>10</v>
      </c>
      <c r="G655">
        <v>2</v>
      </c>
      <c r="H655">
        <v>2</v>
      </c>
      <c r="I655">
        <v>601</v>
      </c>
      <c r="J655">
        <v>5791</v>
      </c>
      <c r="K655" s="8">
        <v>6392</v>
      </c>
      <c r="L655" s="12">
        <v>21.9056</v>
      </c>
      <c r="M655" s="12">
        <v>76.166700000000006</v>
      </c>
      <c r="N655" s="12">
        <v>12.7501</v>
      </c>
      <c r="O655" s="13">
        <f t="shared" si="133"/>
        <v>0.97508386629276533</v>
      </c>
      <c r="P655" s="6">
        <f t="shared" si="134"/>
        <v>-0.22254873086586377</v>
      </c>
      <c r="Q655" s="6">
        <f t="shared" si="135"/>
        <v>0.9398678752033115</v>
      </c>
      <c r="R655" s="6">
        <f t="shared" si="136"/>
        <v>-2.4044418876266902E-3</v>
      </c>
      <c r="S655">
        <f t="shared" si="137"/>
        <v>0</v>
      </c>
      <c r="T655">
        <f t="shared" si="138"/>
        <v>1</v>
      </c>
      <c r="U655">
        <f t="shared" si="139"/>
        <v>0</v>
      </c>
      <c r="V655">
        <f t="shared" si="140"/>
        <v>0</v>
      </c>
      <c r="W655">
        <f t="shared" si="141"/>
        <v>0</v>
      </c>
      <c r="X655">
        <f t="shared" si="142"/>
        <v>0</v>
      </c>
      <c r="Y655">
        <f t="shared" si="143"/>
        <v>0</v>
      </c>
      <c r="Z655">
        <f t="shared" si="144"/>
        <v>0</v>
      </c>
      <c r="AA655">
        <f t="shared" si="145"/>
        <v>1</v>
      </c>
    </row>
    <row r="656" spans="2:27" x14ac:dyDescent="0.3">
      <c r="B656">
        <v>649</v>
      </c>
      <c r="C656" s="1">
        <v>41192</v>
      </c>
      <c r="D656">
        <v>4</v>
      </c>
      <c r="E656">
        <v>1</v>
      </c>
      <c r="F656">
        <v>10</v>
      </c>
      <c r="G656">
        <v>3</v>
      </c>
      <c r="H656">
        <v>1</v>
      </c>
      <c r="I656">
        <v>780</v>
      </c>
      <c r="J656">
        <v>6911</v>
      </c>
      <c r="K656" s="8">
        <v>7691</v>
      </c>
      <c r="L656" s="12">
        <v>25.1571</v>
      </c>
      <c r="M656" s="12">
        <v>63.083300000000001</v>
      </c>
      <c r="N656" s="12">
        <v>12.584007</v>
      </c>
      <c r="O656" s="13">
        <f t="shared" si="133"/>
        <v>1.6460944678711389</v>
      </c>
      <c r="P656" s="6">
        <f t="shared" si="134"/>
        <v>0.17677659616549235</v>
      </c>
      <c r="Q656" s="6">
        <f t="shared" si="135"/>
        <v>2.0648515328574975E-2</v>
      </c>
      <c r="R656" s="6">
        <f t="shared" si="136"/>
        <v>-3.4414319608074562E-2</v>
      </c>
      <c r="S656">
        <f t="shared" si="137"/>
        <v>0</v>
      </c>
      <c r="T656">
        <f t="shared" si="138"/>
        <v>0</v>
      </c>
      <c r="U656">
        <f t="shared" si="139"/>
        <v>1</v>
      </c>
      <c r="V656">
        <f t="shared" si="140"/>
        <v>0</v>
      </c>
      <c r="W656">
        <f t="shared" si="141"/>
        <v>0</v>
      </c>
      <c r="X656">
        <f t="shared" si="142"/>
        <v>0</v>
      </c>
      <c r="Y656">
        <f t="shared" si="143"/>
        <v>0</v>
      </c>
      <c r="Z656">
        <f t="shared" si="144"/>
        <v>0</v>
      </c>
      <c r="AA656">
        <f t="shared" si="145"/>
        <v>1</v>
      </c>
    </row>
    <row r="657" spans="2:27" x14ac:dyDescent="0.3">
      <c r="B657">
        <v>650</v>
      </c>
      <c r="C657" s="1">
        <v>41193</v>
      </c>
      <c r="D657">
        <v>4</v>
      </c>
      <c r="E657">
        <v>1</v>
      </c>
      <c r="F657">
        <v>10</v>
      </c>
      <c r="G657">
        <v>4</v>
      </c>
      <c r="H657">
        <v>1</v>
      </c>
      <c r="I657">
        <v>834</v>
      </c>
      <c r="J657">
        <v>6736</v>
      </c>
      <c r="K657" s="8">
        <v>7570</v>
      </c>
      <c r="L657" s="12">
        <v>21.558350000000001</v>
      </c>
      <c r="M657" s="12">
        <v>46.333300000000001</v>
      </c>
      <c r="N657" s="12">
        <v>12.166931999999999</v>
      </c>
      <c r="O657" s="13">
        <f t="shared" si="133"/>
        <v>1.5835907859689193</v>
      </c>
      <c r="P657" s="6">
        <f t="shared" si="134"/>
        <v>-0.2651954231037964</v>
      </c>
      <c r="Q657" s="6">
        <f t="shared" si="135"/>
        <v>-1.1561804647455518</v>
      </c>
      <c r="R657" s="6">
        <f t="shared" si="136"/>
        <v>-0.11479410533207142</v>
      </c>
      <c r="S657">
        <f t="shared" si="137"/>
        <v>0</v>
      </c>
      <c r="T657">
        <f t="shared" si="138"/>
        <v>0</v>
      </c>
      <c r="U657">
        <f t="shared" si="139"/>
        <v>0</v>
      </c>
      <c r="V657">
        <f t="shared" si="140"/>
        <v>1</v>
      </c>
      <c r="W657">
        <f t="shared" si="141"/>
        <v>0</v>
      </c>
      <c r="X657">
        <f t="shared" si="142"/>
        <v>0</v>
      </c>
      <c r="Y657">
        <f t="shared" si="143"/>
        <v>0</v>
      </c>
      <c r="Z657">
        <f t="shared" si="144"/>
        <v>0</v>
      </c>
      <c r="AA657">
        <f t="shared" si="145"/>
        <v>1</v>
      </c>
    </row>
    <row r="658" spans="2:27" x14ac:dyDescent="0.3">
      <c r="B658">
        <v>651</v>
      </c>
      <c r="C658" s="1">
        <v>41194</v>
      </c>
      <c r="D658">
        <v>4</v>
      </c>
      <c r="E658">
        <v>1</v>
      </c>
      <c r="F658">
        <v>10</v>
      </c>
      <c r="G658">
        <v>5</v>
      </c>
      <c r="H658">
        <v>1</v>
      </c>
      <c r="I658">
        <v>1060</v>
      </c>
      <c r="J658">
        <v>6222</v>
      </c>
      <c r="K658" s="8">
        <v>7282</v>
      </c>
      <c r="L658" s="12">
        <v>21.653549999999999</v>
      </c>
      <c r="M658" s="12">
        <v>53.916699999999999</v>
      </c>
      <c r="N658" s="12">
        <v>15.751163999999999</v>
      </c>
      <c r="O658" s="13">
        <f t="shared" si="133"/>
        <v>1.4348216918545456</v>
      </c>
      <c r="P658" s="6">
        <f t="shared" si="134"/>
        <v>-0.25350365895390115</v>
      </c>
      <c r="Q658" s="6">
        <f t="shared" si="135"/>
        <v>-0.62338256101455902</v>
      </c>
      <c r="R658" s="6">
        <f t="shared" si="136"/>
        <v>0.5759684676945841</v>
      </c>
      <c r="S658">
        <f t="shared" si="137"/>
        <v>0</v>
      </c>
      <c r="T658">
        <f t="shared" si="138"/>
        <v>0</v>
      </c>
      <c r="U658">
        <f t="shared" si="139"/>
        <v>0</v>
      </c>
      <c r="V658">
        <f t="shared" si="140"/>
        <v>0</v>
      </c>
      <c r="W658">
        <f t="shared" si="141"/>
        <v>1</v>
      </c>
      <c r="X658">
        <f t="shared" si="142"/>
        <v>0</v>
      </c>
      <c r="Y658">
        <f t="shared" si="143"/>
        <v>0</v>
      </c>
      <c r="Z658">
        <f t="shared" si="144"/>
        <v>0</v>
      </c>
      <c r="AA658">
        <f t="shared" si="145"/>
        <v>1</v>
      </c>
    </row>
    <row r="659" spans="2:27" x14ac:dyDescent="0.3">
      <c r="B659">
        <v>652</v>
      </c>
      <c r="C659" s="1">
        <v>41195</v>
      </c>
      <c r="D659">
        <v>4</v>
      </c>
      <c r="E659">
        <v>1</v>
      </c>
      <c r="F659">
        <v>10</v>
      </c>
      <c r="G659">
        <v>6</v>
      </c>
      <c r="H659">
        <v>1</v>
      </c>
      <c r="I659">
        <v>2252</v>
      </c>
      <c r="J659">
        <v>4857</v>
      </c>
      <c r="K659" s="8">
        <v>7109</v>
      </c>
      <c r="L659" s="12">
        <v>19.569800000000001</v>
      </c>
      <c r="M659" s="12">
        <v>49.458300000000001</v>
      </c>
      <c r="N659" s="12">
        <v>9.7915139999999994</v>
      </c>
      <c r="O659" s="13">
        <f t="shared" si="133"/>
        <v>1.3454569235150085</v>
      </c>
      <c r="P659" s="6">
        <f t="shared" si="134"/>
        <v>-0.50941451554365591</v>
      </c>
      <c r="Q659" s="6">
        <f t="shared" si="135"/>
        <v>-0.9366228192093341</v>
      </c>
      <c r="R659" s="6">
        <f t="shared" si="136"/>
        <v>-0.57259088012059844</v>
      </c>
      <c r="S659">
        <f t="shared" si="137"/>
        <v>0</v>
      </c>
      <c r="T659">
        <f t="shared" si="138"/>
        <v>0</v>
      </c>
      <c r="U659">
        <f t="shared" si="139"/>
        <v>0</v>
      </c>
      <c r="V659">
        <f t="shared" si="140"/>
        <v>0</v>
      </c>
      <c r="W659">
        <f t="shared" si="141"/>
        <v>0</v>
      </c>
      <c r="X659">
        <f t="shared" si="142"/>
        <v>0</v>
      </c>
      <c r="Y659">
        <f t="shared" si="143"/>
        <v>0</v>
      </c>
      <c r="Z659">
        <f t="shared" si="144"/>
        <v>0</v>
      </c>
      <c r="AA659">
        <f t="shared" si="145"/>
        <v>1</v>
      </c>
    </row>
    <row r="660" spans="2:27" x14ac:dyDescent="0.3">
      <c r="B660">
        <v>653</v>
      </c>
      <c r="C660" s="1">
        <v>41196</v>
      </c>
      <c r="D660">
        <v>4</v>
      </c>
      <c r="E660">
        <v>1</v>
      </c>
      <c r="F660">
        <v>10</v>
      </c>
      <c r="G660">
        <v>0</v>
      </c>
      <c r="H660">
        <v>1</v>
      </c>
      <c r="I660">
        <v>2080</v>
      </c>
      <c r="J660">
        <v>4559</v>
      </c>
      <c r="K660" s="8">
        <v>6639</v>
      </c>
      <c r="L660" s="12">
        <v>25.4102</v>
      </c>
      <c r="M660" s="12">
        <v>64.041700000000006</v>
      </c>
      <c r="N660" s="12">
        <v>18.667003999999999</v>
      </c>
      <c r="O660" s="13">
        <f t="shared" si="133"/>
        <v>1.1026740268700235</v>
      </c>
      <c r="P660" s="6">
        <f t="shared" si="134"/>
        <v>0.20786047753459466</v>
      </c>
      <c r="Q660" s="6">
        <f t="shared" si="135"/>
        <v>8.7984210522786821E-2</v>
      </c>
      <c r="R660" s="6">
        <f t="shared" si="136"/>
        <v>1.137916784916807</v>
      </c>
      <c r="S660">
        <f t="shared" si="137"/>
        <v>0</v>
      </c>
      <c r="T660">
        <f t="shared" si="138"/>
        <v>0</v>
      </c>
      <c r="U660">
        <f t="shared" si="139"/>
        <v>0</v>
      </c>
      <c r="V660">
        <f t="shared" si="140"/>
        <v>0</v>
      </c>
      <c r="W660">
        <f t="shared" si="141"/>
        <v>0</v>
      </c>
      <c r="X660">
        <f t="shared" si="142"/>
        <v>0</v>
      </c>
      <c r="Y660">
        <f t="shared" si="143"/>
        <v>0</v>
      </c>
      <c r="Z660">
        <f t="shared" si="144"/>
        <v>0</v>
      </c>
      <c r="AA660">
        <f t="shared" si="145"/>
        <v>1</v>
      </c>
    </row>
    <row r="661" spans="2:27" x14ac:dyDescent="0.3">
      <c r="B661">
        <v>654</v>
      </c>
      <c r="C661" s="1">
        <v>41197</v>
      </c>
      <c r="D661">
        <v>4</v>
      </c>
      <c r="E661">
        <v>1</v>
      </c>
      <c r="F661">
        <v>10</v>
      </c>
      <c r="G661">
        <v>1</v>
      </c>
      <c r="H661">
        <v>2</v>
      </c>
      <c r="I661">
        <v>760</v>
      </c>
      <c r="J661">
        <v>5115</v>
      </c>
      <c r="K661" s="8">
        <v>5875</v>
      </c>
      <c r="L661" s="12">
        <v>26.9575</v>
      </c>
      <c r="M661" s="12">
        <v>70.75</v>
      </c>
      <c r="N661" s="12">
        <v>19.834479000000002</v>
      </c>
      <c r="O661" s="13">
        <f t="shared" si="133"/>
        <v>0.70802267998328183</v>
      </c>
      <c r="P661" s="6">
        <f t="shared" si="134"/>
        <v>0.39788848876498595</v>
      </c>
      <c r="Q661" s="6">
        <f t="shared" si="135"/>
        <v>0.55929894765898136</v>
      </c>
      <c r="R661" s="6">
        <f t="shared" si="136"/>
        <v>1.3629156228671118</v>
      </c>
      <c r="S661">
        <f t="shared" si="137"/>
        <v>1</v>
      </c>
      <c r="T661">
        <f t="shared" si="138"/>
        <v>0</v>
      </c>
      <c r="U661">
        <f t="shared" si="139"/>
        <v>0</v>
      </c>
      <c r="V661">
        <f t="shared" si="140"/>
        <v>0</v>
      </c>
      <c r="W661">
        <f t="shared" si="141"/>
        <v>0</v>
      </c>
      <c r="X661">
        <f t="shared" si="142"/>
        <v>0</v>
      </c>
      <c r="Y661">
        <f t="shared" si="143"/>
        <v>0</v>
      </c>
      <c r="Z661">
        <f t="shared" si="144"/>
        <v>0</v>
      </c>
      <c r="AA661">
        <f t="shared" si="145"/>
        <v>1</v>
      </c>
    </row>
    <row r="662" spans="2:27" x14ac:dyDescent="0.3">
      <c r="B662">
        <v>655</v>
      </c>
      <c r="C662" s="1">
        <v>41198</v>
      </c>
      <c r="D662">
        <v>4</v>
      </c>
      <c r="E662">
        <v>1</v>
      </c>
      <c r="F662">
        <v>10</v>
      </c>
      <c r="G662">
        <v>2</v>
      </c>
      <c r="H662">
        <v>1</v>
      </c>
      <c r="I662">
        <v>922</v>
      </c>
      <c r="J662">
        <v>6612</v>
      </c>
      <c r="K662" s="8">
        <v>7534</v>
      </c>
      <c r="L662" s="12">
        <v>23.042300000000001</v>
      </c>
      <c r="M662" s="12">
        <v>55.833300000000001</v>
      </c>
      <c r="N662" s="12">
        <v>12.208807</v>
      </c>
      <c r="O662" s="13">
        <f t="shared" si="133"/>
        <v>1.5649946492046227</v>
      </c>
      <c r="P662" s="6">
        <f t="shared" si="134"/>
        <v>-8.294759316432819E-2</v>
      </c>
      <c r="Q662" s="6">
        <f t="shared" si="135"/>
        <v>-0.48872522231545007</v>
      </c>
      <c r="R662" s="6">
        <f t="shared" si="136"/>
        <v>-0.10672384572122817</v>
      </c>
      <c r="S662">
        <f t="shared" si="137"/>
        <v>0</v>
      </c>
      <c r="T662">
        <f t="shared" si="138"/>
        <v>1</v>
      </c>
      <c r="U662">
        <f t="shared" si="139"/>
        <v>0</v>
      </c>
      <c r="V662">
        <f t="shared" si="140"/>
        <v>0</v>
      </c>
      <c r="W662">
        <f t="shared" si="141"/>
        <v>0</v>
      </c>
      <c r="X662">
        <f t="shared" si="142"/>
        <v>0</v>
      </c>
      <c r="Y662">
        <f t="shared" si="143"/>
        <v>0</v>
      </c>
      <c r="Z662">
        <f t="shared" si="144"/>
        <v>0</v>
      </c>
      <c r="AA662">
        <f t="shared" si="145"/>
        <v>1</v>
      </c>
    </row>
    <row r="663" spans="2:27" x14ac:dyDescent="0.3">
      <c r="B663">
        <v>656</v>
      </c>
      <c r="C663" s="1">
        <v>41199</v>
      </c>
      <c r="D663">
        <v>4</v>
      </c>
      <c r="E663">
        <v>1</v>
      </c>
      <c r="F663">
        <v>10</v>
      </c>
      <c r="G663">
        <v>3</v>
      </c>
      <c r="H663">
        <v>1</v>
      </c>
      <c r="I663">
        <v>979</v>
      </c>
      <c r="J663">
        <v>6482</v>
      </c>
      <c r="K663" s="8">
        <v>7461</v>
      </c>
      <c r="L663" s="12">
        <v>22.505400000000002</v>
      </c>
      <c r="M663" s="12">
        <v>69.291700000000006</v>
      </c>
      <c r="N663" s="12">
        <v>6.7918570000000003</v>
      </c>
      <c r="O663" s="13">
        <f t="shared" si="133"/>
        <v>1.5272858163214653</v>
      </c>
      <c r="P663" s="6">
        <f t="shared" si="134"/>
        <v>-0.14888570421557679</v>
      </c>
      <c r="Q663" s="6">
        <f t="shared" si="135"/>
        <v>0.45684105502363254</v>
      </c>
      <c r="R663" s="6">
        <f t="shared" si="136"/>
        <v>-1.1506926289798847</v>
      </c>
      <c r="S663">
        <f t="shared" si="137"/>
        <v>0</v>
      </c>
      <c r="T663">
        <f t="shared" si="138"/>
        <v>0</v>
      </c>
      <c r="U663">
        <f t="shared" si="139"/>
        <v>1</v>
      </c>
      <c r="V663">
        <f t="shared" si="140"/>
        <v>0</v>
      </c>
      <c r="W663">
        <f t="shared" si="141"/>
        <v>0</v>
      </c>
      <c r="X663">
        <f t="shared" si="142"/>
        <v>0</v>
      </c>
      <c r="Y663">
        <f t="shared" si="143"/>
        <v>0</v>
      </c>
      <c r="Z663">
        <f t="shared" si="144"/>
        <v>0</v>
      </c>
      <c r="AA663">
        <f t="shared" si="145"/>
        <v>1</v>
      </c>
    </row>
    <row r="664" spans="2:27" x14ac:dyDescent="0.3">
      <c r="B664">
        <v>657</v>
      </c>
      <c r="C664" s="1">
        <v>41200</v>
      </c>
      <c r="D664">
        <v>4</v>
      </c>
      <c r="E664">
        <v>1</v>
      </c>
      <c r="F664">
        <v>10</v>
      </c>
      <c r="G664">
        <v>4</v>
      </c>
      <c r="H664">
        <v>2</v>
      </c>
      <c r="I664">
        <v>1008</v>
      </c>
      <c r="J664">
        <v>6501</v>
      </c>
      <c r="K664" s="8">
        <v>7509</v>
      </c>
      <c r="L664" s="12">
        <v>25.631250000000001</v>
      </c>
      <c r="M664" s="12">
        <v>72.833299999999994</v>
      </c>
      <c r="N664" s="12">
        <v>15.874779</v>
      </c>
      <c r="O664" s="13">
        <f t="shared" si="133"/>
        <v>1.5520806653405277</v>
      </c>
      <c r="P664" s="6">
        <f t="shared" si="134"/>
        <v>0.23500821351499818</v>
      </c>
      <c r="Q664" s="6">
        <f t="shared" si="135"/>
        <v>0.70566836940157363</v>
      </c>
      <c r="R664" s="6">
        <f t="shared" si="136"/>
        <v>0.59979187406579293</v>
      </c>
      <c r="S664">
        <f t="shared" si="137"/>
        <v>0</v>
      </c>
      <c r="T664">
        <f t="shared" si="138"/>
        <v>0</v>
      </c>
      <c r="U664">
        <f t="shared" si="139"/>
        <v>0</v>
      </c>
      <c r="V664">
        <f t="shared" si="140"/>
        <v>1</v>
      </c>
      <c r="W664">
        <f t="shared" si="141"/>
        <v>0</v>
      </c>
      <c r="X664">
        <f t="shared" si="142"/>
        <v>0</v>
      </c>
      <c r="Y664">
        <f t="shared" si="143"/>
        <v>0</v>
      </c>
      <c r="Z664">
        <f t="shared" si="144"/>
        <v>0</v>
      </c>
      <c r="AA664">
        <f t="shared" si="145"/>
        <v>1</v>
      </c>
    </row>
    <row r="665" spans="2:27" x14ac:dyDescent="0.3">
      <c r="B665">
        <v>658</v>
      </c>
      <c r="C665" s="1">
        <v>41201</v>
      </c>
      <c r="D665">
        <v>4</v>
      </c>
      <c r="E665">
        <v>1</v>
      </c>
      <c r="F665">
        <v>10</v>
      </c>
      <c r="G665">
        <v>5</v>
      </c>
      <c r="H665">
        <v>2</v>
      </c>
      <c r="I665">
        <v>753</v>
      </c>
      <c r="J665">
        <v>4671</v>
      </c>
      <c r="K665" s="8">
        <v>5424</v>
      </c>
      <c r="L665" s="12">
        <v>26.8948</v>
      </c>
      <c r="M665" s="12">
        <v>81.5</v>
      </c>
      <c r="N665" s="12">
        <v>9.0419180000000008</v>
      </c>
      <c r="O665" s="13">
        <f t="shared" si="133"/>
        <v>0.47505441107500895</v>
      </c>
      <c r="P665" s="6">
        <f t="shared" si="134"/>
        <v>0.39018813569567462</v>
      </c>
      <c r="Q665" s="6">
        <f t="shared" si="135"/>
        <v>1.3145772483035703</v>
      </c>
      <c r="R665" s="6">
        <f t="shared" si="136"/>
        <v>-0.71705498336237738</v>
      </c>
      <c r="S665">
        <f t="shared" si="137"/>
        <v>0</v>
      </c>
      <c r="T665">
        <f t="shared" si="138"/>
        <v>0</v>
      </c>
      <c r="U665">
        <f t="shared" si="139"/>
        <v>0</v>
      </c>
      <c r="V665">
        <f t="shared" si="140"/>
        <v>0</v>
      </c>
      <c r="W665">
        <f t="shared" si="141"/>
        <v>1</v>
      </c>
      <c r="X665">
        <f t="shared" si="142"/>
        <v>0</v>
      </c>
      <c r="Y665">
        <f t="shared" si="143"/>
        <v>0</v>
      </c>
      <c r="Z665">
        <f t="shared" si="144"/>
        <v>0</v>
      </c>
      <c r="AA665">
        <f t="shared" si="145"/>
        <v>1</v>
      </c>
    </row>
    <row r="666" spans="2:27" x14ac:dyDescent="0.3">
      <c r="B666">
        <v>659</v>
      </c>
      <c r="C666" s="1">
        <v>41202</v>
      </c>
      <c r="D666">
        <v>4</v>
      </c>
      <c r="E666">
        <v>1</v>
      </c>
      <c r="F666">
        <v>10</v>
      </c>
      <c r="G666">
        <v>6</v>
      </c>
      <c r="H666">
        <v>1</v>
      </c>
      <c r="I666">
        <v>2806</v>
      </c>
      <c r="J666">
        <v>5284</v>
      </c>
      <c r="K666" s="8">
        <v>8090</v>
      </c>
      <c r="L666" s="12">
        <v>23.642099999999999</v>
      </c>
      <c r="M666" s="12">
        <v>57.291699999999999</v>
      </c>
      <c r="N666" s="12">
        <v>7.8749789999999997</v>
      </c>
      <c r="O666" s="13">
        <f t="shared" si="133"/>
        <v>1.8522016503420942</v>
      </c>
      <c r="P666" s="6">
        <f t="shared" si="134"/>
        <v>-9.2845665140416332E-3</v>
      </c>
      <c r="Q666" s="6">
        <f t="shared" si="135"/>
        <v>-0.38626030383544391</v>
      </c>
      <c r="R666" s="6">
        <f t="shared" si="136"/>
        <v>-0.941950521989663</v>
      </c>
      <c r="S666">
        <f t="shared" si="137"/>
        <v>0</v>
      </c>
      <c r="T666">
        <f t="shared" si="138"/>
        <v>0</v>
      </c>
      <c r="U666">
        <f t="shared" si="139"/>
        <v>0</v>
      </c>
      <c r="V666">
        <f t="shared" si="140"/>
        <v>0</v>
      </c>
      <c r="W666">
        <f t="shared" si="141"/>
        <v>0</v>
      </c>
      <c r="X666">
        <f t="shared" si="142"/>
        <v>0</v>
      </c>
      <c r="Y666">
        <f t="shared" si="143"/>
        <v>0</v>
      </c>
      <c r="Z666">
        <f t="shared" si="144"/>
        <v>0</v>
      </c>
      <c r="AA666">
        <f t="shared" si="145"/>
        <v>1</v>
      </c>
    </row>
    <row r="667" spans="2:27" x14ac:dyDescent="0.3">
      <c r="B667">
        <v>660</v>
      </c>
      <c r="C667" s="1">
        <v>41203</v>
      </c>
      <c r="D667">
        <v>4</v>
      </c>
      <c r="E667">
        <v>1</v>
      </c>
      <c r="F667">
        <v>10</v>
      </c>
      <c r="G667">
        <v>0</v>
      </c>
      <c r="H667">
        <v>1</v>
      </c>
      <c r="I667">
        <v>2132</v>
      </c>
      <c r="J667">
        <v>4692</v>
      </c>
      <c r="K667" s="8">
        <v>6824</v>
      </c>
      <c r="L667" s="12">
        <v>22.821449999999999</v>
      </c>
      <c r="M667" s="12">
        <v>51</v>
      </c>
      <c r="N667" s="12">
        <v>11.125617999999999</v>
      </c>
      <c r="O667" s="13">
        <f t="shared" si="133"/>
        <v>1.1982375074643261</v>
      </c>
      <c r="P667" s="6">
        <f t="shared" si="134"/>
        <v>-0.11007076661500508</v>
      </c>
      <c r="Q667" s="6">
        <f t="shared" si="135"/>
        <v>-0.82830537212991451</v>
      </c>
      <c r="R667" s="6">
        <f t="shared" si="136"/>
        <v>-0.3154788651268276</v>
      </c>
      <c r="S667">
        <f t="shared" si="137"/>
        <v>0</v>
      </c>
      <c r="T667">
        <f t="shared" si="138"/>
        <v>0</v>
      </c>
      <c r="U667">
        <f t="shared" si="139"/>
        <v>0</v>
      </c>
      <c r="V667">
        <f t="shared" si="140"/>
        <v>0</v>
      </c>
      <c r="W667">
        <f t="shared" si="141"/>
        <v>0</v>
      </c>
      <c r="X667">
        <f t="shared" si="142"/>
        <v>0</v>
      </c>
      <c r="Y667">
        <f t="shared" si="143"/>
        <v>0</v>
      </c>
      <c r="Z667">
        <f t="shared" si="144"/>
        <v>0</v>
      </c>
      <c r="AA667">
        <f t="shared" si="145"/>
        <v>1</v>
      </c>
    </row>
    <row r="668" spans="2:27" x14ac:dyDescent="0.3">
      <c r="B668">
        <v>661</v>
      </c>
      <c r="C668" s="1">
        <v>41204</v>
      </c>
      <c r="D668">
        <v>4</v>
      </c>
      <c r="E668">
        <v>1</v>
      </c>
      <c r="F668">
        <v>10</v>
      </c>
      <c r="G668">
        <v>1</v>
      </c>
      <c r="H668">
        <v>1</v>
      </c>
      <c r="I668">
        <v>830</v>
      </c>
      <c r="J668">
        <v>6228</v>
      </c>
      <c r="K668" s="8">
        <v>7058</v>
      </c>
      <c r="L668" s="12">
        <v>24.147099999999998</v>
      </c>
      <c r="M668" s="12">
        <v>56.833300000000001</v>
      </c>
      <c r="N668" s="12">
        <v>5.4593810999999999</v>
      </c>
      <c r="O668" s="13">
        <f t="shared" si="133"/>
        <v>1.3191123964322549</v>
      </c>
      <c r="P668" s="6">
        <f t="shared" si="134"/>
        <v>5.2735821045802884E-2</v>
      </c>
      <c r="Q668" s="6">
        <f t="shared" si="135"/>
        <v>-0.41846677574386043</v>
      </c>
      <c r="R668" s="6">
        <f t="shared" si="136"/>
        <v>-1.4074908722799861</v>
      </c>
      <c r="S668">
        <f t="shared" si="137"/>
        <v>1</v>
      </c>
      <c r="T668">
        <f t="shared" si="138"/>
        <v>0</v>
      </c>
      <c r="U668">
        <f t="shared" si="139"/>
        <v>0</v>
      </c>
      <c r="V668">
        <f t="shared" si="140"/>
        <v>0</v>
      </c>
      <c r="W668">
        <f t="shared" si="141"/>
        <v>0</v>
      </c>
      <c r="X668">
        <f t="shared" si="142"/>
        <v>0</v>
      </c>
      <c r="Y668">
        <f t="shared" si="143"/>
        <v>0</v>
      </c>
      <c r="Z668">
        <f t="shared" si="144"/>
        <v>0</v>
      </c>
      <c r="AA668">
        <f t="shared" si="145"/>
        <v>1</v>
      </c>
    </row>
    <row r="669" spans="2:27" x14ac:dyDescent="0.3">
      <c r="B669">
        <v>662</v>
      </c>
      <c r="C669" s="1">
        <v>41205</v>
      </c>
      <c r="D669">
        <v>4</v>
      </c>
      <c r="E669">
        <v>1</v>
      </c>
      <c r="F669">
        <v>10</v>
      </c>
      <c r="G669">
        <v>2</v>
      </c>
      <c r="H669">
        <v>1</v>
      </c>
      <c r="I669">
        <v>841</v>
      </c>
      <c r="J669">
        <v>6625</v>
      </c>
      <c r="K669" s="8">
        <v>7466</v>
      </c>
      <c r="L669" s="12">
        <v>26.5152</v>
      </c>
      <c r="M669" s="12">
        <v>64.166700000000006</v>
      </c>
      <c r="N669" s="12">
        <v>6.3345685999999999</v>
      </c>
      <c r="O669" s="13">
        <f t="shared" si="133"/>
        <v>1.5298686130942845</v>
      </c>
      <c r="P669" s="6">
        <f t="shared" si="134"/>
        <v>0.34356845427445282</v>
      </c>
      <c r="Q669" s="6">
        <f t="shared" si="135"/>
        <v>9.676651634423554E-2</v>
      </c>
      <c r="R669" s="6">
        <f t="shared" si="136"/>
        <v>-1.2388224464133664</v>
      </c>
      <c r="S669">
        <f t="shared" si="137"/>
        <v>0</v>
      </c>
      <c r="T669">
        <f t="shared" si="138"/>
        <v>1</v>
      </c>
      <c r="U669">
        <f t="shared" si="139"/>
        <v>0</v>
      </c>
      <c r="V669">
        <f t="shared" si="140"/>
        <v>0</v>
      </c>
      <c r="W669">
        <f t="shared" si="141"/>
        <v>0</v>
      </c>
      <c r="X669">
        <f t="shared" si="142"/>
        <v>0</v>
      </c>
      <c r="Y669">
        <f t="shared" si="143"/>
        <v>0</v>
      </c>
      <c r="Z669">
        <f t="shared" si="144"/>
        <v>0</v>
      </c>
      <c r="AA669">
        <f t="shared" si="145"/>
        <v>1</v>
      </c>
    </row>
    <row r="670" spans="2:27" x14ac:dyDescent="0.3">
      <c r="B670">
        <v>663</v>
      </c>
      <c r="C670" s="1">
        <v>41206</v>
      </c>
      <c r="D670">
        <v>4</v>
      </c>
      <c r="E670">
        <v>1</v>
      </c>
      <c r="F670">
        <v>10</v>
      </c>
      <c r="G670">
        <v>3</v>
      </c>
      <c r="H670">
        <v>1</v>
      </c>
      <c r="I670">
        <v>795</v>
      </c>
      <c r="J670">
        <v>6898</v>
      </c>
      <c r="K670" s="8">
        <v>7693</v>
      </c>
      <c r="L670" s="12">
        <v>27.936050000000002</v>
      </c>
      <c r="M670" s="12">
        <v>63.625</v>
      </c>
      <c r="N670" s="12">
        <v>4.8762064000000001</v>
      </c>
      <c r="O670" s="13">
        <f t="shared" si="133"/>
        <v>1.6471275865802666</v>
      </c>
      <c r="P670" s="6">
        <f t="shared" si="134"/>
        <v>0.51806680608515643</v>
      </c>
      <c r="Q670" s="6">
        <f t="shared" si="135"/>
        <v>5.8707515836405003E-2</v>
      </c>
      <c r="R670" s="6">
        <f t="shared" si="136"/>
        <v>-1.5198818269659684</v>
      </c>
      <c r="S670">
        <f t="shared" si="137"/>
        <v>0</v>
      </c>
      <c r="T670">
        <f t="shared" si="138"/>
        <v>0</v>
      </c>
      <c r="U670">
        <f t="shared" si="139"/>
        <v>1</v>
      </c>
      <c r="V670">
        <f t="shared" si="140"/>
        <v>0</v>
      </c>
      <c r="W670">
        <f t="shared" si="141"/>
        <v>0</v>
      </c>
      <c r="X670">
        <f t="shared" si="142"/>
        <v>0</v>
      </c>
      <c r="Y670">
        <f t="shared" si="143"/>
        <v>0</v>
      </c>
      <c r="Z670">
        <f t="shared" si="144"/>
        <v>0</v>
      </c>
      <c r="AA670">
        <f t="shared" si="145"/>
        <v>1</v>
      </c>
    </row>
    <row r="671" spans="2:27" x14ac:dyDescent="0.3">
      <c r="B671">
        <v>664</v>
      </c>
      <c r="C671" s="1">
        <v>41207</v>
      </c>
      <c r="D671">
        <v>4</v>
      </c>
      <c r="E671">
        <v>1</v>
      </c>
      <c r="F671">
        <v>10</v>
      </c>
      <c r="G671">
        <v>4</v>
      </c>
      <c r="H671">
        <v>2</v>
      </c>
      <c r="I671">
        <v>875</v>
      </c>
      <c r="J671">
        <v>6484</v>
      </c>
      <c r="K671" s="8">
        <v>7359</v>
      </c>
      <c r="L671" s="12">
        <v>26.484400000000001</v>
      </c>
      <c r="M671" s="12">
        <v>80.041700000000006</v>
      </c>
      <c r="N671" s="12">
        <v>8.3331250000000008</v>
      </c>
      <c r="O671" s="13">
        <f t="shared" si="133"/>
        <v>1.4745967621559579</v>
      </c>
      <c r="P671" s="6">
        <f t="shared" si="134"/>
        <v>0.3397858246965455</v>
      </c>
      <c r="Q671" s="6">
        <f t="shared" si="135"/>
        <v>1.2121193556682215</v>
      </c>
      <c r="R671" s="6">
        <f t="shared" si="136"/>
        <v>-0.85365542563935115</v>
      </c>
      <c r="S671">
        <f t="shared" si="137"/>
        <v>0</v>
      </c>
      <c r="T671">
        <f t="shared" si="138"/>
        <v>0</v>
      </c>
      <c r="U671">
        <f t="shared" si="139"/>
        <v>0</v>
      </c>
      <c r="V671">
        <f t="shared" si="140"/>
        <v>1</v>
      </c>
      <c r="W671">
        <f t="shared" si="141"/>
        <v>0</v>
      </c>
      <c r="X671">
        <f t="shared" si="142"/>
        <v>0</v>
      </c>
      <c r="Y671">
        <f t="shared" si="143"/>
        <v>0</v>
      </c>
      <c r="Z671">
        <f t="shared" si="144"/>
        <v>0</v>
      </c>
      <c r="AA671">
        <f t="shared" si="145"/>
        <v>1</v>
      </c>
    </row>
    <row r="672" spans="2:27" x14ac:dyDescent="0.3">
      <c r="B672">
        <v>665</v>
      </c>
      <c r="C672" s="1">
        <v>41208</v>
      </c>
      <c r="D672">
        <v>4</v>
      </c>
      <c r="E672">
        <v>1</v>
      </c>
      <c r="F672">
        <v>10</v>
      </c>
      <c r="G672">
        <v>5</v>
      </c>
      <c r="H672">
        <v>2</v>
      </c>
      <c r="I672">
        <v>1182</v>
      </c>
      <c r="J672">
        <v>6262</v>
      </c>
      <c r="K672" s="8">
        <v>7444</v>
      </c>
      <c r="L672" s="12">
        <v>26.137499999999999</v>
      </c>
      <c r="M672" s="12">
        <v>80.708299999999994</v>
      </c>
      <c r="N672" s="12">
        <v>8.8752890000000004</v>
      </c>
      <c r="O672" s="13">
        <f t="shared" si="133"/>
        <v>1.5185043072938809</v>
      </c>
      <c r="P672" s="6">
        <f t="shared" si="134"/>
        <v>0.29718211688563423</v>
      </c>
      <c r="Q672" s="6">
        <f t="shared" si="135"/>
        <v>1.2589536361528422</v>
      </c>
      <c r="R672" s="6">
        <f t="shared" si="136"/>
        <v>-0.74916816040584411</v>
      </c>
      <c r="S672">
        <f t="shared" si="137"/>
        <v>0</v>
      </c>
      <c r="T672">
        <f t="shared" si="138"/>
        <v>0</v>
      </c>
      <c r="U672">
        <f t="shared" si="139"/>
        <v>0</v>
      </c>
      <c r="V672">
        <f t="shared" si="140"/>
        <v>0</v>
      </c>
      <c r="W672">
        <f t="shared" si="141"/>
        <v>1</v>
      </c>
      <c r="X672">
        <f t="shared" si="142"/>
        <v>0</v>
      </c>
      <c r="Y672">
        <f t="shared" si="143"/>
        <v>0</v>
      </c>
      <c r="Z672">
        <f t="shared" si="144"/>
        <v>0</v>
      </c>
      <c r="AA672">
        <f t="shared" si="145"/>
        <v>1</v>
      </c>
    </row>
    <row r="673" spans="2:27" x14ac:dyDescent="0.3">
      <c r="B673">
        <v>666</v>
      </c>
      <c r="C673" s="1">
        <v>41209</v>
      </c>
      <c r="D673">
        <v>4</v>
      </c>
      <c r="E673">
        <v>1</v>
      </c>
      <c r="F673">
        <v>10</v>
      </c>
      <c r="G673">
        <v>6</v>
      </c>
      <c r="H673">
        <v>2</v>
      </c>
      <c r="I673">
        <v>2643</v>
      </c>
      <c r="J673">
        <v>5209</v>
      </c>
      <c r="K673" s="8">
        <v>7852</v>
      </c>
      <c r="L673" s="12">
        <v>25.75665</v>
      </c>
      <c r="M673" s="12">
        <v>72</v>
      </c>
      <c r="N673" s="12">
        <v>15.791364</v>
      </c>
      <c r="O673" s="13">
        <f t="shared" si="133"/>
        <v>1.7292605239559105</v>
      </c>
      <c r="P673" s="6">
        <f t="shared" si="134"/>
        <v>0.25040891965362089</v>
      </c>
      <c r="Q673" s="6">
        <f t="shared" si="135"/>
        <v>0.64712200587346846</v>
      </c>
      <c r="R673" s="6">
        <f t="shared" si="136"/>
        <v>0.58371591692099345</v>
      </c>
      <c r="S673">
        <f t="shared" si="137"/>
        <v>0</v>
      </c>
      <c r="T673">
        <f t="shared" si="138"/>
        <v>0</v>
      </c>
      <c r="U673">
        <f t="shared" si="139"/>
        <v>0</v>
      </c>
      <c r="V673">
        <f t="shared" si="140"/>
        <v>0</v>
      </c>
      <c r="W673">
        <f t="shared" si="141"/>
        <v>0</v>
      </c>
      <c r="X673">
        <f t="shared" si="142"/>
        <v>0</v>
      </c>
      <c r="Y673">
        <f t="shared" si="143"/>
        <v>0</v>
      </c>
      <c r="Z673">
        <f t="shared" si="144"/>
        <v>0</v>
      </c>
      <c r="AA673">
        <f t="shared" si="145"/>
        <v>1</v>
      </c>
    </row>
    <row r="674" spans="2:27" x14ac:dyDescent="0.3">
      <c r="B674">
        <v>667</v>
      </c>
      <c r="C674" s="1">
        <v>41210</v>
      </c>
      <c r="D674">
        <v>4</v>
      </c>
      <c r="E674">
        <v>1</v>
      </c>
      <c r="F674">
        <v>10</v>
      </c>
      <c r="G674">
        <v>0</v>
      </c>
      <c r="H674">
        <v>2</v>
      </c>
      <c r="I674">
        <v>998</v>
      </c>
      <c r="J674">
        <v>3461</v>
      </c>
      <c r="K674" s="8">
        <v>4459</v>
      </c>
      <c r="L674" s="12">
        <v>23.388549999999999</v>
      </c>
      <c r="M674" s="12">
        <v>69.458299999999994</v>
      </c>
      <c r="N674" s="12">
        <v>26.666536000000001</v>
      </c>
      <c r="O674" s="13">
        <f t="shared" si="133"/>
        <v>-2.3425366079056029E-2</v>
      </c>
      <c r="P674" s="6">
        <f t="shared" si="134"/>
        <v>-4.0423713575029052E-2</v>
      </c>
      <c r="Q674" s="6">
        <f t="shared" si="135"/>
        <v>0.46854611222245857</v>
      </c>
      <c r="R674" s="6">
        <f t="shared" si="136"/>
        <v>2.6796075313107539</v>
      </c>
      <c r="S674">
        <f t="shared" si="137"/>
        <v>0</v>
      </c>
      <c r="T674">
        <f t="shared" si="138"/>
        <v>0</v>
      </c>
      <c r="U674">
        <f t="shared" si="139"/>
        <v>0</v>
      </c>
      <c r="V674">
        <f t="shared" si="140"/>
        <v>0</v>
      </c>
      <c r="W674">
        <f t="shared" si="141"/>
        <v>0</v>
      </c>
      <c r="X674">
        <f t="shared" si="142"/>
        <v>0</v>
      </c>
      <c r="Y674">
        <f t="shared" si="143"/>
        <v>0</v>
      </c>
      <c r="Z674">
        <f t="shared" si="144"/>
        <v>0</v>
      </c>
      <c r="AA674">
        <f t="shared" si="145"/>
        <v>1</v>
      </c>
    </row>
    <row r="675" spans="2:27" x14ac:dyDescent="0.3">
      <c r="B675">
        <v>668</v>
      </c>
      <c r="C675" s="1">
        <v>41211</v>
      </c>
      <c r="D675">
        <v>4</v>
      </c>
      <c r="E675">
        <v>1</v>
      </c>
      <c r="F675">
        <v>10</v>
      </c>
      <c r="G675">
        <v>1</v>
      </c>
      <c r="H675">
        <v>3</v>
      </c>
      <c r="I675">
        <v>2</v>
      </c>
      <c r="J675">
        <v>20</v>
      </c>
      <c r="K675" s="8">
        <v>22</v>
      </c>
      <c r="L675" s="12">
        <v>21.97</v>
      </c>
      <c r="M675" s="12">
        <v>88</v>
      </c>
      <c r="N675" s="12">
        <v>23.999400000000001</v>
      </c>
      <c r="O675" s="13">
        <f t="shared" si="133"/>
        <v>-2.3153992222786273</v>
      </c>
      <c r="P675" s="6">
        <f t="shared" si="134"/>
        <v>-0.21463959629387577</v>
      </c>
      <c r="Q675" s="6">
        <f t="shared" si="135"/>
        <v>1.771257151018903</v>
      </c>
      <c r="R675" s="6">
        <f t="shared" si="136"/>
        <v>2.1655900999692497</v>
      </c>
      <c r="S675">
        <f t="shared" si="137"/>
        <v>1</v>
      </c>
      <c r="T675">
        <f t="shared" si="138"/>
        <v>0</v>
      </c>
      <c r="U675">
        <f t="shared" si="139"/>
        <v>0</v>
      </c>
      <c r="V675">
        <f t="shared" si="140"/>
        <v>0</v>
      </c>
      <c r="W675">
        <f t="shared" si="141"/>
        <v>0</v>
      </c>
      <c r="X675">
        <f t="shared" si="142"/>
        <v>1</v>
      </c>
      <c r="Y675">
        <f t="shared" si="143"/>
        <v>0</v>
      </c>
      <c r="Z675">
        <f t="shared" si="144"/>
        <v>0</v>
      </c>
      <c r="AA675">
        <f t="shared" si="145"/>
        <v>1</v>
      </c>
    </row>
    <row r="676" spans="2:27" x14ac:dyDescent="0.3">
      <c r="B676">
        <v>669</v>
      </c>
      <c r="C676" s="1">
        <v>41212</v>
      </c>
      <c r="D676">
        <v>4</v>
      </c>
      <c r="E676">
        <v>1</v>
      </c>
      <c r="F676">
        <v>10</v>
      </c>
      <c r="G676">
        <v>2</v>
      </c>
      <c r="H676">
        <v>2</v>
      </c>
      <c r="I676">
        <v>87</v>
      </c>
      <c r="J676">
        <v>1009</v>
      </c>
      <c r="K676" s="8">
        <v>1096</v>
      </c>
      <c r="L676" s="12">
        <v>15.49545</v>
      </c>
      <c r="M676" s="12">
        <v>82.545500000000004</v>
      </c>
      <c r="N676" s="12">
        <v>14.271603000000001</v>
      </c>
      <c r="O676" s="13">
        <f t="shared" si="133"/>
        <v>-1.7606144754771085</v>
      </c>
      <c r="P676" s="6">
        <f t="shared" si="134"/>
        <v>-1.0097962305029689</v>
      </c>
      <c r="Q676" s="6">
        <f t="shared" si="135"/>
        <v>1.3880324541941675</v>
      </c>
      <c r="R676" s="6">
        <f t="shared" si="136"/>
        <v>0.2908235989165891</v>
      </c>
      <c r="S676">
        <f t="shared" si="137"/>
        <v>0</v>
      </c>
      <c r="T676">
        <f t="shared" si="138"/>
        <v>1</v>
      </c>
      <c r="U676">
        <f t="shared" si="139"/>
        <v>0</v>
      </c>
      <c r="V676">
        <f t="shared" si="140"/>
        <v>0</v>
      </c>
      <c r="W676">
        <f t="shared" si="141"/>
        <v>0</v>
      </c>
      <c r="X676">
        <f t="shared" si="142"/>
        <v>0</v>
      </c>
      <c r="Y676">
        <f t="shared" si="143"/>
        <v>0</v>
      </c>
      <c r="Z676">
        <f t="shared" si="144"/>
        <v>0</v>
      </c>
      <c r="AA676">
        <f t="shared" si="145"/>
        <v>1</v>
      </c>
    </row>
    <row r="677" spans="2:27" x14ac:dyDescent="0.3">
      <c r="B677">
        <v>670</v>
      </c>
      <c r="C677" s="1">
        <v>41213</v>
      </c>
      <c r="D677">
        <v>4</v>
      </c>
      <c r="E677">
        <v>1</v>
      </c>
      <c r="F677">
        <v>10</v>
      </c>
      <c r="G677">
        <v>3</v>
      </c>
      <c r="H677">
        <v>2</v>
      </c>
      <c r="I677">
        <v>419</v>
      </c>
      <c r="J677">
        <v>5147</v>
      </c>
      <c r="K677" s="8">
        <v>5566</v>
      </c>
      <c r="L677" s="12">
        <v>18.055</v>
      </c>
      <c r="M677" s="12">
        <v>66.666700000000006</v>
      </c>
      <c r="N677" s="12">
        <v>11.166689</v>
      </c>
      <c r="O677" s="13">
        <f t="shared" si="133"/>
        <v>0.54840583942306831</v>
      </c>
      <c r="P677" s="6">
        <f t="shared" si="134"/>
        <v>-0.6954511156934633</v>
      </c>
      <c r="Q677" s="6">
        <f t="shared" si="135"/>
        <v>0.27241263277320971</v>
      </c>
      <c r="R677" s="6">
        <f t="shared" si="136"/>
        <v>-0.30756355450051265</v>
      </c>
      <c r="S677">
        <f t="shared" si="137"/>
        <v>0</v>
      </c>
      <c r="T677">
        <f t="shared" si="138"/>
        <v>0</v>
      </c>
      <c r="U677">
        <f t="shared" si="139"/>
        <v>1</v>
      </c>
      <c r="V677">
        <f t="shared" si="140"/>
        <v>0</v>
      </c>
      <c r="W677">
        <f t="shared" si="141"/>
        <v>0</v>
      </c>
      <c r="X677">
        <f t="shared" si="142"/>
        <v>0</v>
      </c>
      <c r="Y677">
        <f t="shared" si="143"/>
        <v>0</v>
      </c>
      <c r="Z677">
        <f t="shared" si="144"/>
        <v>0</v>
      </c>
      <c r="AA677">
        <f t="shared" si="145"/>
        <v>1</v>
      </c>
    </row>
    <row r="678" spans="2:27" x14ac:dyDescent="0.3">
      <c r="B678">
        <v>671</v>
      </c>
      <c r="C678" s="1">
        <v>41214</v>
      </c>
      <c r="D678">
        <v>4</v>
      </c>
      <c r="E678">
        <v>1</v>
      </c>
      <c r="F678">
        <v>11</v>
      </c>
      <c r="G678">
        <v>4</v>
      </c>
      <c r="H678">
        <v>2</v>
      </c>
      <c r="I678">
        <v>466</v>
      </c>
      <c r="J678">
        <v>5520</v>
      </c>
      <c r="K678" s="8">
        <v>5986</v>
      </c>
      <c r="L678" s="12">
        <v>18.4971</v>
      </c>
      <c r="M678" s="12">
        <v>58.166699999999999</v>
      </c>
      <c r="N678" s="12">
        <v>10.542182</v>
      </c>
      <c r="O678" s="13">
        <f t="shared" si="133"/>
        <v>0.76536076833986344</v>
      </c>
      <c r="P678" s="6">
        <f t="shared" si="134"/>
        <v>-0.64115564373265677</v>
      </c>
      <c r="Q678" s="6">
        <f t="shared" si="135"/>
        <v>-0.32478416308530295</v>
      </c>
      <c r="R678" s="6">
        <f t="shared" si="136"/>
        <v>-0.42792017823278145</v>
      </c>
      <c r="S678">
        <f t="shared" si="137"/>
        <v>0</v>
      </c>
      <c r="T678">
        <f t="shared" si="138"/>
        <v>0</v>
      </c>
      <c r="U678">
        <f t="shared" si="139"/>
        <v>0</v>
      </c>
      <c r="V678">
        <f t="shared" si="140"/>
        <v>1</v>
      </c>
      <c r="W678">
        <f t="shared" si="141"/>
        <v>0</v>
      </c>
      <c r="X678">
        <f t="shared" si="142"/>
        <v>0</v>
      </c>
      <c r="Y678">
        <f t="shared" si="143"/>
        <v>0</v>
      </c>
      <c r="Z678">
        <f t="shared" si="144"/>
        <v>0</v>
      </c>
      <c r="AA678">
        <f t="shared" si="145"/>
        <v>1</v>
      </c>
    </row>
    <row r="679" spans="2:27" x14ac:dyDescent="0.3">
      <c r="B679">
        <v>672</v>
      </c>
      <c r="C679" s="1">
        <v>41215</v>
      </c>
      <c r="D679">
        <v>4</v>
      </c>
      <c r="E679">
        <v>1</v>
      </c>
      <c r="F679">
        <v>11</v>
      </c>
      <c r="G679">
        <v>5</v>
      </c>
      <c r="H679">
        <v>1</v>
      </c>
      <c r="I679">
        <v>618</v>
      </c>
      <c r="J679">
        <v>5229</v>
      </c>
      <c r="K679" s="8">
        <v>5847</v>
      </c>
      <c r="L679" s="12">
        <v>17.802099999999999</v>
      </c>
      <c r="M679" s="12">
        <v>52.208300000000001</v>
      </c>
      <c r="N679" s="12">
        <v>17.833725000000001</v>
      </c>
      <c r="O679" s="13">
        <f t="shared" si="133"/>
        <v>0.69355901805549547</v>
      </c>
      <c r="P679" s="6">
        <f t="shared" si="134"/>
        <v>-0.72651043453283903</v>
      </c>
      <c r="Q679" s="6">
        <f t="shared" si="135"/>
        <v>-0.74341209113746254</v>
      </c>
      <c r="R679" s="6">
        <f t="shared" si="136"/>
        <v>0.97732507486871956</v>
      </c>
      <c r="S679">
        <f t="shared" si="137"/>
        <v>0</v>
      </c>
      <c r="T679">
        <f t="shared" si="138"/>
        <v>0</v>
      </c>
      <c r="U679">
        <f t="shared" si="139"/>
        <v>0</v>
      </c>
      <c r="V679">
        <f t="shared" si="140"/>
        <v>0</v>
      </c>
      <c r="W679">
        <f t="shared" si="141"/>
        <v>1</v>
      </c>
      <c r="X679">
        <f t="shared" si="142"/>
        <v>0</v>
      </c>
      <c r="Y679">
        <f t="shared" si="143"/>
        <v>0</v>
      </c>
      <c r="Z679">
        <f t="shared" si="144"/>
        <v>0</v>
      </c>
      <c r="AA679">
        <f t="shared" si="145"/>
        <v>1</v>
      </c>
    </row>
    <row r="680" spans="2:27" x14ac:dyDescent="0.3">
      <c r="B680">
        <v>673</v>
      </c>
      <c r="C680" s="1">
        <v>41216</v>
      </c>
      <c r="D680">
        <v>4</v>
      </c>
      <c r="E680">
        <v>1</v>
      </c>
      <c r="F680">
        <v>11</v>
      </c>
      <c r="G680">
        <v>6</v>
      </c>
      <c r="H680">
        <v>2</v>
      </c>
      <c r="I680">
        <v>1029</v>
      </c>
      <c r="J680">
        <v>4109</v>
      </c>
      <c r="K680" s="8">
        <v>5138</v>
      </c>
      <c r="L680" s="12">
        <v>16.192299999999999</v>
      </c>
      <c r="M680" s="12">
        <v>49.125</v>
      </c>
      <c r="N680" s="12">
        <v>18.125443000000001</v>
      </c>
      <c r="O680" s="13">
        <f t="shared" si="133"/>
        <v>0.32731843566976276</v>
      </c>
      <c r="P680" s="6">
        <f t="shared" si="134"/>
        <v>-0.92421423630281507</v>
      </c>
      <c r="Q680" s="6">
        <f t="shared" si="135"/>
        <v>-0.96003995945164511</v>
      </c>
      <c r="R680" s="6">
        <f t="shared" si="136"/>
        <v>1.0335457314216965</v>
      </c>
      <c r="S680">
        <f t="shared" si="137"/>
        <v>0</v>
      </c>
      <c r="T680">
        <f t="shared" si="138"/>
        <v>0</v>
      </c>
      <c r="U680">
        <f t="shared" si="139"/>
        <v>0</v>
      </c>
      <c r="V680">
        <f t="shared" si="140"/>
        <v>0</v>
      </c>
      <c r="W680">
        <f t="shared" si="141"/>
        <v>0</v>
      </c>
      <c r="X680">
        <f t="shared" si="142"/>
        <v>0</v>
      </c>
      <c r="Y680">
        <f t="shared" si="143"/>
        <v>0</v>
      </c>
      <c r="Z680">
        <f t="shared" si="144"/>
        <v>0</v>
      </c>
      <c r="AA680">
        <f t="shared" si="145"/>
        <v>1</v>
      </c>
    </row>
    <row r="681" spans="2:27" x14ac:dyDescent="0.3">
      <c r="B681">
        <v>674</v>
      </c>
      <c r="C681" s="1">
        <v>41217</v>
      </c>
      <c r="D681">
        <v>4</v>
      </c>
      <c r="E681">
        <v>1</v>
      </c>
      <c r="F681">
        <v>11</v>
      </c>
      <c r="G681">
        <v>0</v>
      </c>
      <c r="H681">
        <v>1</v>
      </c>
      <c r="I681">
        <v>1201</v>
      </c>
      <c r="J681">
        <v>3906</v>
      </c>
      <c r="K681" s="8">
        <v>5107</v>
      </c>
      <c r="L681" s="12">
        <v>16.476900000000001</v>
      </c>
      <c r="M681" s="12">
        <v>53.291699999999999</v>
      </c>
      <c r="N681" s="12">
        <v>12.000235999999999</v>
      </c>
      <c r="O681" s="13">
        <f t="shared" si="133"/>
        <v>0.31130509567828502</v>
      </c>
      <c r="P681" s="6">
        <f t="shared" si="134"/>
        <v>-0.88926175650176187</v>
      </c>
      <c r="Q681" s="6">
        <f t="shared" si="135"/>
        <v>-0.66729409012180252</v>
      </c>
      <c r="R681" s="6">
        <f t="shared" si="136"/>
        <v>-0.14692019479091542</v>
      </c>
      <c r="S681">
        <f t="shared" si="137"/>
        <v>0</v>
      </c>
      <c r="T681">
        <f t="shared" si="138"/>
        <v>0</v>
      </c>
      <c r="U681">
        <f t="shared" si="139"/>
        <v>0</v>
      </c>
      <c r="V681">
        <f t="shared" si="140"/>
        <v>0</v>
      </c>
      <c r="W681">
        <f t="shared" si="141"/>
        <v>0</v>
      </c>
      <c r="X681">
        <f t="shared" si="142"/>
        <v>0</v>
      </c>
      <c r="Y681">
        <f t="shared" si="143"/>
        <v>0</v>
      </c>
      <c r="Z681">
        <f t="shared" si="144"/>
        <v>0</v>
      </c>
      <c r="AA681">
        <f t="shared" si="145"/>
        <v>1</v>
      </c>
    </row>
    <row r="682" spans="2:27" x14ac:dyDescent="0.3">
      <c r="B682">
        <v>675</v>
      </c>
      <c r="C682" s="1">
        <v>41218</v>
      </c>
      <c r="D682">
        <v>4</v>
      </c>
      <c r="E682">
        <v>1</v>
      </c>
      <c r="F682">
        <v>11</v>
      </c>
      <c r="G682">
        <v>1</v>
      </c>
      <c r="H682">
        <v>1</v>
      </c>
      <c r="I682">
        <v>378</v>
      </c>
      <c r="J682">
        <v>4881</v>
      </c>
      <c r="K682" s="8">
        <v>5259</v>
      </c>
      <c r="L682" s="12">
        <v>15.40375</v>
      </c>
      <c r="M682" s="12">
        <v>49.416699999999999</v>
      </c>
      <c r="N682" s="12">
        <v>15.833774999999999</v>
      </c>
      <c r="O682" s="13">
        <f t="shared" si="133"/>
        <v>0.38982211757198232</v>
      </c>
      <c r="P682" s="6">
        <f t="shared" si="134"/>
        <v>-1.0210581503826475</v>
      </c>
      <c r="Q682" s="6">
        <f t="shared" si="135"/>
        <v>-0.93954557058671251</v>
      </c>
      <c r="R682" s="6">
        <f t="shared" si="136"/>
        <v>0.59188947585485518</v>
      </c>
      <c r="S682">
        <f t="shared" si="137"/>
        <v>1</v>
      </c>
      <c r="T682">
        <f t="shared" si="138"/>
        <v>0</v>
      </c>
      <c r="U682">
        <f t="shared" si="139"/>
        <v>0</v>
      </c>
      <c r="V682">
        <f t="shared" si="140"/>
        <v>0</v>
      </c>
      <c r="W682">
        <f t="shared" si="141"/>
        <v>0</v>
      </c>
      <c r="X682">
        <f t="shared" si="142"/>
        <v>0</v>
      </c>
      <c r="Y682">
        <f t="shared" si="143"/>
        <v>0</v>
      </c>
      <c r="Z682">
        <f t="shared" si="144"/>
        <v>0</v>
      </c>
      <c r="AA682">
        <f t="shared" si="145"/>
        <v>1</v>
      </c>
    </row>
    <row r="683" spans="2:27" x14ac:dyDescent="0.3">
      <c r="B683">
        <v>676</v>
      </c>
      <c r="C683" s="1">
        <v>41219</v>
      </c>
      <c r="D683">
        <v>4</v>
      </c>
      <c r="E683">
        <v>1</v>
      </c>
      <c r="F683">
        <v>11</v>
      </c>
      <c r="G683">
        <v>2</v>
      </c>
      <c r="H683">
        <v>1</v>
      </c>
      <c r="I683">
        <v>466</v>
      </c>
      <c r="J683">
        <v>5220</v>
      </c>
      <c r="K683" s="8">
        <v>5686</v>
      </c>
      <c r="L683" s="12">
        <v>14.07835</v>
      </c>
      <c r="M683" s="12">
        <v>56.708300000000001</v>
      </c>
      <c r="N683" s="12">
        <v>11.625370999999999</v>
      </c>
      <c r="O683" s="13">
        <f t="shared" si="133"/>
        <v>0.61039296197072401</v>
      </c>
      <c r="P683" s="6">
        <f t="shared" si="134"/>
        <v>-1.1838340348812972</v>
      </c>
      <c r="Q683" s="6">
        <f t="shared" si="135"/>
        <v>-0.42724908156530911</v>
      </c>
      <c r="R683" s="6">
        <f t="shared" si="136"/>
        <v>-0.21916515882718232</v>
      </c>
      <c r="S683">
        <f t="shared" si="137"/>
        <v>0</v>
      </c>
      <c r="T683">
        <f t="shared" si="138"/>
        <v>1</v>
      </c>
      <c r="U683">
        <f t="shared" si="139"/>
        <v>0</v>
      </c>
      <c r="V683">
        <f t="shared" si="140"/>
        <v>0</v>
      </c>
      <c r="W683">
        <f t="shared" si="141"/>
        <v>0</v>
      </c>
      <c r="X683">
        <f t="shared" si="142"/>
        <v>0</v>
      </c>
      <c r="Y683">
        <f t="shared" si="143"/>
        <v>0</v>
      </c>
      <c r="Z683">
        <f t="shared" si="144"/>
        <v>0</v>
      </c>
      <c r="AA683">
        <f t="shared" si="145"/>
        <v>1</v>
      </c>
    </row>
    <row r="684" spans="2:27" x14ac:dyDescent="0.3">
      <c r="B684">
        <v>677</v>
      </c>
      <c r="C684" s="1">
        <v>41220</v>
      </c>
      <c r="D684">
        <v>4</v>
      </c>
      <c r="E684">
        <v>1</v>
      </c>
      <c r="F684">
        <v>11</v>
      </c>
      <c r="G684">
        <v>3</v>
      </c>
      <c r="H684">
        <v>2</v>
      </c>
      <c r="I684">
        <v>326</v>
      </c>
      <c r="J684">
        <v>4709</v>
      </c>
      <c r="K684" s="8">
        <v>5035</v>
      </c>
      <c r="L684" s="12">
        <v>13.73105</v>
      </c>
      <c r="M684" s="12">
        <v>54.75</v>
      </c>
      <c r="N684" s="12">
        <v>20.375236000000001</v>
      </c>
      <c r="O684" s="13">
        <f t="shared" si="133"/>
        <v>0.27411282214969157</v>
      </c>
      <c r="P684" s="6">
        <f t="shared" si="134"/>
        <v>-1.2264868677516618</v>
      </c>
      <c r="Q684" s="6">
        <f t="shared" si="135"/>
        <v>-0.5648361974864532</v>
      </c>
      <c r="R684" s="6">
        <f t="shared" si="136"/>
        <v>1.4671317273776945</v>
      </c>
      <c r="S684">
        <f t="shared" si="137"/>
        <v>0</v>
      </c>
      <c r="T684">
        <f t="shared" si="138"/>
        <v>0</v>
      </c>
      <c r="U684">
        <f t="shared" si="139"/>
        <v>1</v>
      </c>
      <c r="V684">
        <f t="shared" si="140"/>
        <v>0</v>
      </c>
      <c r="W684">
        <f t="shared" si="141"/>
        <v>0</v>
      </c>
      <c r="X684">
        <f t="shared" si="142"/>
        <v>0</v>
      </c>
      <c r="Y684">
        <f t="shared" si="143"/>
        <v>0</v>
      </c>
      <c r="Z684">
        <f t="shared" si="144"/>
        <v>0</v>
      </c>
      <c r="AA684">
        <f t="shared" si="145"/>
        <v>1</v>
      </c>
    </row>
    <row r="685" spans="2:27" x14ac:dyDescent="0.3">
      <c r="B685">
        <v>678</v>
      </c>
      <c r="C685" s="1">
        <v>41221</v>
      </c>
      <c r="D685">
        <v>4</v>
      </c>
      <c r="E685">
        <v>1</v>
      </c>
      <c r="F685">
        <v>11</v>
      </c>
      <c r="G685">
        <v>4</v>
      </c>
      <c r="H685">
        <v>1</v>
      </c>
      <c r="I685">
        <v>340</v>
      </c>
      <c r="J685">
        <v>4975</v>
      </c>
      <c r="K685" s="8">
        <v>5315</v>
      </c>
      <c r="L685" s="12">
        <v>17.094550000000002</v>
      </c>
      <c r="M685" s="12">
        <v>33.347799999999999</v>
      </c>
      <c r="N685" s="12">
        <v>23.304945</v>
      </c>
      <c r="O685" s="13">
        <f t="shared" si="133"/>
        <v>0.41874944142755499</v>
      </c>
      <c r="P685" s="6">
        <f t="shared" si="134"/>
        <v>-0.81340652407336955</v>
      </c>
      <c r="Q685" s="6">
        <f t="shared" si="135"/>
        <v>-2.0685215227009297</v>
      </c>
      <c r="R685" s="6">
        <f t="shared" si="136"/>
        <v>2.0317529145830284</v>
      </c>
      <c r="S685">
        <f t="shared" si="137"/>
        <v>0</v>
      </c>
      <c r="T685">
        <f t="shared" si="138"/>
        <v>0</v>
      </c>
      <c r="U685">
        <f t="shared" si="139"/>
        <v>0</v>
      </c>
      <c r="V685">
        <f t="shared" si="140"/>
        <v>1</v>
      </c>
      <c r="W685">
        <f t="shared" si="141"/>
        <v>0</v>
      </c>
      <c r="X685">
        <f t="shared" si="142"/>
        <v>0</v>
      </c>
      <c r="Y685">
        <f t="shared" si="143"/>
        <v>0</v>
      </c>
      <c r="Z685">
        <f t="shared" si="144"/>
        <v>0</v>
      </c>
      <c r="AA685">
        <f t="shared" si="145"/>
        <v>1</v>
      </c>
    </row>
    <row r="686" spans="2:27" x14ac:dyDescent="0.3">
      <c r="B686">
        <v>679</v>
      </c>
      <c r="C686" s="1">
        <v>41222</v>
      </c>
      <c r="D686">
        <v>4</v>
      </c>
      <c r="E686">
        <v>1</v>
      </c>
      <c r="F686">
        <v>11</v>
      </c>
      <c r="G686">
        <v>5</v>
      </c>
      <c r="H686">
        <v>1</v>
      </c>
      <c r="I686">
        <v>709</v>
      </c>
      <c r="J686">
        <v>5283</v>
      </c>
      <c r="K686" s="8">
        <v>5992</v>
      </c>
      <c r="L686" s="12">
        <v>17.77065</v>
      </c>
      <c r="M686" s="12">
        <v>54.083300000000001</v>
      </c>
      <c r="N686" s="12">
        <v>14.375386000000001</v>
      </c>
      <c r="O686" s="13">
        <f t="shared" si="133"/>
        <v>0.76846012446724621</v>
      </c>
      <c r="P686" s="6">
        <f t="shared" si="134"/>
        <v>-0.73037289233235803</v>
      </c>
      <c r="Q686" s="6">
        <f t="shared" si="135"/>
        <v>-0.61167750381573194</v>
      </c>
      <c r="R686" s="6">
        <f t="shared" si="136"/>
        <v>0.31082493033610253</v>
      </c>
      <c r="S686">
        <f t="shared" si="137"/>
        <v>0</v>
      </c>
      <c r="T686">
        <f t="shared" si="138"/>
        <v>0</v>
      </c>
      <c r="U686">
        <f t="shared" si="139"/>
        <v>0</v>
      </c>
      <c r="V686">
        <f t="shared" si="140"/>
        <v>0</v>
      </c>
      <c r="W686">
        <f t="shared" si="141"/>
        <v>1</v>
      </c>
      <c r="X686">
        <f t="shared" si="142"/>
        <v>0</v>
      </c>
      <c r="Y686">
        <f t="shared" si="143"/>
        <v>0</v>
      </c>
      <c r="Z686">
        <f t="shared" si="144"/>
        <v>0</v>
      </c>
      <c r="AA686">
        <f t="shared" si="145"/>
        <v>1</v>
      </c>
    </row>
    <row r="687" spans="2:27" x14ac:dyDescent="0.3">
      <c r="B687">
        <v>680</v>
      </c>
      <c r="C687" s="1">
        <v>41223</v>
      </c>
      <c r="D687">
        <v>4</v>
      </c>
      <c r="E687">
        <v>1</v>
      </c>
      <c r="F687">
        <v>11</v>
      </c>
      <c r="G687">
        <v>6</v>
      </c>
      <c r="H687">
        <v>1</v>
      </c>
      <c r="I687">
        <v>2090</v>
      </c>
      <c r="J687">
        <v>4446</v>
      </c>
      <c r="K687" s="8">
        <v>6536</v>
      </c>
      <c r="L687" s="12">
        <v>19.696850000000001</v>
      </c>
      <c r="M687" s="12">
        <v>64.541700000000006</v>
      </c>
      <c r="N687" s="12">
        <v>3.8756686</v>
      </c>
      <c r="O687" s="13">
        <f t="shared" si="133"/>
        <v>1.0494684133499523</v>
      </c>
      <c r="P687" s="6">
        <f t="shared" si="134"/>
        <v>-0.49381116853478801</v>
      </c>
      <c r="Q687" s="6">
        <f t="shared" si="135"/>
        <v>0.12311343380858165</v>
      </c>
      <c r="R687" s="6">
        <f t="shared" si="136"/>
        <v>-1.71270809076207</v>
      </c>
      <c r="S687">
        <f t="shared" si="137"/>
        <v>0</v>
      </c>
      <c r="T687">
        <f t="shared" si="138"/>
        <v>0</v>
      </c>
      <c r="U687">
        <f t="shared" si="139"/>
        <v>0</v>
      </c>
      <c r="V687">
        <f t="shared" si="140"/>
        <v>0</v>
      </c>
      <c r="W687">
        <f t="shared" si="141"/>
        <v>0</v>
      </c>
      <c r="X687">
        <f t="shared" si="142"/>
        <v>0</v>
      </c>
      <c r="Y687">
        <f t="shared" si="143"/>
        <v>0</v>
      </c>
      <c r="Z687">
        <f t="shared" si="144"/>
        <v>0</v>
      </c>
      <c r="AA687">
        <f t="shared" si="145"/>
        <v>1</v>
      </c>
    </row>
    <row r="688" spans="2:27" x14ac:dyDescent="0.3">
      <c r="B688">
        <v>681</v>
      </c>
      <c r="C688" s="1">
        <v>41224</v>
      </c>
      <c r="D688">
        <v>4</v>
      </c>
      <c r="E688">
        <v>1</v>
      </c>
      <c r="F688">
        <v>11</v>
      </c>
      <c r="G688">
        <v>0</v>
      </c>
      <c r="H688">
        <v>1</v>
      </c>
      <c r="I688">
        <v>2290</v>
      </c>
      <c r="J688">
        <v>4562</v>
      </c>
      <c r="K688" s="8">
        <v>6852</v>
      </c>
      <c r="L688" s="12">
        <v>21.085650000000001</v>
      </c>
      <c r="M688" s="12">
        <v>65.916700000000006</v>
      </c>
      <c r="N688" s="12">
        <v>8.5425000000000004</v>
      </c>
      <c r="O688" s="13">
        <f t="shared" si="133"/>
        <v>1.2127011693921124</v>
      </c>
      <c r="P688" s="6">
        <f t="shared" si="134"/>
        <v>-0.32324896211278364</v>
      </c>
      <c r="Q688" s="6">
        <f t="shared" si="135"/>
        <v>0.21971879784451745</v>
      </c>
      <c r="R688" s="6">
        <f t="shared" si="136"/>
        <v>-0.81330412758513593</v>
      </c>
      <c r="S688">
        <f t="shared" si="137"/>
        <v>0</v>
      </c>
      <c r="T688">
        <f t="shared" si="138"/>
        <v>0</v>
      </c>
      <c r="U688">
        <f t="shared" si="139"/>
        <v>0</v>
      </c>
      <c r="V688">
        <f t="shared" si="140"/>
        <v>0</v>
      </c>
      <c r="W688">
        <f t="shared" si="141"/>
        <v>0</v>
      </c>
      <c r="X688">
        <f t="shared" si="142"/>
        <v>0</v>
      </c>
      <c r="Y688">
        <f t="shared" si="143"/>
        <v>0</v>
      </c>
      <c r="Z688">
        <f t="shared" si="144"/>
        <v>0</v>
      </c>
      <c r="AA688">
        <f t="shared" si="145"/>
        <v>1</v>
      </c>
    </row>
    <row r="689" spans="2:27" x14ac:dyDescent="0.3">
      <c r="B689">
        <v>682</v>
      </c>
      <c r="C689" s="1">
        <v>41225</v>
      </c>
      <c r="D689">
        <v>4</v>
      </c>
      <c r="E689">
        <v>1</v>
      </c>
      <c r="F689">
        <v>11</v>
      </c>
      <c r="G689">
        <v>1</v>
      </c>
      <c r="H689">
        <v>1</v>
      </c>
      <c r="I689">
        <v>1097</v>
      </c>
      <c r="J689">
        <v>5172</v>
      </c>
      <c r="K689" s="8">
        <v>6269</v>
      </c>
      <c r="L689" s="12">
        <v>23.76915</v>
      </c>
      <c r="M689" s="12">
        <v>74.166700000000006</v>
      </c>
      <c r="N689" s="12">
        <v>11.625639</v>
      </c>
      <c r="O689" s="13">
        <f t="shared" si="133"/>
        <v>0.91154706568141819</v>
      </c>
      <c r="P689" s="6">
        <f t="shared" si="134"/>
        <v>6.3187804948262793E-3</v>
      </c>
      <c r="Q689" s="6">
        <f t="shared" si="135"/>
        <v>0.79935098206013211</v>
      </c>
      <c r="R689" s="6">
        <f t="shared" si="136"/>
        <v>-0.2191135091656729</v>
      </c>
      <c r="S689">
        <f t="shared" si="137"/>
        <v>1</v>
      </c>
      <c r="T689">
        <f t="shared" si="138"/>
        <v>0</v>
      </c>
      <c r="U689">
        <f t="shared" si="139"/>
        <v>0</v>
      </c>
      <c r="V689">
        <f t="shared" si="140"/>
        <v>0</v>
      </c>
      <c r="W689">
        <f t="shared" si="141"/>
        <v>0</v>
      </c>
      <c r="X689">
        <f t="shared" si="142"/>
        <v>0</v>
      </c>
      <c r="Y689">
        <f t="shared" si="143"/>
        <v>0</v>
      </c>
      <c r="Z689">
        <f t="shared" si="144"/>
        <v>0</v>
      </c>
      <c r="AA689">
        <f t="shared" si="145"/>
        <v>1</v>
      </c>
    </row>
    <row r="690" spans="2:27" x14ac:dyDescent="0.3">
      <c r="B690">
        <v>683</v>
      </c>
      <c r="C690" s="1">
        <v>41226</v>
      </c>
      <c r="D690">
        <v>4</v>
      </c>
      <c r="E690">
        <v>1</v>
      </c>
      <c r="F690">
        <v>11</v>
      </c>
      <c r="G690">
        <v>2</v>
      </c>
      <c r="H690">
        <v>2</v>
      </c>
      <c r="I690">
        <v>327</v>
      </c>
      <c r="J690">
        <v>3767</v>
      </c>
      <c r="K690" s="8">
        <v>4094</v>
      </c>
      <c r="L690" s="12">
        <v>16.161249999999999</v>
      </c>
      <c r="M690" s="12">
        <v>66.291700000000006</v>
      </c>
      <c r="N690" s="12">
        <v>22.917082000000001</v>
      </c>
      <c r="O690" s="13">
        <f t="shared" si="133"/>
        <v>-0.21196953049484227</v>
      </c>
      <c r="P690" s="6">
        <f t="shared" si="134"/>
        <v>-0.92802756904288075</v>
      </c>
      <c r="Q690" s="6">
        <f t="shared" si="135"/>
        <v>0.24606571530886356</v>
      </c>
      <c r="R690" s="6">
        <f t="shared" si="136"/>
        <v>1.957002941963556</v>
      </c>
      <c r="S690">
        <f t="shared" si="137"/>
        <v>0</v>
      </c>
      <c r="T690">
        <f t="shared" si="138"/>
        <v>1</v>
      </c>
      <c r="U690">
        <f t="shared" si="139"/>
        <v>0</v>
      </c>
      <c r="V690">
        <f t="shared" si="140"/>
        <v>0</v>
      </c>
      <c r="W690">
        <f t="shared" si="141"/>
        <v>0</v>
      </c>
      <c r="X690">
        <f t="shared" si="142"/>
        <v>0</v>
      </c>
      <c r="Y690">
        <f t="shared" si="143"/>
        <v>0</v>
      </c>
      <c r="Z690">
        <f t="shared" si="144"/>
        <v>0</v>
      </c>
      <c r="AA690">
        <f t="shared" si="145"/>
        <v>1</v>
      </c>
    </row>
    <row r="691" spans="2:27" x14ac:dyDescent="0.3">
      <c r="B691">
        <v>684</v>
      </c>
      <c r="C691" s="1">
        <v>41227</v>
      </c>
      <c r="D691">
        <v>4</v>
      </c>
      <c r="E691">
        <v>1</v>
      </c>
      <c r="F691">
        <v>11</v>
      </c>
      <c r="G691">
        <v>3</v>
      </c>
      <c r="H691">
        <v>1</v>
      </c>
      <c r="I691">
        <v>373</v>
      </c>
      <c r="J691">
        <v>5122</v>
      </c>
      <c r="K691" s="8">
        <v>5495</v>
      </c>
      <c r="L691" s="12">
        <v>14.078150000000001</v>
      </c>
      <c r="M691" s="12">
        <v>55.208300000000001</v>
      </c>
      <c r="N691" s="12">
        <v>13.374874999999999</v>
      </c>
      <c r="O691" s="13">
        <f t="shared" si="133"/>
        <v>0.5117301252490386</v>
      </c>
      <c r="P691" s="6">
        <f t="shared" si="134"/>
        <v>-1.1838585974110238</v>
      </c>
      <c r="Q691" s="6">
        <f t="shared" si="135"/>
        <v>-0.53263675142269362</v>
      </c>
      <c r="R691" s="6">
        <f t="shared" si="136"/>
        <v>0.11800383150615151</v>
      </c>
      <c r="S691">
        <f t="shared" si="137"/>
        <v>0</v>
      </c>
      <c r="T691">
        <f t="shared" si="138"/>
        <v>0</v>
      </c>
      <c r="U691">
        <f t="shared" si="139"/>
        <v>1</v>
      </c>
      <c r="V691">
        <f t="shared" si="140"/>
        <v>0</v>
      </c>
      <c r="W691">
        <f t="shared" si="141"/>
        <v>0</v>
      </c>
      <c r="X691">
        <f t="shared" si="142"/>
        <v>0</v>
      </c>
      <c r="Y691">
        <f t="shared" si="143"/>
        <v>0</v>
      </c>
      <c r="Z691">
        <f t="shared" si="144"/>
        <v>0</v>
      </c>
      <c r="AA691">
        <f t="shared" si="145"/>
        <v>1</v>
      </c>
    </row>
    <row r="692" spans="2:27" x14ac:dyDescent="0.3">
      <c r="B692">
        <v>685</v>
      </c>
      <c r="C692" s="1">
        <v>41228</v>
      </c>
      <c r="D692">
        <v>4</v>
      </c>
      <c r="E692">
        <v>1</v>
      </c>
      <c r="F692">
        <v>11</v>
      </c>
      <c r="G692">
        <v>4</v>
      </c>
      <c r="H692">
        <v>2</v>
      </c>
      <c r="I692">
        <v>320</v>
      </c>
      <c r="J692">
        <v>5125</v>
      </c>
      <c r="K692" s="8">
        <v>5445</v>
      </c>
      <c r="L692" s="12">
        <v>16.224599999999999</v>
      </c>
      <c r="M692" s="12">
        <v>62.041699999999999</v>
      </c>
      <c r="N692" s="12">
        <v>10.250128999999999</v>
      </c>
      <c r="O692" s="13">
        <f t="shared" si="133"/>
        <v>0.48590215752084875</v>
      </c>
      <c r="P692" s="6">
        <f t="shared" si="134"/>
        <v>-0.92024738775195769</v>
      </c>
      <c r="Q692" s="6">
        <f t="shared" si="135"/>
        <v>-5.2532682620392991E-2</v>
      </c>
      <c r="R692" s="6">
        <f t="shared" si="136"/>
        <v>-0.48420539686264535</v>
      </c>
      <c r="S692">
        <f t="shared" si="137"/>
        <v>0</v>
      </c>
      <c r="T692">
        <f t="shared" si="138"/>
        <v>0</v>
      </c>
      <c r="U692">
        <f t="shared" si="139"/>
        <v>0</v>
      </c>
      <c r="V692">
        <f t="shared" si="140"/>
        <v>1</v>
      </c>
      <c r="W692">
        <f t="shared" si="141"/>
        <v>0</v>
      </c>
      <c r="X692">
        <f t="shared" si="142"/>
        <v>0</v>
      </c>
      <c r="Y692">
        <f t="shared" si="143"/>
        <v>0</v>
      </c>
      <c r="Z692">
        <f t="shared" si="144"/>
        <v>0</v>
      </c>
      <c r="AA692">
        <f t="shared" si="145"/>
        <v>1</v>
      </c>
    </row>
    <row r="693" spans="2:27" x14ac:dyDescent="0.3">
      <c r="B693">
        <v>686</v>
      </c>
      <c r="C693" s="1">
        <v>41229</v>
      </c>
      <c r="D693">
        <v>4</v>
      </c>
      <c r="E693">
        <v>1</v>
      </c>
      <c r="F693">
        <v>11</v>
      </c>
      <c r="G693">
        <v>5</v>
      </c>
      <c r="H693">
        <v>1</v>
      </c>
      <c r="I693">
        <v>484</v>
      </c>
      <c r="J693">
        <v>5214</v>
      </c>
      <c r="K693" s="8">
        <v>5698</v>
      </c>
      <c r="L693" s="12">
        <v>17.360199999999999</v>
      </c>
      <c r="M693" s="12">
        <v>52.458300000000001</v>
      </c>
      <c r="N693" s="12">
        <v>11.458674999999999</v>
      </c>
      <c r="O693" s="13">
        <f t="shared" si="133"/>
        <v>0.61659167422548966</v>
      </c>
      <c r="P693" s="6">
        <f t="shared" si="134"/>
        <v>-0.78078134396391896</v>
      </c>
      <c r="Q693" s="6">
        <f t="shared" si="135"/>
        <v>-0.72584747949456518</v>
      </c>
      <c r="R693" s="6">
        <f t="shared" si="136"/>
        <v>-0.25129124828602634</v>
      </c>
      <c r="S693">
        <f t="shared" si="137"/>
        <v>0</v>
      </c>
      <c r="T693">
        <f t="shared" si="138"/>
        <v>0</v>
      </c>
      <c r="U693">
        <f t="shared" si="139"/>
        <v>0</v>
      </c>
      <c r="V693">
        <f t="shared" si="140"/>
        <v>0</v>
      </c>
      <c r="W693">
        <f t="shared" si="141"/>
        <v>1</v>
      </c>
      <c r="X693">
        <f t="shared" si="142"/>
        <v>0</v>
      </c>
      <c r="Y693">
        <f t="shared" si="143"/>
        <v>0</v>
      </c>
      <c r="Z693">
        <f t="shared" si="144"/>
        <v>0</v>
      </c>
      <c r="AA693">
        <f t="shared" si="145"/>
        <v>1</v>
      </c>
    </row>
    <row r="694" spans="2:27" x14ac:dyDescent="0.3">
      <c r="B694">
        <v>687</v>
      </c>
      <c r="C694" s="1">
        <v>41230</v>
      </c>
      <c r="D694">
        <v>4</v>
      </c>
      <c r="E694">
        <v>1</v>
      </c>
      <c r="F694">
        <v>11</v>
      </c>
      <c r="G694">
        <v>6</v>
      </c>
      <c r="H694">
        <v>1</v>
      </c>
      <c r="I694">
        <v>1313</v>
      </c>
      <c r="J694">
        <v>4316</v>
      </c>
      <c r="K694" s="8">
        <v>5629</v>
      </c>
      <c r="L694" s="12">
        <v>16.31915</v>
      </c>
      <c r="M694" s="12">
        <v>54.541699999999999</v>
      </c>
      <c r="N694" s="12">
        <v>12.041843</v>
      </c>
      <c r="O694" s="13">
        <f t="shared" si="133"/>
        <v>0.58094907876058755</v>
      </c>
      <c r="P694" s="6">
        <f t="shared" si="134"/>
        <v>-0.90863545182367378</v>
      </c>
      <c r="Q694" s="6">
        <f t="shared" si="135"/>
        <v>-0.57947103190731541</v>
      </c>
      <c r="R694" s="6">
        <f t="shared" si="136"/>
        <v>-0.1389015848415816</v>
      </c>
      <c r="S694">
        <f t="shared" si="137"/>
        <v>0</v>
      </c>
      <c r="T694">
        <f t="shared" si="138"/>
        <v>0</v>
      </c>
      <c r="U694">
        <f t="shared" si="139"/>
        <v>0</v>
      </c>
      <c r="V694">
        <f t="shared" si="140"/>
        <v>0</v>
      </c>
      <c r="W694">
        <f t="shared" si="141"/>
        <v>0</v>
      </c>
      <c r="X694">
        <f t="shared" si="142"/>
        <v>0</v>
      </c>
      <c r="Y694">
        <f t="shared" si="143"/>
        <v>0</v>
      </c>
      <c r="Z694">
        <f t="shared" si="144"/>
        <v>0</v>
      </c>
      <c r="AA694">
        <f t="shared" si="145"/>
        <v>1</v>
      </c>
    </row>
    <row r="695" spans="2:27" x14ac:dyDescent="0.3">
      <c r="B695">
        <v>688</v>
      </c>
      <c r="C695" s="1">
        <v>41231</v>
      </c>
      <c r="D695">
        <v>4</v>
      </c>
      <c r="E695">
        <v>1</v>
      </c>
      <c r="F695">
        <v>11</v>
      </c>
      <c r="G695">
        <v>0</v>
      </c>
      <c r="H695">
        <v>1</v>
      </c>
      <c r="I695">
        <v>922</v>
      </c>
      <c r="J695">
        <v>3747</v>
      </c>
      <c r="K695" s="8">
        <v>4669</v>
      </c>
      <c r="L695" s="12">
        <v>16.8873</v>
      </c>
      <c r="M695" s="12">
        <v>69.291700000000006</v>
      </c>
      <c r="N695" s="12">
        <v>15.250004000000001</v>
      </c>
      <c r="O695" s="13">
        <f t="shared" si="133"/>
        <v>8.5052098379341537E-2</v>
      </c>
      <c r="P695" s="6">
        <f t="shared" si="134"/>
        <v>-0.83885944550263281</v>
      </c>
      <c r="Q695" s="6">
        <f t="shared" si="135"/>
        <v>0.45684105502363254</v>
      </c>
      <c r="R695" s="6">
        <f t="shared" si="136"/>
        <v>0.47938360067201474</v>
      </c>
      <c r="S695">
        <f t="shared" si="137"/>
        <v>0</v>
      </c>
      <c r="T695">
        <f t="shared" si="138"/>
        <v>0</v>
      </c>
      <c r="U695">
        <f t="shared" si="139"/>
        <v>0</v>
      </c>
      <c r="V695">
        <f t="shared" si="140"/>
        <v>0</v>
      </c>
      <c r="W695">
        <f t="shared" si="141"/>
        <v>0</v>
      </c>
      <c r="X695">
        <f t="shared" si="142"/>
        <v>0</v>
      </c>
      <c r="Y695">
        <f t="shared" si="143"/>
        <v>0</v>
      </c>
      <c r="Z695">
        <f t="shared" si="144"/>
        <v>0</v>
      </c>
      <c r="AA695">
        <f t="shared" si="145"/>
        <v>1</v>
      </c>
    </row>
    <row r="696" spans="2:27" x14ac:dyDescent="0.3">
      <c r="B696">
        <v>689</v>
      </c>
      <c r="C696" s="1">
        <v>41232</v>
      </c>
      <c r="D696">
        <v>4</v>
      </c>
      <c r="E696">
        <v>1</v>
      </c>
      <c r="F696">
        <v>11</v>
      </c>
      <c r="G696">
        <v>1</v>
      </c>
      <c r="H696">
        <v>2</v>
      </c>
      <c r="I696">
        <v>449</v>
      </c>
      <c r="J696">
        <v>5050</v>
      </c>
      <c r="K696" s="8">
        <v>5499</v>
      </c>
      <c r="L696" s="12">
        <v>18.78105</v>
      </c>
      <c r="M696" s="12">
        <v>62.333300000000001</v>
      </c>
      <c r="N696" s="12">
        <v>15.749489000000001</v>
      </c>
      <c r="O696" s="13">
        <f t="shared" si="133"/>
        <v>0.51379636266729378</v>
      </c>
      <c r="P696" s="6">
        <f t="shared" si="134"/>
        <v>-0.60628299215321535</v>
      </c>
      <c r="Q696" s="6">
        <f t="shared" si="135"/>
        <v>-3.2045319600117271E-2</v>
      </c>
      <c r="R696" s="6">
        <f t="shared" si="136"/>
        <v>0.5756456573101506</v>
      </c>
      <c r="S696">
        <f t="shared" si="137"/>
        <v>1</v>
      </c>
      <c r="T696">
        <f t="shared" si="138"/>
        <v>0</v>
      </c>
      <c r="U696">
        <f t="shared" si="139"/>
        <v>0</v>
      </c>
      <c r="V696">
        <f t="shared" si="140"/>
        <v>0</v>
      </c>
      <c r="W696">
        <f t="shared" si="141"/>
        <v>0</v>
      </c>
      <c r="X696">
        <f t="shared" si="142"/>
        <v>0</v>
      </c>
      <c r="Y696">
        <f t="shared" si="143"/>
        <v>0</v>
      </c>
      <c r="Z696">
        <f t="shared" si="144"/>
        <v>0</v>
      </c>
      <c r="AA696">
        <f t="shared" si="145"/>
        <v>1</v>
      </c>
    </row>
    <row r="697" spans="2:27" x14ac:dyDescent="0.3">
      <c r="B697">
        <v>690</v>
      </c>
      <c r="C697" s="1">
        <v>41233</v>
      </c>
      <c r="D697">
        <v>4</v>
      </c>
      <c r="E697">
        <v>1</v>
      </c>
      <c r="F697">
        <v>11</v>
      </c>
      <c r="G697">
        <v>2</v>
      </c>
      <c r="H697">
        <v>2</v>
      </c>
      <c r="I697">
        <v>534</v>
      </c>
      <c r="J697">
        <v>5100</v>
      </c>
      <c r="K697" s="8">
        <v>5634</v>
      </c>
      <c r="L697" s="12">
        <v>19.033349999999999</v>
      </c>
      <c r="M697" s="12">
        <v>68.5</v>
      </c>
      <c r="N697" s="12">
        <v>5.5425750000000003</v>
      </c>
      <c r="O697" s="13">
        <f t="shared" si="133"/>
        <v>0.58353187553340657</v>
      </c>
      <c r="P697" s="6">
        <f t="shared" si="134"/>
        <v>-0.57529736090301986</v>
      </c>
      <c r="Q697" s="6">
        <f t="shared" si="135"/>
        <v>0.40121744287290462</v>
      </c>
      <c r="R697" s="6">
        <f t="shared" si="136"/>
        <v>-1.3914575261059319</v>
      </c>
      <c r="S697">
        <f t="shared" si="137"/>
        <v>0</v>
      </c>
      <c r="T697">
        <f t="shared" si="138"/>
        <v>1</v>
      </c>
      <c r="U697">
        <f t="shared" si="139"/>
        <v>0</v>
      </c>
      <c r="V697">
        <f t="shared" si="140"/>
        <v>0</v>
      </c>
      <c r="W697">
        <f t="shared" si="141"/>
        <v>0</v>
      </c>
      <c r="X697">
        <f t="shared" si="142"/>
        <v>0</v>
      </c>
      <c r="Y697">
        <f t="shared" si="143"/>
        <v>0</v>
      </c>
      <c r="Z697">
        <f t="shared" si="144"/>
        <v>0</v>
      </c>
      <c r="AA697">
        <f t="shared" si="145"/>
        <v>1</v>
      </c>
    </row>
    <row r="698" spans="2:27" x14ac:dyDescent="0.3">
      <c r="B698">
        <v>691</v>
      </c>
      <c r="C698" s="1">
        <v>41234</v>
      </c>
      <c r="D698">
        <v>4</v>
      </c>
      <c r="E698">
        <v>1</v>
      </c>
      <c r="F698">
        <v>11</v>
      </c>
      <c r="G698">
        <v>3</v>
      </c>
      <c r="H698">
        <v>1</v>
      </c>
      <c r="I698">
        <v>615</v>
      </c>
      <c r="J698">
        <v>4531</v>
      </c>
      <c r="K698" s="8">
        <v>5146</v>
      </c>
      <c r="L698" s="12">
        <v>18.244599999999998</v>
      </c>
      <c r="M698" s="12">
        <v>61.375</v>
      </c>
      <c r="N698" s="12">
        <v>6.9174819999999997</v>
      </c>
      <c r="O698" s="13">
        <f t="shared" si="133"/>
        <v>0.33145091050627318</v>
      </c>
      <c r="P698" s="6">
        <f t="shared" si="134"/>
        <v>-0.67216583751257919</v>
      </c>
      <c r="Q698" s="6">
        <f t="shared" si="135"/>
        <v>-9.9373988949671727E-2</v>
      </c>
      <c r="R698" s="6">
        <f t="shared" si="136"/>
        <v>-1.1264818501473557</v>
      </c>
      <c r="S698">
        <f t="shared" si="137"/>
        <v>0</v>
      </c>
      <c r="T698">
        <f t="shared" si="138"/>
        <v>0</v>
      </c>
      <c r="U698">
        <f t="shared" si="139"/>
        <v>1</v>
      </c>
      <c r="V698">
        <f t="shared" si="140"/>
        <v>0</v>
      </c>
      <c r="W698">
        <f t="shared" si="141"/>
        <v>0</v>
      </c>
      <c r="X698">
        <f t="shared" si="142"/>
        <v>0</v>
      </c>
      <c r="Y698">
        <f t="shared" si="143"/>
        <v>0</v>
      </c>
      <c r="Z698">
        <f t="shared" si="144"/>
        <v>0</v>
      </c>
      <c r="AA698">
        <f t="shared" si="145"/>
        <v>1</v>
      </c>
    </row>
    <row r="699" spans="2:27" x14ac:dyDescent="0.3">
      <c r="B699">
        <v>692</v>
      </c>
      <c r="C699" s="1">
        <v>41235</v>
      </c>
      <c r="D699">
        <v>4</v>
      </c>
      <c r="E699">
        <v>1</v>
      </c>
      <c r="F699">
        <v>11</v>
      </c>
      <c r="G699">
        <v>4</v>
      </c>
      <c r="H699">
        <v>1</v>
      </c>
      <c r="I699">
        <v>955</v>
      </c>
      <c r="J699">
        <v>1470</v>
      </c>
      <c r="K699" s="8">
        <v>2425</v>
      </c>
      <c r="L699" s="12">
        <v>17.518550000000001</v>
      </c>
      <c r="M699" s="12">
        <v>58.041699999999999</v>
      </c>
      <c r="N699" s="12">
        <v>3.5423436000000001</v>
      </c>
      <c r="O699" s="13">
        <f t="shared" si="133"/>
        <v>-1.0741070932618211</v>
      </c>
      <c r="P699" s="6">
        <f t="shared" si="134"/>
        <v>-0.7613339610528268</v>
      </c>
      <c r="Q699" s="6">
        <f t="shared" si="135"/>
        <v>-0.33356646890675162</v>
      </c>
      <c r="R699" s="6">
        <f t="shared" si="136"/>
        <v>-1.7769473572643806</v>
      </c>
      <c r="S699">
        <f t="shared" si="137"/>
        <v>0</v>
      </c>
      <c r="T699">
        <f t="shared" si="138"/>
        <v>0</v>
      </c>
      <c r="U699">
        <f t="shared" si="139"/>
        <v>0</v>
      </c>
      <c r="V699">
        <f t="shared" si="140"/>
        <v>1</v>
      </c>
      <c r="W699">
        <f t="shared" si="141"/>
        <v>0</v>
      </c>
      <c r="X699">
        <f t="shared" si="142"/>
        <v>0</v>
      </c>
      <c r="Y699">
        <f t="shared" si="143"/>
        <v>0</v>
      </c>
      <c r="Z699">
        <f t="shared" si="144"/>
        <v>0</v>
      </c>
      <c r="AA699">
        <f t="shared" si="145"/>
        <v>1</v>
      </c>
    </row>
    <row r="700" spans="2:27" x14ac:dyDescent="0.3">
      <c r="B700">
        <v>693</v>
      </c>
      <c r="C700" s="1">
        <v>41236</v>
      </c>
      <c r="D700">
        <v>4</v>
      </c>
      <c r="E700">
        <v>1</v>
      </c>
      <c r="F700">
        <v>11</v>
      </c>
      <c r="G700">
        <v>5</v>
      </c>
      <c r="H700">
        <v>1</v>
      </c>
      <c r="I700">
        <v>1603</v>
      </c>
      <c r="J700">
        <v>2307</v>
      </c>
      <c r="K700" s="8">
        <v>3910</v>
      </c>
      <c r="L700" s="12">
        <v>18.938949999999998</v>
      </c>
      <c r="M700" s="12">
        <v>56.875</v>
      </c>
      <c r="N700" s="12">
        <v>9.9174070000000007</v>
      </c>
      <c r="O700" s="13">
        <f t="shared" si="133"/>
        <v>-0.30701645173458109</v>
      </c>
      <c r="P700" s="6">
        <f t="shared" si="134"/>
        <v>-0.58689087493400871</v>
      </c>
      <c r="Q700" s="6">
        <f t="shared" si="135"/>
        <v>-0.41553699852182518</v>
      </c>
      <c r="R700" s="6">
        <f t="shared" si="136"/>
        <v>-0.54832845162655963</v>
      </c>
      <c r="S700">
        <f t="shared" si="137"/>
        <v>0</v>
      </c>
      <c r="T700">
        <f t="shared" si="138"/>
        <v>0</v>
      </c>
      <c r="U700">
        <f t="shared" si="139"/>
        <v>0</v>
      </c>
      <c r="V700">
        <f t="shared" si="140"/>
        <v>0</v>
      </c>
      <c r="W700">
        <f t="shared" si="141"/>
        <v>1</v>
      </c>
      <c r="X700">
        <f t="shared" si="142"/>
        <v>0</v>
      </c>
      <c r="Y700">
        <f t="shared" si="143"/>
        <v>0</v>
      </c>
      <c r="Z700">
        <f t="shared" si="144"/>
        <v>0</v>
      </c>
      <c r="AA700">
        <f t="shared" si="145"/>
        <v>1</v>
      </c>
    </row>
    <row r="701" spans="2:27" x14ac:dyDescent="0.3">
      <c r="B701">
        <v>694</v>
      </c>
      <c r="C701" s="1">
        <v>41237</v>
      </c>
      <c r="D701">
        <v>4</v>
      </c>
      <c r="E701">
        <v>1</v>
      </c>
      <c r="F701">
        <v>11</v>
      </c>
      <c r="G701">
        <v>6</v>
      </c>
      <c r="H701">
        <v>1</v>
      </c>
      <c r="I701">
        <v>532</v>
      </c>
      <c r="J701">
        <v>1745</v>
      </c>
      <c r="K701" s="8">
        <v>2277</v>
      </c>
      <c r="L701" s="12">
        <v>12.437099999999999</v>
      </c>
      <c r="M701" s="12">
        <v>40.458300000000001</v>
      </c>
      <c r="N701" s="12">
        <v>25.250357000000001</v>
      </c>
      <c r="O701" s="13">
        <f t="shared" si="133"/>
        <v>-1.1505578777372631</v>
      </c>
      <c r="P701" s="6">
        <f t="shared" si="134"/>
        <v>-1.3854002944507924</v>
      </c>
      <c r="Q701" s="6">
        <f t="shared" si="135"/>
        <v>-1.5689488383536412</v>
      </c>
      <c r="R701" s="6">
        <f t="shared" si="136"/>
        <v>2.4066778074797308</v>
      </c>
      <c r="S701">
        <f t="shared" si="137"/>
        <v>0</v>
      </c>
      <c r="T701">
        <f t="shared" si="138"/>
        <v>0</v>
      </c>
      <c r="U701">
        <f t="shared" si="139"/>
        <v>0</v>
      </c>
      <c r="V701">
        <f t="shared" si="140"/>
        <v>0</v>
      </c>
      <c r="W701">
        <f t="shared" si="141"/>
        <v>0</v>
      </c>
      <c r="X701">
        <f t="shared" si="142"/>
        <v>0</v>
      </c>
      <c r="Y701">
        <f t="shared" si="143"/>
        <v>0</v>
      </c>
      <c r="Z701">
        <f t="shared" si="144"/>
        <v>0</v>
      </c>
      <c r="AA701">
        <f t="shared" si="145"/>
        <v>1</v>
      </c>
    </row>
    <row r="702" spans="2:27" x14ac:dyDescent="0.3">
      <c r="B702">
        <v>695</v>
      </c>
      <c r="C702" s="1">
        <v>41238</v>
      </c>
      <c r="D702">
        <v>4</v>
      </c>
      <c r="E702">
        <v>1</v>
      </c>
      <c r="F702">
        <v>11</v>
      </c>
      <c r="G702">
        <v>0</v>
      </c>
      <c r="H702">
        <v>1</v>
      </c>
      <c r="I702">
        <v>309</v>
      </c>
      <c r="J702">
        <v>2115</v>
      </c>
      <c r="K702" s="8">
        <v>2424</v>
      </c>
      <c r="L702" s="12">
        <v>12.879149999999999</v>
      </c>
      <c r="M702" s="12">
        <v>46.833300000000001</v>
      </c>
      <c r="N702" s="12">
        <v>10.083500000000001</v>
      </c>
      <c r="O702" s="13">
        <f t="shared" si="133"/>
        <v>-1.0746236526163848</v>
      </c>
      <c r="P702" s="6">
        <f t="shared" si="134"/>
        <v>-1.3311109631224176</v>
      </c>
      <c r="Q702" s="6">
        <f t="shared" si="135"/>
        <v>-1.1210512414597571</v>
      </c>
      <c r="R702" s="6">
        <f t="shared" si="136"/>
        <v>-0.5163185739061118</v>
      </c>
      <c r="S702">
        <f t="shared" si="137"/>
        <v>0</v>
      </c>
      <c r="T702">
        <f t="shared" si="138"/>
        <v>0</v>
      </c>
      <c r="U702">
        <f t="shared" si="139"/>
        <v>0</v>
      </c>
      <c r="V702">
        <f t="shared" si="140"/>
        <v>0</v>
      </c>
      <c r="W702">
        <f t="shared" si="141"/>
        <v>0</v>
      </c>
      <c r="X702">
        <f t="shared" si="142"/>
        <v>0</v>
      </c>
      <c r="Y702">
        <f t="shared" si="143"/>
        <v>0</v>
      </c>
      <c r="Z702">
        <f t="shared" si="144"/>
        <v>0</v>
      </c>
      <c r="AA702">
        <f t="shared" si="145"/>
        <v>1</v>
      </c>
    </row>
    <row r="703" spans="2:27" x14ac:dyDescent="0.3">
      <c r="B703">
        <v>696</v>
      </c>
      <c r="C703" s="1">
        <v>41239</v>
      </c>
      <c r="D703">
        <v>4</v>
      </c>
      <c r="E703">
        <v>1</v>
      </c>
      <c r="F703">
        <v>11</v>
      </c>
      <c r="G703">
        <v>1</v>
      </c>
      <c r="H703">
        <v>1</v>
      </c>
      <c r="I703">
        <v>337</v>
      </c>
      <c r="J703">
        <v>4750</v>
      </c>
      <c r="K703" s="8">
        <v>5087</v>
      </c>
      <c r="L703" s="12">
        <v>16.950199999999999</v>
      </c>
      <c r="M703" s="12">
        <v>53.541699999999999</v>
      </c>
      <c r="N703" s="12">
        <v>3.1255500000000001</v>
      </c>
      <c r="O703" s="13">
        <f t="shared" si="133"/>
        <v>0.30097390858700906</v>
      </c>
      <c r="P703" s="6">
        <f t="shared" si="134"/>
        <v>-0.83113452990359482</v>
      </c>
      <c r="Q703" s="6">
        <f t="shared" si="135"/>
        <v>-0.64972947847890505</v>
      </c>
      <c r="R703" s="6">
        <f t="shared" si="136"/>
        <v>-1.8572729108437926</v>
      </c>
      <c r="S703">
        <f t="shared" si="137"/>
        <v>1</v>
      </c>
      <c r="T703">
        <f t="shared" si="138"/>
        <v>0</v>
      </c>
      <c r="U703">
        <f t="shared" si="139"/>
        <v>0</v>
      </c>
      <c r="V703">
        <f t="shared" si="140"/>
        <v>0</v>
      </c>
      <c r="W703">
        <f t="shared" si="141"/>
        <v>0</v>
      </c>
      <c r="X703">
        <f t="shared" si="142"/>
        <v>0</v>
      </c>
      <c r="Y703">
        <f t="shared" si="143"/>
        <v>0</v>
      </c>
      <c r="Z703">
        <f t="shared" si="144"/>
        <v>0</v>
      </c>
      <c r="AA703">
        <f t="shared" si="145"/>
        <v>1</v>
      </c>
    </row>
    <row r="704" spans="2:27" x14ac:dyDescent="0.3">
      <c r="B704">
        <v>697</v>
      </c>
      <c r="C704" s="1">
        <v>41240</v>
      </c>
      <c r="D704">
        <v>4</v>
      </c>
      <c r="E704">
        <v>1</v>
      </c>
      <c r="F704">
        <v>11</v>
      </c>
      <c r="G704">
        <v>2</v>
      </c>
      <c r="H704">
        <v>2</v>
      </c>
      <c r="I704">
        <v>123</v>
      </c>
      <c r="J704">
        <v>3836</v>
      </c>
      <c r="K704" s="8">
        <v>3959</v>
      </c>
      <c r="L704" s="12">
        <v>14.0779</v>
      </c>
      <c r="M704" s="12">
        <v>78.666700000000006</v>
      </c>
      <c r="N704" s="12">
        <v>15.916653999999999</v>
      </c>
      <c r="O704" s="13">
        <f t="shared" si="133"/>
        <v>-0.28170504336095498</v>
      </c>
      <c r="P704" s="6">
        <f t="shared" si="134"/>
        <v>-1.1838893005731823</v>
      </c>
      <c r="Q704" s="6">
        <f t="shared" si="135"/>
        <v>1.1155139916322856</v>
      </c>
      <c r="R704" s="6">
        <f t="shared" si="136"/>
        <v>0.60786213367663577</v>
      </c>
      <c r="S704">
        <f t="shared" si="137"/>
        <v>0</v>
      </c>
      <c r="T704">
        <f t="shared" si="138"/>
        <v>1</v>
      </c>
      <c r="U704">
        <f t="shared" si="139"/>
        <v>0</v>
      </c>
      <c r="V704">
        <f t="shared" si="140"/>
        <v>0</v>
      </c>
      <c r="W704">
        <f t="shared" si="141"/>
        <v>0</v>
      </c>
      <c r="X704">
        <f t="shared" si="142"/>
        <v>0</v>
      </c>
      <c r="Y704">
        <f t="shared" si="143"/>
        <v>0</v>
      </c>
      <c r="Z704">
        <f t="shared" si="144"/>
        <v>0</v>
      </c>
      <c r="AA704">
        <f t="shared" si="145"/>
        <v>1</v>
      </c>
    </row>
    <row r="705" spans="2:27" x14ac:dyDescent="0.3">
      <c r="B705">
        <v>698</v>
      </c>
      <c r="C705" s="1">
        <v>41241</v>
      </c>
      <c r="D705">
        <v>4</v>
      </c>
      <c r="E705">
        <v>1</v>
      </c>
      <c r="F705">
        <v>11</v>
      </c>
      <c r="G705">
        <v>3</v>
      </c>
      <c r="H705">
        <v>1</v>
      </c>
      <c r="I705">
        <v>198</v>
      </c>
      <c r="J705">
        <v>5062</v>
      </c>
      <c r="K705" s="8">
        <v>5260</v>
      </c>
      <c r="L705" s="12">
        <v>14.488099999999999</v>
      </c>
      <c r="M705" s="12">
        <v>50.625</v>
      </c>
      <c r="N705" s="12">
        <v>14.125007</v>
      </c>
      <c r="O705" s="13">
        <f t="shared" si="133"/>
        <v>0.39033867692654611</v>
      </c>
      <c r="P705" s="6">
        <f t="shared" si="134"/>
        <v>-1.13351155210378</v>
      </c>
      <c r="Q705" s="6">
        <f t="shared" si="135"/>
        <v>-0.85465228959426054</v>
      </c>
      <c r="R705" s="6">
        <f t="shared" si="136"/>
        <v>0.26257123407094968</v>
      </c>
      <c r="S705">
        <f t="shared" si="137"/>
        <v>0</v>
      </c>
      <c r="T705">
        <f t="shared" si="138"/>
        <v>0</v>
      </c>
      <c r="U705">
        <f t="shared" si="139"/>
        <v>1</v>
      </c>
      <c r="V705">
        <f t="shared" si="140"/>
        <v>0</v>
      </c>
      <c r="W705">
        <f t="shared" si="141"/>
        <v>0</v>
      </c>
      <c r="X705">
        <f t="shared" si="142"/>
        <v>0</v>
      </c>
      <c r="Y705">
        <f t="shared" si="143"/>
        <v>0</v>
      </c>
      <c r="Z705">
        <f t="shared" si="144"/>
        <v>0</v>
      </c>
      <c r="AA705">
        <f t="shared" si="145"/>
        <v>1</v>
      </c>
    </row>
    <row r="706" spans="2:27" x14ac:dyDescent="0.3">
      <c r="B706">
        <v>699</v>
      </c>
      <c r="C706" s="1">
        <v>41242</v>
      </c>
      <c r="D706">
        <v>4</v>
      </c>
      <c r="E706">
        <v>1</v>
      </c>
      <c r="F706">
        <v>11</v>
      </c>
      <c r="G706">
        <v>4</v>
      </c>
      <c r="H706">
        <v>1</v>
      </c>
      <c r="I706">
        <v>243</v>
      </c>
      <c r="J706">
        <v>5080</v>
      </c>
      <c r="K706" s="8">
        <v>5323</v>
      </c>
      <c r="L706" s="12">
        <v>14.921099999999999</v>
      </c>
      <c r="M706" s="12">
        <v>55.565199999999997</v>
      </c>
      <c r="N706" s="12">
        <v>7.7399740000000001</v>
      </c>
      <c r="O706" s="13">
        <f t="shared" si="133"/>
        <v>0.42288191626406541</v>
      </c>
      <c r="P706" s="6">
        <f t="shared" si="134"/>
        <v>-1.0803336752455368</v>
      </c>
      <c r="Q706" s="6">
        <f t="shared" si="135"/>
        <v>-0.5075615118412935</v>
      </c>
      <c r="R706" s="6">
        <f t="shared" si="136"/>
        <v>-0.96796903897502085</v>
      </c>
      <c r="S706">
        <f t="shared" si="137"/>
        <v>0</v>
      </c>
      <c r="T706">
        <f t="shared" si="138"/>
        <v>0</v>
      </c>
      <c r="U706">
        <f t="shared" si="139"/>
        <v>0</v>
      </c>
      <c r="V706">
        <f t="shared" si="140"/>
        <v>1</v>
      </c>
      <c r="W706">
        <f t="shared" si="141"/>
        <v>0</v>
      </c>
      <c r="X706">
        <f t="shared" si="142"/>
        <v>0</v>
      </c>
      <c r="Y706">
        <f t="shared" si="143"/>
        <v>0</v>
      </c>
      <c r="Z706">
        <f t="shared" si="144"/>
        <v>0</v>
      </c>
      <c r="AA706">
        <f t="shared" si="145"/>
        <v>1</v>
      </c>
    </row>
    <row r="707" spans="2:27" x14ac:dyDescent="0.3">
      <c r="B707">
        <v>700</v>
      </c>
      <c r="C707" s="1">
        <v>41243</v>
      </c>
      <c r="D707">
        <v>4</v>
      </c>
      <c r="E707">
        <v>1</v>
      </c>
      <c r="F707">
        <v>11</v>
      </c>
      <c r="G707">
        <v>5</v>
      </c>
      <c r="H707">
        <v>1</v>
      </c>
      <c r="I707">
        <v>362</v>
      </c>
      <c r="J707">
        <v>5306</v>
      </c>
      <c r="K707" s="8">
        <v>5668</v>
      </c>
      <c r="L707" s="12">
        <v>16.193349999999999</v>
      </c>
      <c r="M707" s="12">
        <v>64.958299999999994</v>
      </c>
      <c r="N707" s="12">
        <v>3.9175436000000001</v>
      </c>
      <c r="O707" s="13">
        <f t="shared" si="133"/>
        <v>0.60109489358857571</v>
      </c>
      <c r="P707" s="6">
        <f t="shared" si="134"/>
        <v>-0.92408528302175008</v>
      </c>
      <c r="Q707" s="6">
        <f t="shared" si="135"/>
        <v>0.15238310265030508</v>
      </c>
      <c r="R707" s="6">
        <f t="shared" si="136"/>
        <v>-1.7046378311512271</v>
      </c>
      <c r="S707">
        <f t="shared" si="137"/>
        <v>0</v>
      </c>
      <c r="T707">
        <f t="shared" si="138"/>
        <v>0</v>
      </c>
      <c r="U707">
        <f t="shared" si="139"/>
        <v>0</v>
      </c>
      <c r="V707">
        <f t="shared" si="140"/>
        <v>0</v>
      </c>
      <c r="W707">
        <f t="shared" si="141"/>
        <v>1</v>
      </c>
      <c r="X707">
        <f t="shared" si="142"/>
        <v>0</v>
      </c>
      <c r="Y707">
        <f t="shared" si="143"/>
        <v>0</v>
      </c>
      <c r="Z707">
        <f t="shared" si="144"/>
        <v>0</v>
      </c>
      <c r="AA707">
        <f t="shared" si="145"/>
        <v>1</v>
      </c>
    </row>
    <row r="708" spans="2:27" x14ac:dyDescent="0.3">
      <c r="B708">
        <v>701</v>
      </c>
      <c r="C708" s="1">
        <v>41244</v>
      </c>
      <c r="D708">
        <v>4</v>
      </c>
      <c r="E708">
        <v>1</v>
      </c>
      <c r="F708">
        <v>12</v>
      </c>
      <c r="G708">
        <v>6</v>
      </c>
      <c r="H708">
        <v>2</v>
      </c>
      <c r="I708">
        <v>951</v>
      </c>
      <c r="J708">
        <v>4240</v>
      </c>
      <c r="K708" s="8">
        <v>5191</v>
      </c>
      <c r="L708" s="12">
        <v>15.8452</v>
      </c>
      <c r="M708" s="12">
        <v>80.666700000000006</v>
      </c>
      <c r="N708" s="12">
        <v>4.0001813999999998</v>
      </c>
      <c r="O708" s="13">
        <f t="shared" si="133"/>
        <v>0.35469608146164405</v>
      </c>
      <c r="P708" s="6">
        <f t="shared" si="134"/>
        <v>-0.96684250664345273</v>
      </c>
      <c r="Q708" s="6">
        <f t="shared" si="135"/>
        <v>1.2560308847754649</v>
      </c>
      <c r="R708" s="6">
        <f t="shared" si="136"/>
        <v>-1.6887116580248052</v>
      </c>
      <c r="S708">
        <f t="shared" si="137"/>
        <v>0</v>
      </c>
      <c r="T708">
        <f t="shared" si="138"/>
        <v>0</v>
      </c>
      <c r="U708">
        <f t="shared" si="139"/>
        <v>0</v>
      </c>
      <c r="V708">
        <f t="shared" si="140"/>
        <v>0</v>
      </c>
      <c r="W708">
        <f t="shared" si="141"/>
        <v>0</v>
      </c>
      <c r="X708">
        <f t="shared" si="142"/>
        <v>0</v>
      </c>
      <c r="Y708">
        <f t="shared" si="143"/>
        <v>0</v>
      </c>
      <c r="Z708">
        <f t="shared" si="144"/>
        <v>0</v>
      </c>
      <c r="AA708">
        <f t="shared" si="145"/>
        <v>1</v>
      </c>
    </row>
    <row r="709" spans="2:27" x14ac:dyDescent="0.3">
      <c r="B709">
        <v>702</v>
      </c>
      <c r="C709" s="1">
        <v>41245</v>
      </c>
      <c r="D709">
        <v>4</v>
      </c>
      <c r="E709">
        <v>1</v>
      </c>
      <c r="F709">
        <v>12</v>
      </c>
      <c r="G709">
        <v>0</v>
      </c>
      <c r="H709">
        <v>2</v>
      </c>
      <c r="I709">
        <v>892</v>
      </c>
      <c r="J709">
        <v>3757</v>
      </c>
      <c r="K709" s="8">
        <v>4649</v>
      </c>
      <c r="L709" s="12">
        <v>17.9604</v>
      </c>
      <c r="M709" s="12">
        <v>82.333299999999994</v>
      </c>
      <c r="N709" s="12">
        <v>8.3333929999999992</v>
      </c>
      <c r="O709" s="13">
        <f t="shared" si="133"/>
        <v>7.4720911288065572E-2</v>
      </c>
      <c r="P709" s="6">
        <f t="shared" si="134"/>
        <v>-0.70706919225417875</v>
      </c>
      <c r="Q709" s="6">
        <f t="shared" si="135"/>
        <v>1.3731236118316754</v>
      </c>
      <c r="R709" s="6">
        <f t="shared" si="136"/>
        <v>-0.85360377597784209</v>
      </c>
      <c r="S709">
        <f t="shared" si="137"/>
        <v>0</v>
      </c>
      <c r="T709">
        <f t="shared" si="138"/>
        <v>0</v>
      </c>
      <c r="U709">
        <f t="shared" si="139"/>
        <v>0</v>
      </c>
      <c r="V709">
        <f t="shared" si="140"/>
        <v>0</v>
      </c>
      <c r="W709">
        <f t="shared" si="141"/>
        <v>0</v>
      </c>
      <c r="X709">
        <f t="shared" si="142"/>
        <v>0</v>
      </c>
      <c r="Y709">
        <f t="shared" si="143"/>
        <v>0</v>
      </c>
      <c r="Z709">
        <f t="shared" si="144"/>
        <v>0</v>
      </c>
      <c r="AA709">
        <f t="shared" si="145"/>
        <v>1</v>
      </c>
    </row>
    <row r="710" spans="2:27" x14ac:dyDescent="0.3">
      <c r="B710">
        <v>703</v>
      </c>
      <c r="C710" s="1">
        <v>41246</v>
      </c>
      <c r="D710">
        <v>4</v>
      </c>
      <c r="E710">
        <v>1</v>
      </c>
      <c r="F710">
        <v>12</v>
      </c>
      <c r="G710">
        <v>1</v>
      </c>
      <c r="H710">
        <v>1</v>
      </c>
      <c r="I710">
        <v>555</v>
      </c>
      <c r="J710">
        <v>5679</v>
      </c>
      <c r="K710" s="8">
        <v>6234</v>
      </c>
      <c r="L710" s="12">
        <v>22.7898</v>
      </c>
      <c r="M710" s="12">
        <v>76.75</v>
      </c>
      <c r="N710" s="12">
        <v>5.5422935999999998</v>
      </c>
      <c r="O710" s="13">
        <f t="shared" si="133"/>
        <v>0.89346748827168532</v>
      </c>
      <c r="P710" s="6">
        <f t="shared" si="134"/>
        <v>-0.11395778694425067</v>
      </c>
      <c r="Q710" s="6">
        <f t="shared" si="135"/>
        <v>0.9808496270885193</v>
      </c>
      <c r="R710" s="6">
        <f t="shared" si="136"/>
        <v>-1.3915117582505168</v>
      </c>
      <c r="S710">
        <f t="shared" si="137"/>
        <v>1</v>
      </c>
      <c r="T710">
        <f t="shared" si="138"/>
        <v>0</v>
      </c>
      <c r="U710">
        <f t="shared" si="139"/>
        <v>0</v>
      </c>
      <c r="V710">
        <f t="shared" si="140"/>
        <v>0</v>
      </c>
      <c r="W710">
        <f t="shared" si="141"/>
        <v>0</v>
      </c>
      <c r="X710">
        <f t="shared" si="142"/>
        <v>0</v>
      </c>
      <c r="Y710">
        <f t="shared" si="143"/>
        <v>0</v>
      </c>
      <c r="Z710">
        <f t="shared" si="144"/>
        <v>0</v>
      </c>
      <c r="AA710">
        <f t="shared" si="145"/>
        <v>1</v>
      </c>
    </row>
    <row r="711" spans="2:27" x14ac:dyDescent="0.3">
      <c r="B711">
        <v>704</v>
      </c>
      <c r="C711" s="1">
        <v>41247</v>
      </c>
      <c r="D711">
        <v>4</v>
      </c>
      <c r="E711">
        <v>1</v>
      </c>
      <c r="F711">
        <v>12</v>
      </c>
      <c r="G711">
        <v>2</v>
      </c>
      <c r="H711">
        <v>1</v>
      </c>
      <c r="I711">
        <v>551</v>
      </c>
      <c r="J711">
        <v>6055</v>
      </c>
      <c r="K711" s="8">
        <v>6606</v>
      </c>
      <c r="L711" s="12">
        <v>23.4527</v>
      </c>
      <c r="M711" s="12">
        <v>73.375</v>
      </c>
      <c r="N711" s="12">
        <v>11.666643000000001</v>
      </c>
      <c r="O711" s="13">
        <f t="shared" si="133"/>
        <v>1.0856275681694181</v>
      </c>
      <c r="P711" s="6">
        <f t="shared" si="134"/>
        <v>-3.2545282165199099E-2</v>
      </c>
      <c r="Q711" s="6">
        <f t="shared" si="135"/>
        <v>0.74372736990940425</v>
      </c>
      <c r="R711" s="6">
        <f t="shared" si="136"/>
        <v>-0.21121111095473522</v>
      </c>
      <c r="S711">
        <f t="shared" si="137"/>
        <v>0</v>
      </c>
      <c r="T711">
        <f t="shared" si="138"/>
        <v>1</v>
      </c>
      <c r="U711">
        <f t="shared" si="139"/>
        <v>0</v>
      </c>
      <c r="V711">
        <f t="shared" si="140"/>
        <v>0</v>
      </c>
      <c r="W711">
        <f t="shared" si="141"/>
        <v>0</v>
      </c>
      <c r="X711">
        <f t="shared" si="142"/>
        <v>0</v>
      </c>
      <c r="Y711">
        <f t="shared" si="143"/>
        <v>0</v>
      </c>
      <c r="Z711">
        <f t="shared" si="144"/>
        <v>0</v>
      </c>
      <c r="AA711">
        <f t="shared" si="145"/>
        <v>1</v>
      </c>
    </row>
    <row r="712" spans="2:27" x14ac:dyDescent="0.3">
      <c r="B712">
        <v>705</v>
      </c>
      <c r="C712" s="1">
        <v>41248</v>
      </c>
      <c r="D712">
        <v>4</v>
      </c>
      <c r="E712">
        <v>1</v>
      </c>
      <c r="F712">
        <v>12</v>
      </c>
      <c r="G712">
        <v>3</v>
      </c>
      <c r="H712">
        <v>1</v>
      </c>
      <c r="I712">
        <v>331</v>
      </c>
      <c r="J712">
        <v>5398</v>
      </c>
      <c r="K712" s="8">
        <v>5729</v>
      </c>
      <c r="L712" s="12">
        <v>21.400600000000001</v>
      </c>
      <c r="M712" s="12">
        <v>48.5</v>
      </c>
      <c r="N712" s="12">
        <v>21.709406999999999</v>
      </c>
      <c r="O712" s="13">
        <f t="shared" si="133"/>
        <v>0.63260501421696735</v>
      </c>
      <c r="P712" s="6">
        <f t="shared" si="134"/>
        <v>-0.28456911842570831</v>
      </c>
      <c r="Q712" s="6">
        <f t="shared" si="135"/>
        <v>-1.0039514885588887</v>
      </c>
      <c r="R712" s="6">
        <f t="shared" si="136"/>
        <v>1.7242566547868421</v>
      </c>
      <c r="S712">
        <f t="shared" si="137"/>
        <v>0</v>
      </c>
      <c r="T712">
        <f t="shared" si="138"/>
        <v>0</v>
      </c>
      <c r="U712">
        <f t="shared" si="139"/>
        <v>1</v>
      </c>
      <c r="V712">
        <f t="shared" si="140"/>
        <v>0</v>
      </c>
      <c r="W712">
        <f t="shared" si="141"/>
        <v>0</v>
      </c>
      <c r="X712">
        <f t="shared" si="142"/>
        <v>0</v>
      </c>
      <c r="Y712">
        <f t="shared" si="143"/>
        <v>0</v>
      </c>
      <c r="Z712">
        <f t="shared" si="144"/>
        <v>0</v>
      </c>
      <c r="AA712">
        <f t="shared" si="145"/>
        <v>1</v>
      </c>
    </row>
    <row r="713" spans="2:27" x14ac:dyDescent="0.3">
      <c r="B713">
        <v>706</v>
      </c>
      <c r="C713" s="1">
        <v>41249</v>
      </c>
      <c r="D713">
        <v>4</v>
      </c>
      <c r="E713">
        <v>1</v>
      </c>
      <c r="F713">
        <v>12</v>
      </c>
      <c r="G713">
        <v>4</v>
      </c>
      <c r="H713">
        <v>1</v>
      </c>
      <c r="I713">
        <v>340</v>
      </c>
      <c r="J713">
        <v>5035</v>
      </c>
      <c r="K713" s="8">
        <v>5375</v>
      </c>
      <c r="L713" s="12">
        <v>12.9102</v>
      </c>
      <c r="M713" s="12">
        <v>50.875</v>
      </c>
      <c r="N713" s="12">
        <v>11.708518</v>
      </c>
      <c r="O713" s="13">
        <f t="shared" ref="O713:O738" si="146">(K713-K$2)/K$3</f>
        <v>0.4497430027013829</v>
      </c>
      <c r="P713" s="6">
        <f t="shared" ref="P713:P738" si="147">(L713-L$2)/L$3</f>
        <v>-1.3272976303823518</v>
      </c>
      <c r="Q713" s="6">
        <f t="shared" ref="Q713:Q738" si="148">(M713-M$2)/M$3</f>
        <v>-0.83708767795136318</v>
      </c>
      <c r="R713" s="6">
        <f t="shared" ref="R713:R738" si="149">(N713-N$2)/N$3</f>
        <v>-0.20314085134389231</v>
      </c>
      <c r="S713">
        <f t="shared" ref="S713:S738" si="150">IF($G713=1,1,0)</f>
        <v>0</v>
      </c>
      <c r="T713">
        <f t="shared" ref="T713:T738" si="151">IF($G713=2,1,0)</f>
        <v>0</v>
      </c>
      <c r="U713">
        <f t="shared" ref="U713:U738" si="152">IF($G713=3,1,0)</f>
        <v>0</v>
      </c>
      <c r="V713">
        <f t="shared" ref="V713:V738" si="153">IF($G713=4,1,0)</f>
        <v>1</v>
      </c>
      <c r="W713">
        <f t="shared" ref="W713:W738" si="154">IF($G713=5,1,0)</f>
        <v>0</v>
      </c>
      <c r="X713">
        <f t="shared" ref="X713:X738" si="155">IF($H713=3,1,0)</f>
        <v>0</v>
      </c>
      <c r="Y713">
        <f t="shared" ref="Y713:Y738" si="156">IF($D713=2,1,0)</f>
        <v>0</v>
      </c>
      <c r="Z713">
        <f t="shared" ref="Z713:Z738" si="157">IF($D713=3,1,0)</f>
        <v>0</v>
      </c>
      <c r="AA713">
        <f t="shared" ref="AA713:AA738" si="158">IF($D713=4,1,0)</f>
        <v>1</v>
      </c>
    </row>
    <row r="714" spans="2:27" x14ac:dyDescent="0.3">
      <c r="B714">
        <v>707</v>
      </c>
      <c r="C714" s="1">
        <v>41250</v>
      </c>
      <c r="D714">
        <v>4</v>
      </c>
      <c r="E714">
        <v>1</v>
      </c>
      <c r="F714">
        <v>12</v>
      </c>
      <c r="G714">
        <v>5</v>
      </c>
      <c r="H714">
        <v>2</v>
      </c>
      <c r="I714">
        <v>349</v>
      </c>
      <c r="J714">
        <v>4659</v>
      </c>
      <c r="K714" s="8">
        <v>5008</v>
      </c>
      <c r="L714" s="12">
        <v>16.097899999999999</v>
      </c>
      <c r="M714" s="12">
        <v>76.416700000000006</v>
      </c>
      <c r="N714" s="12">
        <v>8.7501999999999995</v>
      </c>
      <c r="O714" s="13">
        <f t="shared" si="146"/>
        <v>0.26016571957646906</v>
      </c>
      <c r="P714" s="6">
        <f t="shared" si="147"/>
        <v>-0.93580775033380381</v>
      </c>
      <c r="Q714" s="6">
        <f t="shared" si="148"/>
        <v>0.95743248684620885</v>
      </c>
      <c r="R714" s="6">
        <f t="shared" si="149"/>
        <v>-0.77327563991535464</v>
      </c>
      <c r="S714">
        <f t="shared" si="150"/>
        <v>0</v>
      </c>
      <c r="T714">
        <f t="shared" si="151"/>
        <v>0</v>
      </c>
      <c r="U714">
        <f t="shared" si="152"/>
        <v>0</v>
      </c>
      <c r="V714">
        <f t="shared" si="153"/>
        <v>0</v>
      </c>
      <c r="W714">
        <f t="shared" si="154"/>
        <v>1</v>
      </c>
      <c r="X714">
        <f t="shared" si="155"/>
        <v>0</v>
      </c>
      <c r="Y714">
        <f t="shared" si="156"/>
        <v>0</v>
      </c>
      <c r="Z714">
        <f t="shared" si="157"/>
        <v>0</v>
      </c>
      <c r="AA714">
        <f t="shared" si="158"/>
        <v>1</v>
      </c>
    </row>
    <row r="715" spans="2:27" x14ac:dyDescent="0.3">
      <c r="B715">
        <v>708</v>
      </c>
      <c r="C715" s="1">
        <v>41251</v>
      </c>
      <c r="D715">
        <v>4</v>
      </c>
      <c r="E715">
        <v>1</v>
      </c>
      <c r="F715">
        <v>12</v>
      </c>
      <c r="G715">
        <v>6</v>
      </c>
      <c r="H715">
        <v>2</v>
      </c>
      <c r="I715">
        <v>1153</v>
      </c>
      <c r="J715">
        <v>4429</v>
      </c>
      <c r="K715" s="8">
        <v>5582</v>
      </c>
      <c r="L715" s="12">
        <v>19.4754</v>
      </c>
      <c r="M715" s="12">
        <v>91.125</v>
      </c>
      <c r="N715" s="12">
        <v>6.7923929999999997</v>
      </c>
      <c r="O715" s="13">
        <f t="shared" si="146"/>
        <v>0.55667078909608902</v>
      </c>
      <c r="P715" s="6">
        <f t="shared" si="147"/>
        <v>-0.52100802957464476</v>
      </c>
      <c r="Q715" s="6">
        <f t="shared" si="148"/>
        <v>1.9908147965551206</v>
      </c>
      <c r="R715" s="6">
        <f t="shared" si="149"/>
        <v>-1.1505893296568661</v>
      </c>
      <c r="S715">
        <f t="shared" si="150"/>
        <v>0</v>
      </c>
      <c r="T715">
        <f t="shared" si="151"/>
        <v>0</v>
      </c>
      <c r="U715">
        <f t="shared" si="152"/>
        <v>0</v>
      </c>
      <c r="V715">
        <f t="shared" si="153"/>
        <v>0</v>
      </c>
      <c r="W715">
        <f t="shared" si="154"/>
        <v>0</v>
      </c>
      <c r="X715">
        <f t="shared" si="155"/>
        <v>0</v>
      </c>
      <c r="Y715">
        <f t="shared" si="156"/>
        <v>0</v>
      </c>
      <c r="Z715">
        <f t="shared" si="157"/>
        <v>0</v>
      </c>
      <c r="AA715">
        <f t="shared" si="158"/>
        <v>1</v>
      </c>
    </row>
    <row r="716" spans="2:27" x14ac:dyDescent="0.3">
      <c r="B716">
        <v>709</v>
      </c>
      <c r="C716" s="1">
        <v>41252</v>
      </c>
      <c r="D716">
        <v>4</v>
      </c>
      <c r="E716">
        <v>1</v>
      </c>
      <c r="F716">
        <v>12</v>
      </c>
      <c r="G716">
        <v>0</v>
      </c>
      <c r="H716">
        <v>2</v>
      </c>
      <c r="I716">
        <v>441</v>
      </c>
      <c r="J716">
        <v>2787</v>
      </c>
      <c r="K716" s="8">
        <v>3228</v>
      </c>
      <c r="L716" s="12">
        <v>19.507300000000001</v>
      </c>
      <c r="M716" s="12">
        <v>90.541700000000006</v>
      </c>
      <c r="N716" s="12">
        <v>10.584325</v>
      </c>
      <c r="O716" s="13">
        <f t="shared" si="146"/>
        <v>-0.65930993154709128</v>
      </c>
      <c r="P716" s="6">
        <f t="shared" si="147"/>
        <v>-0.51709030608324069</v>
      </c>
      <c r="Q716" s="6">
        <f t="shared" si="148"/>
        <v>1.9498330446699128</v>
      </c>
      <c r="R716" s="6">
        <f t="shared" si="149"/>
        <v>-0.4197982689604291</v>
      </c>
      <c r="S716">
        <f t="shared" si="150"/>
        <v>0</v>
      </c>
      <c r="T716">
        <f t="shared" si="151"/>
        <v>0</v>
      </c>
      <c r="U716">
        <f t="shared" si="152"/>
        <v>0</v>
      </c>
      <c r="V716">
        <f t="shared" si="153"/>
        <v>0</v>
      </c>
      <c r="W716">
        <f t="shared" si="154"/>
        <v>0</v>
      </c>
      <c r="X716">
        <f t="shared" si="155"/>
        <v>0</v>
      </c>
      <c r="Y716">
        <f t="shared" si="156"/>
        <v>0</v>
      </c>
      <c r="Z716">
        <f t="shared" si="157"/>
        <v>0</v>
      </c>
      <c r="AA716">
        <f t="shared" si="158"/>
        <v>1</v>
      </c>
    </row>
    <row r="717" spans="2:27" x14ac:dyDescent="0.3">
      <c r="B717">
        <v>710</v>
      </c>
      <c r="C717" s="1">
        <v>41253</v>
      </c>
      <c r="D717">
        <v>4</v>
      </c>
      <c r="E717">
        <v>1</v>
      </c>
      <c r="F717">
        <v>12</v>
      </c>
      <c r="G717">
        <v>1</v>
      </c>
      <c r="H717">
        <v>2</v>
      </c>
      <c r="I717">
        <v>329</v>
      </c>
      <c r="J717">
        <v>4841</v>
      </c>
      <c r="K717" s="8">
        <v>5170</v>
      </c>
      <c r="L717" s="12">
        <v>21.778749999999999</v>
      </c>
      <c r="M717" s="12">
        <v>92.5</v>
      </c>
      <c r="N717" s="12">
        <v>12.750636</v>
      </c>
      <c r="O717" s="13">
        <f t="shared" si="146"/>
        <v>0.34384833501580431</v>
      </c>
      <c r="P717" s="6">
        <f t="shared" si="147"/>
        <v>-0.23812751534500506</v>
      </c>
      <c r="Q717" s="6">
        <f t="shared" si="148"/>
        <v>2.0874201605910563</v>
      </c>
      <c r="R717" s="6">
        <f t="shared" si="149"/>
        <v>-2.3011425646078387E-3</v>
      </c>
      <c r="S717">
        <f t="shared" si="150"/>
        <v>1</v>
      </c>
      <c r="T717">
        <f t="shared" si="151"/>
        <v>0</v>
      </c>
      <c r="U717">
        <f t="shared" si="152"/>
        <v>0</v>
      </c>
      <c r="V717">
        <f t="shared" si="153"/>
        <v>0</v>
      </c>
      <c r="W717">
        <f t="shared" si="154"/>
        <v>0</v>
      </c>
      <c r="X717">
        <f t="shared" si="155"/>
        <v>0</v>
      </c>
      <c r="Y717">
        <f t="shared" si="156"/>
        <v>0</v>
      </c>
      <c r="Z717">
        <f t="shared" si="157"/>
        <v>0</v>
      </c>
      <c r="AA717">
        <f t="shared" si="158"/>
        <v>1</v>
      </c>
    </row>
    <row r="718" spans="2:27" x14ac:dyDescent="0.3">
      <c r="B718">
        <v>711</v>
      </c>
      <c r="C718" s="1">
        <v>41254</v>
      </c>
      <c r="D718">
        <v>4</v>
      </c>
      <c r="E718">
        <v>1</v>
      </c>
      <c r="F718">
        <v>12</v>
      </c>
      <c r="G718">
        <v>2</v>
      </c>
      <c r="H718">
        <v>2</v>
      </c>
      <c r="I718">
        <v>282</v>
      </c>
      <c r="J718">
        <v>5219</v>
      </c>
      <c r="K718" s="8">
        <v>5501</v>
      </c>
      <c r="L718" s="12">
        <v>16.918150000000001</v>
      </c>
      <c r="M718" s="12">
        <v>59.666699999999999</v>
      </c>
      <c r="N718" s="12">
        <v>19.834479000000002</v>
      </c>
      <c r="O718" s="13">
        <f t="shared" si="146"/>
        <v>0.51482948137642137</v>
      </c>
      <c r="P718" s="6">
        <f t="shared" si="147"/>
        <v>-0.83507067529229362</v>
      </c>
      <c r="Q718" s="6">
        <f t="shared" si="148"/>
        <v>-0.21939649322791843</v>
      </c>
      <c r="R718" s="6">
        <f t="shared" si="149"/>
        <v>1.3629156228671118</v>
      </c>
      <c r="S718">
        <f t="shared" si="150"/>
        <v>0</v>
      </c>
      <c r="T718">
        <f t="shared" si="151"/>
        <v>1</v>
      </c>
      <c r="U718">
        <f t="shared" si="152"/>
        <v>0</v>
      </c>
      <c r="V718">
        <f t="shared" si="153"/>
        <v>0</v>
      </c>
      <c r="W718">
        <f t="shared" si="154"/>
        <v>0</v>
      </c>
      <c r="X718">
        <f t="shared" si="155"/>
        <v>0</v>
      </c>
      <c r="Y718">
        <f t="shared" si="156"/>
        <v>0</v>
      </c>
      <c r="Z718">
        <f t="shared" si="157"/>
        <v>0</v>
      </c>
      <c r="AA718">
        <f t="shared" si="158"/>
        <v>1</v>
      </c>
    </row>
    <row r="719" spans="2:27" x14ac:dyDescent="0.3">
      <c r="B719">
        <v>712</v>
      </c>
      <c r="C719" s="1">
        <v>41255</v>
      </c>
      <c r="D719">
        <v>4</v>
      </c>
      <c r="E719">
        <v>1</v>
      </c>
      <c r="F719">
        <v>12</v>
      </c>
      <c r="G719">
        <v>3</v>
      </c>
      <c r="H719">
        <v>2</v>
      </c>
      <c r="I719">
        <v>310</v>
      </c>
      <c r="J719">
        <v>5009</v>
      </c>
      <c r="K719" s="8">
        <v>5319</v>
      </c>
      <c r="L719" s="12">
        <v>14.866899999999999</v>
      </c>
      <c r="M719" s="12">
        <v>53.833300000000001</v>
      </c>
      <c r="N719" s="12">
        <v>10.916779</v>
      </c>
      <c r="O719" s="13">
        <f t="shared" si="146"/>
        <v>0.42081567884581017</v>
      </c>
      <c r="P719" s="6">
        <f t="shared" si="147"/>
        <v>-1.0869901208014647</v>
      </c>
      <c r="Q719" s="6">
        <f t="shared" si="148"/>
        <v>-0.6292421154586294</v>
      </c>
      <c r="R719" s="6">
        <f t="shared" si="149"/>
        <v>-0.35572686385802393</v>
      </c>
      <c r="S719">
        <f t="shared" si="150"/>
        <v>0</v>
      </c>
      <c r="T719">
        <f t="shared" si="151"/>
        <v>0</v>
      </c>
      <c r="U719">
        <f t="shared" si="152"/>
        <v>1</v>
      </c>
      <c r="V719">
        <f t="shared" si="153"/>
        <v>0</v>
      </c>
      <c r="W719">
        <f t="shared" si="154"/>
        <v>0</v>
      </c>
      <c r="X719">
        <f t="shared" si="155"/>
        <v>0</v>
      </c>
      <c r="Y719">
        <f t="shared" si="156"/>
        <v>0</v>
      </c>
      <c r="Z719">
        <f t="shared" si="157"/>
        <v>0</v>
      </c>
      <c r="AA719">
        <f t="shared" si="158"/>
        <v>1</v>
      </c>
    </row>
    <row r="720" spans="2:27" x14ac:dyDescent="0.3">
      <c r="B720">
        <v>713</v>
      </c>
      <c r="C720" s="1">
        <v>41256</v>
      </c>
      <c r="D720">
        <v>4</v>
      </c>
      <c r="E720">
        <v>1</v>
      </c>
      <c r="F720">
        <v>12</v>
      </c>
      <c r="G720">
        <v>4</v>
      </c>
      <c r="H720">
        <v>1</v>
      </c>
      <c r="I720">
        <v>425</v>
      </c>
      <c r="J720">
        <v>5107</v>
      </c>
      <c r="K720" s="8">
        <v>5532</v>
      </c>
      <c r="L720" s="12">
        <v>14.7094</v>
      </c>
      <c r="M720" s="12">
        <v>48.583300000000001</v>
      </c>
      <c r="N720" s="12">
        <v>11.666643000000001</v>
      </c>
      <c r="O720" s="13">
        <f t="shared" si="146"/>
        <v>0.53084282136789918</v>
      </c>
      <c r="P720" s="6">
        <f t="shared" si="147"/>
        <v>-1.1063331129612182</v>
      </c>
      <c r="Q720" s="6">
        <f t="shared" si="148"/>
        <v>-0.99809895995947506</v>
      </c>
      <c r="R720" s="6">
        <f t="shared" si="149"/>
        <v>-0.21121111095473522</v>
      </c>
      <c r="S720">
        <f t="shared" si="150"/>
        <v>0</v>
      </c>
      <c r="T720">
        <f t="shared" si="151"/>
        <v>0</v>
      </c>
      <c r="U720">
        <f t="shared" si="152"/>
        <v>0</v>
      </c>
      <c r="V720">
        <f t="shared" si="153"/>
        <v>1</v>
      </c>
      <c r="W720">
        <f t="shared" si="154"/>
        <v>0</v>
      </c>
      <c r="X720">
        <f t="shared" si="155"/>
        <v>0</v>
      </c>
      <c r="Y720">
        <f t="shared" si="156"/>
        <v>0</v>
      </c>
      <c r="Z720">
        <f t="shared" si="157"/>
        <v>0</v>
      </c>
      <c r="AA720">
        <f t="shared" si="158"/>
        <v>1</v>
      </c>
    </row>
    <row r="721" spans="2:27" x14ac:dyDescent="0.3">
      <c r="B721">
        <v>714</v>
      </c>
      <c r="C721" s="1">
        <v>41257</v>
      </c>
      <c r="D721">
        <v>4</v>
      </c>
      <c r="E721">
        <v>1</v>
      </c>
      <c r="F721">
        <v>12</v>
      </c>
      <c r="G721">
        <v>5</v>
      </c>
      <c r="H721">
        <v>1</v>
      </c>
      <c r="I721">
        <v>429</v>
      </c>
      <c r="J721">
        <v>5182</v>
      </c>
      <c r="K721" s="8">
        <v>5611</v>
      </c>
      <c r="L721" s="12">
        <v>14.7096</v>
      </c>
      <c r="M721" s="12">
        <v>64.291700000000006</v>
      </c>
      <c r="N721" s="12">
        <v>8.7923430000000007</v>
      </c>
      <c r="O721" s="13">
        <f t="shared" si="146"/>
        <v>0.57165101037843924</v>
      </c>
      <c r="P721" s="6">
        <f t="shared" si="147"/>
        <v>-1.1063085504314916</v>
      </c>
      <c r="Q721" s="6">
        <f t="shared" si="148"/>
        <v>0.10554882216568424</v>
      </c>
      <c r="R721" s="6">
        <f t="shared" si="149"/>
        <v>-0.76515373064300196</v>
      </c>
      <c r="S721">
        <f t="shared" si="150"/>
        <v>0</v>
      </c>
      <c r="T721">
        <f t="shared" si="151"/>
        <v>0</v>
      </c>
      <c r="U721">
        <f t="shared" si="152"/>
        <v>0</v>
      </c>
      <c r="V721">
        <f t="shared" si="153"/>
        <v>0</v>
      </c>
      <c r="W721">
        <f t="shared" si="154"/>
        <v>1</v>
      </c>
      <c r="X721">
        <f t="shared" si="155"/>
        <v>0</v>
      </c>
      <c r="Y721">
        <f t="shared" si="156"/>
        <v>0</v>
      </c>
      <c r="Z721">
        <f t="shared" si="157"/>
        <v>0</v>
      </c>
      <c r="AA721">
        <f t="shared" si="158"/>
        <v>1</v>
      </c>
    </row>
    <row r="722" spans="2:27" x14ac:dyDescent="0.3">
      <c r="B722">
        <v>715</v>
      </c>
      <c r="C722" s="1">
        <v>41258</v>
      </c>
      <c r="D722">
        <v>4</v>
      </c>
      <c r="E722">
        <v>1</v>
      </c>
      <c r="F722">
        <v>12</v>
      </c>
      <c r="G722">
        <v>6</v>
      </c>
      <c r="H722">
        <v>1</v>
      </c>
      <c r="I722">
        <v>767</v>
      </c>
      <c r="J722">
        <v>4280</v>
      </c>
      <c r="K722" s="8">
        <v>5047</v>
      </c>
      <c r="L722" s="12">
        <v>16.919149999999998</v>
      </c>
      <c r="M722" s="12">
        <v>65.041700000000006</v>
      </c>
      <c r="N722" s="12">
        <v>7.1254499999999998</v>
      </c>
      <c r="O722" s="13">
        <f t="shared" si="146"/>
        <v>0.28031153440445716</v>
      </c>
      <c r="P722" s="6">
        <f t="shared" si="147"/>
        <v>-0.83494786264366061</v>
      </c>
      <c r="Q722" s="6">
        <f t="shared" si="148"/>
        <v>0.15824265709437649</v>
      </c>
      <c r="R722" s="6">
        <f t="shared" si="149"/>
        <v>-1.0864017128160648</v>
      </c>
      <c r="S722">
        <f t="shared" si="150"/>
        <v>0</v>
      </c>
      <c r="T722">
        <f t="shared" si="151"/>
        <v>0</v>
      </c>
      <c r="U722">
        <f t="shared" si="152"/>
        <v>0</v>
      </c>
      <c r="V722">
        <f t="shared" si="153"/>
        <v>0</v>
      </c>
      <c r="W722">
        <f t="shared" si="154"/>
        <v>0</v>
      </c>
      <c r="X722">
        <f t="shared" si="155"/>
        <v>0</v>
      </c>
      <c r="Y722">
        <f t="shared" si="156"/>
        <v>0</v>
      </c>
      <c r="Z722">
        <f t="shared" si="157"/>
        <v>0</v>
      </c>
      <c r="AA722">
        <f t="shared" si="158"/>
        <v>1</v>
      </c>
    </row>
    <row r="723" spans="2:27" x14ac:dyDescent="0.3">
      <c r="B723">
        <v>716</v>
      </c>
      <c r="C723" s="1">
        <v>41259</v>
      </c>
      <c r="D723">
        <v>4</v>
      </c>
      <c r="E723">
        <v>1</v>
      </c>
      <c r="F723">
        <v>12</v>
      </c>
      <c r="G723">
        <v>0</v>
      </c>
      <c r="H723">
        <v>2</v>
      </c>
      <c r="I723">
        <v>538</v>
      </c>
      <c r="J723">
        <v>3248</v>
      </c>
      <c r="K723" s="8">
        <v>3786</v>
      </c>
      <c r="L723" s="12">
        <v>18.4969</v>
      </c>
      <c r="M723" s="12">
        <v>83.875</v>
      </c>
      <c r="N723" s="12">
        <v>6.749714</v>
      </c>
      <c r="O723" s="13">
        <f t="shared" si="146"/>
        <v>-0.37106981170049202</v>
      </c>
      <c r="P723" s="6">
        <f t="shared" si="147"/>
        <v>-0.64118020626238337</v>
      </c>
      <c r="Q723" s="6">
        <f t="shared" si="148"/>
        <v>1.4814410589110956</v>
      </c>
      <c r="R723" s="6">
        <f t="shared" si="149"/>
        <v>-1.1588145382522372</v>
      </c>
      <c r="S723">
        <f t="shared" si="150"/>
        <v>0</v>
      </c>
      <c r="T723">
        <f t="shared" si="151"/>
        <v>0</v>
      </c>
      <c r="U723">
        <f t="shared" si="152"/>
        <v>0</v>
      </c>
      <c r="V723">
        <f t="shared" si="153"/>
        <v>0</v>
      </c>
      <c r="W723">
        <f t="shared" si="154"/>
        <v>0</v>
      </c>
      <c r="X723">
        <f t="shared" si="155"/>
        <v>0</v>
      </c>
      <c r="Y723">
        <f t="shared" si="156"/>
        <v>0</v>
      </c>
      <c r="Z723">
        <f t="shared" si="157"/>
        <v>0</v>
      </c>
      <c r="AA723">
        <f t="shared" si="158"/>
        <v>1</v>
      </c>
    </row>
    <row r="724" spans="2:27" x14ac:dyDescent="0.3">
      <c r="B724">
        <v>717</v>
      </c>
      <c r="C724" s="1">
        <v>41260</v>
      </c>
      <c r="D724">
        <v>4</v>
      </c>
      <c r="E724">
        <v>1</v>
      </c>
      <c r="F724">
        <v>12</v>
      </c>
      <c r="G724">
        <v>1</v>
      </c>
      <c r="H724">
        <v>2</v>
      </c>
      <c r="I724">
        <v>212</v>
      </c>
      <c r="J724">
        <v>4373</v>
      </c>
      <c r="K724" s="8">
        <v>4585</v>
      </c>
      <c r="L724" s="12">
        <v>20.074999999999999</v>
      </c>
      <c r="M724" s="12">
        <v>90.708299999999994</v>
      </c>
      <c r="N724" s="12">
        <v>6.5833060999999997</v>
      </c>
      <c r="O724" s="13">
        <f t="shared" si="146"/>
        <v>4.1661112595982513E-2</v>
      </c>
      <c r="P724" s="6">
        <f t="shared" si="147"/>
        <v>-0.44736956545408479</v>
      </c>
      <c r="Q724" s="6">
        <f t="shared" si="148"/>
        <v>1.9615381018687388</v>
      </c>
      <c r="R724" s="6">
        <f t="shared" si="149"/>
        <v>-1.1908851043249586</v>
      </c>
      <c r="S724">
        <f t="shared" si="150"/>
        <v>1</v>
      </c>
      <c r="T724">
        <f t="shared" si="151"/>
        <v>0</v>
      </c>
      <c r="U724">
        <f t="shared" si="152"/>
        <v>0</v>
      </c>
      <c r="V724">
        <f t="shared" si="153"/>
        <v>0</v>
      </c>
      <c r="W724">
        <f t="shared" si="154"/>
        <v>0</v>
      </c>
      <c r="X724">
        <f t="shared" si="155"/>
        <v>0</v>
      </c>
      <c r="Y724">
        <f t="shared" si="156"/>
        <v>0</v>
      </c>
      <c r="Z724">
        <f t="shared" si="157"/>
        <v>0</v>
      </c>
      <c r="AA724">
        <f t="shared" si="158"/>
        <v>1</v>
      </c>
    </row>
    <row r="725" spans="2:27" x14ac:dyDescent="0.3">
      <c r="B725">
        <v>718</v>
      </c>
      <c r="C725" s="1">
        <v>41261</v>
      </c>
      <c r="D725">
        <v>4</v>
      </c>
      <c r="E725">
        <v>1</v>
      </c>
      <c r="F725">
        <v>12</v>
      </c>
      <c r="G725">
        <v>2</v>
      </c>
      <c r="H725">
        <v>1</v>
      </c>
      <c r="I725">
        <v>433</v>
      </c>
      <c r="J725">
        <v>5124</v>
      </c>
      <c r="K725" s="8">
        <v>5557</v>
      </c>
      <c r="L725" s="12">
        <v>20.485399999999998</v>
      </c>
      <c r="M725" s="12">
        <v>66.625</v>
      </c>
      <c r="N725" s="12">
        <v>14.834068</v>
      </c>
      <c r="O725" s="13">
        <f t="shared" si="146"/>
        <v>0.5437568052319941</v>
      </c>
      <c r="P725" s="6">
        <f t="shared" si="147"/>
        <v>-0.39696725445495573</v>
      </c>
      <c r="Q725" s="6">
        <f t="shared" si="148"/>
        <v>0.26948285555117396</v>
      </c>
      <c r="R725" s="6">
        <f t="shared" si="149"/>
        <v>0.39922332600943283</v>
      </c>
      <c r="S725">
        <f t="shared" si="150"/>
        <v>0</v>
      </c>
      <c r="T725">
        <f t="shared" si="151"/>
        <v>1</v>
      </c>
      <c r="U725">
        <f t="shared" si="152"/>
        <v>0</v>
      </c>
      <c r="V725">
        <f t="shared" si="153"/>
        <v>0</v>
      </c>
      <c r="W725">
        <f t="shared" si="154"/>
        <v>0</v>
      </c>
      <c r="X725">
        <f t="shared" si="155"/>
        <v>0</v>
      </c>
      <c r="Y725">
        <f t="shared" si="156"/>
        <v>0</v>
      </c>
      <c r="Z725">
        <f t="shared" si="157"/>
        <v>0</v>
      </c>
      <c r="AA725">
        <f t="shared" si="158"/>
        <v>1</v>
      </c>
    </row>
    <row r="726" spans="2:27" x14ac:dyDescent="0.3">
      <c r="B726">
        <v>719</v>
      </c>
      <c r="C726" s="1">
        <v>41262</v>
      </c>
      <c r="D726">
        <v>4</v>
      </c>
      <c r="E726">
        <v>1</v>
      </c>
      <c r="F726">
        <v>12</v>
      </c>
      <c r="G726">
        <v>3</v>
      </c>
      <c r="H726">
        <v>1</v>
      </c>
      <c r="I726">
        <v>333</v>
      </c>
      <c r="J726">
        <v>4934</v>
      </c>
      <c r="K726" s="8">
        <v>5267</v>
      </c>
      <c r="L726" s="12">
        <v>17.1081</v>
      </c>
      <c r="M726" s="12">
        <v>62.541699999999999</v>
      </c>
      <c r="N726" s="12">
        <v>12.334163999999999</v>
      </c>
      <c r="O726" s="13">
        <f t="shared" si="146"/>
        <v>0.39395459240849268</v>
      </c>
      <c r="P726" s="6">
        <f t="shared" si="147"/>
        <v>-0.81174241268438774</v>
      </c>
      <c r="Q726" s="6">
        <f t="shared" si="148"/>
        <v>-1.7403459334598165E-2</v>
      </c>
      <c r="R726" s="6">
        <f t="shared" si="149"/>
        <v>-8.2564716550208569E-2</v>
      </c>
      <c r="S726">
        <f t="shared" si="150"/>
        <v>0</v>
      </c>
      <c r="T726">
        <f t="shared" si="151"/>
        <v>0</v>
      </c>
      <c r="U726">
        <f t="shared" si="152"/>
        <v>1</v>
      </c>
      <c r="V726">
        <f t="shared" si="153"/>
        <v>0</v>
      </c>
      <c r="W726">
        <f t="shared" si="154"/>
        <v>0</v>
      </c>
      <c r="X726">
        <f t="shared" si="155"/>
        <v>0</v>
      </c>
      <c r="Y726">
        <f t="shared" si="156"/>
        <v>0</v>
      </c>
      <c r="Z726">
        <f t="shared" si="157"/>
        <v>0</v>
      </c>
      <c r="AA726">
        <f t="shared" si="158"/>
        <v>1</v>
      </c>
    </row>
    <row r="727" spans="2:27" x14ac:dyDescent="0.3">
      <c r="B727">
        <v>720</v>
      </c>
      <c r="C727" s="1">
        <v>41263</v>
      </c>
      <c r="D727">
        <v>4</v>
      </c>
      <c r="E727">
        <v>1</v>
      </c>
      <c r="F727">
        <v>12</v>
      </c>
      <c r="G727">
        <v>4</v>
      </c>
      <c r="H727">
        <v>2</v>
      </c>
      <c r="I727">
        <v>314</v>
      </c>
      <c r="J727">
        <v>3814</v>
      </c>
      <c r="K727" s="8">
        <v>4128</v>
      </c>
      <c r="L727" s="12">
        <v>16.760850000000001</v>
      </c>
      <c r="M727" s="12">
        <v>66.791700000000006</v>
      </c>
      <c r="N727" s="12">
        <v>8.8750210000000003</v>
      </c>
      <c r="O727" s="13">
        <f t="shared" si="146"/>
        <v>-0.19440651243967313</v>
      </c>
      <c r="P727" s="6">
        <f t="shared" si="147"/>
        <v>-0.85438910492232045</v>
      </c>
      <c r="Q727" s="6">
        <f t="shared" si="148"/>
        <v>0.28119493859465838</v>
      </c>
      <c r="R727" s="6">
        <f t="shared" si="149"/>
        <v>-0.7492198100673535</v>
      </c>
      <c r="S727">
        <f t="shared" si="150"/>
        <v>0</v>
      </c>
      <c r="T727">
        <f t="shared" si="151"/>
        <v>0</v>
      </c>
      <c r="U727">
        <f t="shared" si="152"/>
        <v>0</v>
      </c>
      <c r="V727">
        <f t="shared" si="153"/>
        <v>1</v>
      </c>
      <c r="W727">
        <f t="shared" si="154"/>
        <v>0</v>
      </c>
      <c r="X727">
        <f t="shared" si="155"/>
        <v>0</v>
      </c>
      <c r="Y727">
        <f t="shared" si="156"/>
        <v>0</v>
      </c>
      <c r="Z727">
        <f t="shared" si="157"/>
        <v>0</v>
      </c>
      <c r="AA727">
        <f t="shared" si="158"/>
        <v>1</v>
      </c>
    </row>
    <row r="728" spans="2:27" x14ac:dyDescent="0.3">
      <c r="B728">
        <v>721</v>
      </c>
      <c r="C728" s="1">
        <v>41264</v>
      </c>
      <c r="D728">
        <v>1</v>
      </c>
      <c r="E728">
        <v>1</v>
      </c>
      <c r="F728">
        <v>12</v>
      </c>
      <c r="G728">
        <v>5</v>
      </c>
      <c r="H728">
        <v>2</v>
      </c>
      <c r="I728">
        <v>221</v>
      </c>
      <c r="J728">
        <v>3402</v>
      </c>
      <c r="K728" s="8">
        <v>3623</v>
      </c>
      <c r="L728" s="12">
        <v>15.08835</v>
      </c>
      <c r="M728" s="12">
        <v>55.666699999999999</v>
      </c>
      <c r="N728" s="12">
        <v>25.083660999999999</v>
      </c>
      <c r="O728" s="13">
        <f t="shared" si="146"/>
        <v>-0.45526898649439113</v>
      </c>
      <c r="P728" s="6">
        <f t="shared" si="147"/>
        <v>-1.059793259761608</v>
      </c>
      <c r="Q728" s="6">
        <f t="shared" si="148"/>
        <v>-0.5004302795142771</v>
      </c>
      <c r="R728" s="6">
        <f t="shared" si="149"/>
        <v>2.3745517180208862</v>
      </c>
      <c r="S728">
        <f t="shared" si="150"/>
        <v>0</v>
      </c>
      <c r="T728">
        <f t="shared" si="151"/>
        <v>0</v>
      </c>
      <c r="U728">
        <f t="shared" si="152"/>
        <v>0</v>
      </c>
      <c r="V728">
        <f t="shared" si="153"/>
        <v>0</v>
      </c>
      <c r="W728">
        <f t="shared" si="154"/>
        <v>1</v>
      </c>
      <c r="X728">
        <f t="shared" si="155"/>
        <v>0</v>
      </c>
      <c r="Y728">
        <f t="shared" si="156"/>
        <v>0</v>
      </c>
      <c r="Z728">
        <f t="shared" si="157"/>
        <v>0</v>
      </c>
      <c r="AA728">
        <f t="shared" si="158"/>
        <v>0</v>
      </c>
    </row>
    <row r="729" spans="2:27" x14ac:dyDescent="0.3">
      <c r="B729">
        <v>722</v>
      </c>
      <c r="C729" s="1">
        <v>41265</v>
      </c>
      <c r="D729">
        <v>1</v>
      </c>
      <c r="E729">
        <v>1</v>
      </c>
      <c r="F729">
        <v>12</v>
      </c>
      <c r="G729">
        <v>6</v>
      </c>
      <c r="H729">
        <v>1</v>
      </c>
      <c r="I729">
        <v>205</v>
      </c>
      <c r="J729">
        <v>1544</v>
      </c>
      <c r="K729" s="8">
        <v>1749</v>
      </c>
      <c r="L729" s="12">
        <v>11.80565</v>
      </c>
      <c r="M729" s="12">
        <v>44.125</v>
      </c>
      <c r="N729" s="12">
        <v>27.292182</v>
      </c>
      <c r="O729" s="13">
        <f t="shared" si="146"/>
        <v>-1.4233012169469483</v>
      </c>
      <c r="P729" s="6">
        <f t="shared" si="147"/>
        <v>-1.4629503414303249</v>
      </c>
      <c r="Q729" s="6">
        <f t="shared" si="148"/>
        <v>-1.3113321923095933</v>
      </c>
      <c r="R729" s="6">
        <f t="shared" si="149"/>
        <v>2.8001836661044375</v>
      </c>
      <c r="S729">
        <f t="shared" si="150"/>
        <v>0</v>
      </c>
      <c r="T729">
        <f t="shared" si="151"/>
        <v>0</v>
      </c>
      <c r="U729">
        <f t="shared" si="152"/>
        <v>0</v>
      </c>
      <c r="V729">
        <f t="shared" si="153"/>
        <v>0</v>
      </c>
      <c r="W729">
        <f t="shared" si="154"/>
        <v>0</v>
      </c>
      <c r="X729">
        <f t="shared" si="155"/>
        <v>0</v>
      </c>
      <c r="Y729">
        <f t="shared" si="156"/>
        <v>0</v>
      </c>
      <c r="Z729">
        <f t="shared" si="157"/>
        <v>0</v>
      </c>
      <c r="AA729">
        <f t="shared" si="158"/>
        <v>0</v>
      </c>
    </row>
    <row r="730" spans="2:27" x14ac:dyDescent="0.3">
      <c r="B730">
        <v>723</v>
      </c>
      <c r="C730" s="1">
        <v>41266</v>
      </c>
      <c r="D730">
        <v>1</v>
      </c>
      <c r="E730">
        <v>1</v>
      </c>
      <c r="F730">
        <v>12</v>
      </c>
      <c r="G730">
        <v>0</v>
      </c>
      <c r="H730">
        <v>1</v>
      </c>
      <c r="I730">
        <v>408</v>
      </c>
      <c r="J730">
        <v>1379</v>
      </c>
      <c r="K730" s="8">
        <v>1787</v>
      </c>
      <c r="L730" s="12">
        <v>12.973549999999999</v>
      </c>
      <c r="M730" s="12">
        <v>51.541699999999999</v>
      </c>
      <c r="N730" s="12">
        <v>8.9165609999999997</v>
      </c>
      <c r="O730" s="13">
        <f t="shared" si="146"/>
        <v>-1.403671961473524</v>
      </c>
      <c r="P730" s="6">
        <f t="shared" si="147"/>
        <v>-1.3195174490914288</v>
      </c>
      <c r="Q730" s="6">
        <f t="shared" si="148"/>
        <v>-0.79024637162208444</v>
      </c>
      <c r="R730" s="6">
        <f t="shared" si="149"/>
        <v>-0.74121411253339731</v>
      </c>
      <c r="S730">
        <f t="shared" si="150"/>
        <v>0</v>
      </c>
      <c r="T730">
        <f t="shared" si="151"/>
        <v>0</v>
      </c>
      <c r="U730">
        <f t="shared" si="152"/>
        <v>0</v>
      </c>
      <c r="V730">
        <f t="shared" si="153"/>
        <v>0</v>
      </c>
      <c r="W730">
        <f t="shared" si="154"/>
        <v>0</v>
      </c>
      <c r="X730">
        <f t="shared" si="155"/>
        <v>0</v>
      </c>
      <c r="Y730">
        <f t="shared" si="156"/>
        <v>0</v>
      </c>
      <c r="Z730">
        <f t="shared" si="157"/>
        <v>0</v>
      </c>
      <c r="AA730">
        <f t="shared" si="158"/>
        <v>0</v>
      </c>
    </row>
    <row r="731" spans="2:27" x14ac:dyDescent="0.3">
      <c r="B731">
        <v>724</v>
      </c>
      <c r="C731" s="1">
        <v>41267</v>
      </c>
      <c r="D731">
        <v>1</v>
      </c>
      <c r="E731">
        <v>1</v>
      </c>
      <c r="F731">
        <v>12</v>
      </c>
      <c r="G731">
        <v>1</v>
      </c>
      <c r="H731">
        <v>2</v>
      </c>
      <c r="I731">
        <v>174</v>
      </c>
      <c r="J731">
        <v>746</v>
      </c>
      <c r="K731" s="8">
        <v>920</v>
      </c>
      <c r="L731" s="12">
        <v>12.945</v>
      </c>
      <c r="M731" s="12">
        <v>79.130399999999995</v>
      </c>
      <c r="N731" s="12">
        <v>5.1744367999999996</v>
      </c>
      <c r="O731" s="13">
        <f t="shared" si="146"/>
        <v>-1.851528921880337</v>
      </c>
      <c r="P731" s="6">
        <f t="shared" si="147"/>
        <v>-1.3230237502099109</v>
      </c>
      <c r="Q731" s="6">
        <f t="shared" si="148"/>
        <v>1.1480928333075309</v>
      </c>
      <c r="R731" s="6">
        <f t="shared" si="149"/>
        <v>-1.4624060836383133</v>
      </c>
      <c r="S731">
        <f t="shared" si="150"/>
        <v>1</v>
      </c>
      <c r="T731">
        <f t="shared" si="151"/>
        <v>0</v>
      </c>
      <c r="U731">
        <f t="shared" si="152"/>
        <v>0</v>
      </c>
      <c r="V731">
        <f t="shared" si="153"/>
        <v>0</v>
      </c>
      <c r="W731">
        <f t="shared" si="154"/>
        <v>0</v>
      </c>
      <c r="X731">
        <f t="shared" si="155"/>
        <v>0</v>
      </c>
      <c r="Y731">
        <f t="shared" si="156"/>
        <v>0</v>
      </c>
      <c r="Z731">
        <f t="shared" si="157"/>
        <v>0</v>
      </c>
      <c r="AA731">
        <f t="shared" si="158"/>
        <v>0</v>
      </c>
    </row>
    <row r="732" spans="2:27" x14ac:dyDescent="0.3">
      <c r="B732">
        <v>725</v>
      </c>
      <c r="C732" s="1">
        <v>41268</v>
      </c>
      <c r="D732">
        <v>1</v>
      </c>
      <c r="E732">
        <v>1</v>
      </c>
      <c r="F732">
        <v>12</v>
      </c>
      <c r="G732">
        <v>2</v>
      </c>
      <c r="H732">
        <v>2</v>
      </c>
      <c r="I732">
        <v>440</v>
      </c>
      <c r="J732">
        <v>573</v>
      </c>
      <c r="K732" s="8">
        <v>1013</v>
      </c>
      <c r="L732" s="12">
        <v>14.72325</v>
      </c>
      <c r="M732" s="12">
        <v>73.478300000000004</v>
      </c>
      <c r="N732" s="12">
        <v>11.304641999999999</v>
      </c>
      <c r="O732" s="13">
        <f t="shared" si="146"/>
        <v>-1.8034889019059037</v>
      </c>
      <c r="P732" s="6">
        <f t="shared" si="147"/>
        <v>-1.1046321577776461</v>
      </c>
      <c r="Q732" s="6">
        <f t="shared" si="148"/>
        <v>0.75098506744024973</v>
      </c>
      <c r="R732" s="6">
        <f t="shared" si="149"/>
        <v>-0.28097689123855141</v>
      </c>
      <c r="S732">
        <f t="shared" si="150"/>
        <v>0</v>
      </c>
      <c r="T732">
        <f t="shared" si="151"/>
        <v>1</v>
      </c>
      <c r="U732">
        <f t="shared" si="152"/>
        <v>0</v>
      </c>
      <c r="V732">
        <f t="shared" si="153"/>
        <v>0</v>
      </c>
      <c r="W732">
        <f t="shared" si="154"/>
        <v>0</v>
      </c>
      <c r="X732">
        <f t="shared" si="155"/>
        <v>0</v>
      </c>
      <c r="Y732">
        <f t="shared" si="156"/>
        <v>0</v>
      </c>
      <c r="Z732">
        <f t="shared" si="157"/>
        <v>0</v>
      </c>
      <c r="AA732">
        <f t="shared" si="158"/>
        <v>0</v>
      </c>
    </row>
    <row r="733" spans="2:27" x14ac:dyDescent="0.3">
      <c r="B733">
        <v>726</v>
      </c>
      <c r="C733" s="1">
        <v>41269</v>
      </c>
      <c r="D733">
        <v>1</v>
      </c>
      <c r="E733">
        <v>1</v>
      </c>
      <c r="F733">
        <v>12</v>
      </c>
      <c r="G733">
        <v>3</v>
      </c>
      <c r="H733">
        <v>3</v>
      </c>
      <c r="I733">
        <v>9</v>
      </c>
      <c r="J733">
        <v>432</v>
      </c>
      <c r="K733" s="8">
        <v>441</v>
      </c>
      <c r="L733" s="12">
        <v>11.01665</v>
      </c>
      <c r="M733" s="12">
        <v>82.333299999999994</v>
      </c>
      <c r="N733" s="12">
        <v>21.208582</v>
      </c>
      <c r="O733" s="13">
        <f t="shared" si="146"/>
        <v>-2.0989608527163961</v>
      </c>
      <c r="P733" s="6">
        <f t="shared" si="147"/>
        <v>-1.5598495212020425</v>
      </c>
      <c r="Q733" s="6">
        <f t="shared" si="148"/>
        <v>1.3731236118316754</v>
      </c>
      <c r="R733" s="6">
        <f t="shared" si="149"/>
        <v>1.6277363498411594</v>
      </c>
      <c r="S733">
        <f t="shared" si="150"/>
        <v>0</v>
      </c>
      <c r="T733">
        <f t="shared" si="151"/>
        <v>0</v>
      </c>
      <c r="U733">
        <f t="shared" si="152"/>
        <v>1</v>
      </c>
      <c r="V733">
        <f t="shared" si="153"/>
        <v>0</v>
      </c>
      <c r="W733">
        <f t="shared" si="154"/>
        <v>0</v>
      </c>
      <c r="X733">
        <f t="shared" si="155"/>
        <v>1</v>
      </c>
      <c r="Y733">
        <f t="shared" si="156"/>
        <v>0</v>
      </c>
      <c r="Z733">
        <f t="shared" si="157"/>
        <v>0</v>
      </c>
      <c r="AA733">
        <f t="shared" si="158"/>
        <v>0</v>
      </c>
    </row>
    <row r="734" spans="2:27" x14ac:dyDescent="0.3">
      <c r="B734">
        <v>727</v>
      </c>
      <c r="C734" s="1">
        <v>41270</v>
      </c>
      <c r="D734">
        <v>1</v>
      </c>
      <c r="E734">
        <v>1</v>
      </c>
      <c r="F734">
        <v>12</v>
      </c>
      <c r="G734">
        <v>4</v>
      </c>
      <c r="H734">
        <v>2</v>
      </c>
      <c r="I734">
        <v>247</v>
      </c>
      <c r="J734">
        <v>1867</v>
      </c>
      <c r="K734" s="8">
        <v>2114</v>
      </c>
      <c r="L734" s="12">
        <v>11.332100000000001</v>
      </c>
      <c r="M734" s="12">
        <v>65.291700000000006</v>
      </c>
      <c r="N734" s="12">
        <v>23.458911000000001</v>
      </c>
      <c r="O734" s="13">
        <f t="shared" si="146"/>
        <v>-1.2347570525311622</v>
      </c>
      <c r="P734" s="6">
        <f t="shared" si="147"/>
        <v>-1.5211082711906503</v>
      </c>
      <c r="Q734" s="6">
        <f t="shared" si="148"/>
        <v>0.1758072687372739</v>
      </c>
      <c r="R734" s="6">
        <f t="shared" si="149"/>
        <v>2.0614256451201762</v>
      </c>
      <c r="S734">
        <f t="shared" si="150"/>
        <v>0</v>
      </c>
      <c r="T734">
        <f t="shared" si="151"/>
        <v>0</v>
      </c>
      <c r="U734">
        <f t="shared" si="152"/>
        <v>0</v>
      </c>
      <c r="V734">
        <f t="shared" si="153"/>
        <v>1</v>
      </c>
      <c r="W734">
        <f t="shared" si="154"/>
        <v>0</v>
      </c>
      <c r="X734">
        <f t="shared" si="155"/>
        <v>0</v>
      </c>
      <c r="Y734">
        <f t="shared" si="156"/>
        <v>0</v>
      </c>
      <c r="Z734">
        <f t="shared" si="157"/>
        <v>0</v>
      </c>
      <c r="AA734">
        <f t="shared" si="158"/>
        <v>0</v>
      </c>
    </row>
    <row r="735" spans="2:27" x14ac:dyDescent="0.3">
      <c r="B735">
        <v>728</v>
      </c>
      <c r="C735" s="1">
        <v>41271</v>
      </c>
      <c r="D735">
        <v>1</v>
      </c>
      <c r="E735">
        <v>1</v>
      </c>
      <c r="F735">
        <v>12</v>
      </c>
      <c r="G735">
        <v>5</v>
      </c>
      <c r="H735">
        <v>2</v>
      </c>
      <c r="I735">
        <v>644</v>
      </c>
      <c r="J735">
        <v>2451</v>
      </c>
      <c r="K735" s="8">
        <v>3095</v>
      </c>
      <c r="L735" s="12">
        <v>12.7523</v>
      </c>
      <c r="M735" s="12">
        <v>59</v>
      </c>
      <c r="N735" s="12">
        <v>10.416556999999999</v>
      </c>
      <c r="O735" s="13">
        <f t="shared" si="146"/>
        <v>-0.72801232570407637</v>
      </c>
      <c r="P735" s="6">
        <f t="shared" si="147"/>
        <v>-1.3466897476015587</v>
      </c>
      <c r="Q735" s="6">
        <f t="shared" si="148"/>
        <v>-0.26623779955719717</v>
      </c>
      <c r="R735" s="6">
        <f t="shared" si="149"/>
        <v>-0.45213095706531081</v>
      </c>
      <c r="S735">
        <f t="shared" si="150"/>
        <v>0</v>
      </c>
      <c r="T735">
        <f t="shared" si="151"/>
        <v>0</v>
      </c>
      <c r="U735">
        <f t="shared" si="152"/>
        <v>0</v>
      </c>
      <c r="V735">
        <f t="shared" si="153"/>
        <v>0</v>
      </c>
      <c r="W735">
        <f t="shared" si="154"/>
        <v>1</v>
      </c>
      <c r="X735">
        <f t="shared" si="155"/>
        <v>0</v>
      </c>
      <c r="Y735">
        <f t="shared" si="156"/>
        <v>0</v>
      </c>
      <c r="Z735">
        <f t="shared" si="157"/>
        <v>0</v>
      </c>
      <c r="AA735">
        <f t="shared" si="158"/>
        <v>0</v>
      </c>
    </row>
    <row r="736" spans="2:27" x14ac:dyDescent="0.3">
      <c r="B736">
        <v>729</v>
      </c>
      <c r="C736" s="1">
        <v>41272</v>
      </c>
      <c r="D736">
        <v>1</v>
      </c>
      <c r="E736">
        <v>1</v>
      </c>
      <c r="F736">
        <v>12</v>
      </c>
      <c r="G736">
        <v>6</v>
      </c>
      <c r="H736">
        <v>2</v>
      </c>
      <c r="I736">
        <v>159</v>
      </c>
      <c r="J736">
        <v>1182</v>
      </c>
      <c r="K736" s="8">
        <v>1341</v>
      </c>
      <c r="L736" s="12">
        <v>12.12</v>
      </c>
      <c r="M736" s="12">
        <v>75.291700000000006</v>
      </c>
      <c r="N736" s="12">
        <v>8.3336609999999993</v>
      </c>
      <c r="O736" s="13">
        <f t="shared" si="146"/>
        <v>-1.6340574336089779</v>
      </c>
      <c r="P736" s="6">
        <f t="shared" si="147"/>
        <v>-1.4243441853324297</v>
      </c>
      <c r="Q736" s="6">
        <f t="shared" si="148"/>
        <v>0.87839173445317054</v>
      </c>
      <c r="R736" s="6">
        <f t="shared" si="149"/>
        <v>-0.85355212631633259</v>
      </c>
      <c r="S736">
        <f t="shared" si="150"/>
        <v>0</v>
      </c>
      <c r="T736">
        <f t="shared" si="151"/>
        <v>0</v>
      </c>
      <c r="U736">
        <f t="shared" si="152"/>
        <v>0</v>
      </c>
      <c r="V736">
        <f t="shared" si="153"/>
        <v>0</v>
      </c>
      <c r="W736">
        <f t="shared" si="154"/>
        <v>0</v>
      </c>
      <c r="X736">
        <f t="shared" si="155"/>
        <v>0</v>
      </c>
      <c r="Y736">
        <f t="shared" si="156"/>
        <v>0</v>
      </c>
      <c r="Z736">
        <f t="shared" si="157"/>
        <v>0</v>
      </c>
      <c r="AA736">
        <f t="shared" si="158"/>
        <v>0</v>
      </c>
    </row>
    <row r="737" spans="2:27" x14ac:dyDescent="0.3">
      <c r="B737">
        <v>730</v>
      </c>
      <c r="C737" s="1">
        <v>41273</v>
      </c>
      <c r="D737">
        <v>1</v>
      </c>
      <c r="E737">
        <v>1</v>
      </c>
      <c r="F737">
        <v>12</v>
      </c>
      <c r="G737">
        <v>0</v>
      </c>
      <c r="H737">
        <v>1</v>
      </c>
      <c r="I737">
        <v>364</v>
      </c>
      <c r="J737">
        <v>1432</v>
      </c>
      <c r="K737" s="8">
        <v>1796</v>
      </c>
      <c r="L737" s="12">
        <v>11.585000000000001</v>
      </c>
      <c r="M737" s="12">
        <v>48.333300000000001</v>
      </c>
      <c r="N737" s="12">
        <v>23.500518</v>
      </c>
      <c r="O737" s="13">
        <f t="shared" si="146"/>
        <v>-1.3990229272824499</v>
      </c>
      <c r="P737" s="6">
        <f t="shared" si="147"/>
        <v>-1.4900489523512748</v>
      </c>
      <c r="Q737" s="6">
        <f t="shared" si="148"/>
        <v>-1.0156635716023725</v>
      </c>
      <c r="R737" s="6">
        <f t="shared" si="149"/>
        <v>2.0694442550695098</v>
      </c>
      <c r="S737">
        <f t="shared" si="150"/>
        <v>0</v>
      </c>
      <c r="T737">
        <f t="shared" si="151"/>
        <v>0</v>
      </c>
      <c r="U737">
        <f t="shared" si="152"/>
        <v>0</v>
      </c>
      <c r="V737">
        <f t="shared" si="153"/>
        <v>0</v>
      </c>
      <c r="W737">
        <f t="shared" si="154"/>
        <v>0</v>
      </c>
      <c r="X737">
        <f t="shared" si="155"/>
        <v>0</v>
      </c>
      <c r="Y737">
        <f t="shared" si="156"/>
        <v>0</v>
      </c>
      <c r="Z737">
        <f t="shared" si="157"/>
        <v>0</v>
      </c>
      <c r="AA737">
        <f t="shared" si="158"/>
        <v>0</v>
      </c>
    </row>
    <row r="738" spans="2:27" x14ac:dyDescent="0.3">
      <c r="B738">
        <v>731</v>
      </c>
      <c r="C738" s="1">
        <v>41274</v>
      </c>
      <c r="D738">
        <v>1</v>
      </c>
      <c r="E738">
        <v>1</v>
      </c>
      <c r="F738">
        <v>12</v>
      </c>
      <c r="G738">
        <v>1</v>
      </c>
      <c r="H738">
        <v>2</v>
      </c>
      <c r="I738">
        <v>439</v>
      </c>
      <c r="J738">
        <v>2290</v>
      </c>
      <c r="K738" s="8">
        <v>2729</v>
      </c>
      <c r="L738" s="12">
        <v>11.17435</v>
      </c>
      <c r="M738" s="12">
        <v>57.75</v>
      </c>
      <c r="N738" s="12">
        <v>10.374682</v>
      </c>
      <c r="O738" s="13">
        <f t="shared" si="146"/>
        <v>-0.91707304947442647</v>
      </c>
      <c r="P738" s="6">
        <f t="shared" si="147"/>
        <v>-1.5404819665125622</v>
      </c>
      <c r="Q738" s="6">
        <f t="shared" si="148"/>
        <v>-0.35406085777168428</v>
      </c>
      <c r="R738" s="6">
        <f t="shared" si="149"/>
        <v>-0.46020121667615371</v>
      </c>
      <c r="S738">
        <f t="shared" si="150"/>
        <v>1</v>
      </c>
      <c r="T738">
        <f t="shared" si="151"/>
        <v>0</v>
      </c>
      <c r="U738">
        <f t="shared" si="152"/>
        <v>0</v>
      </c>
      <c r="V738">
        <f t="shared" si="153"/>
        <v>0</v>
      </c>
      <c r="W738">
        <f t="shared" si="154"/>
        <v>0</v>
      </c>
      <c r="X738">
        <f t="shared" si="155"/>
        <v>0</v>
      </c>
      <c r="Y738">
        <f t="shared" si="156"/>
        <v>0</v>
      </c>
      <c r="Z738">
        <f t="shared" si="157"/>
        <v>0</v>
      </c>
      <c r="AA738">
        <f t="shared" si="158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09E1-C238-4221-B2B7-25274FF0A87D}">
  <dimension ref="A1:I29"/>
  <sheetViews>
    <sheetView workbookViewId="0"/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x14ac:dyDescent="0.3">
      <c r="A1" t="s">
        <v>26</v>
      </c>
    </row>
    <row r="2" spans="1:9" ht="15" thickBot="1" x14ac:dyDescent="0.35"/>
    <row r="3" spans="1:9" x14ac:dyDescent="0.3">
      <c r="A3" s="7" t="s">
        <v>27</v>
      </c>
      <c r="B3" s="7"/>
    </row>
    <row r="4" spans="1:9" x14ac:dyDescent="0.3">
      <c r="A4" s="2" t="s">
        <v>28</v>
      </c>
      <c r="B4" s="2">
        <v>0.74338391770325007</v>
      </c>
    </row>
    <row r="5" spans="1:9" x14ac:dyDescent="0.3">
      <c r="A5" s="2" t="s">
        <v>29</v>
      </c>
      <c r="B5" s="2">
        <v>0.55261964909983241</v>
      </c>
    </row>
    <row r="6" spans="1:9" x14ac:dyDescent="0.3">
      <c r="A6" s="2" t="s">
        <v>30</v>
      </c>
      <c r="B6" s="2">
        <v>0.54514254017113883</v>
      </c>
    </row>
    <row r="7" spans="1:9" x14ac:dyDescent="0.3">
      <c r="A7" s="2" t="s">
        <v>31</v>
      </c>
      <c r="B7" s="2">
        <v>0.67489299317712981</v>
      </c>
    </row>
    <row r="8" spans="1:9" ht="15" thickBot="1" x14ac:dyDescent="0.35">
      <c r="A8" s="3" t="s">
        <v>32</v>
      </c>
      <c r="B8" s="3">
        <v>731</v>
      </c>
    </row>
    <row r="10" spans="1:9" ht="15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12</v>
      </c>
      <c r="C12" s="2">
        <v>403.9649634919773</v>
      </c>
      <c r="D12" s="2">
        <v>33.663746957664777</v>
      </c>
      <c r="E12" s="2">
        <v>73.908198258171623</v>
      </c>
      <c r="F12" s="2">
        <v>1.0577556907067581E-116</v>
      </c>
    </row>
    <row r="13" spans="1:9" x14ac:dyDescent="0.3">
      <c r="A13" s="2" t="s">
        <v>35</v>
      </c>
      <c r="B13" s="2">
        <v>718</v>
      </c>
      <c r="C13" s="2">
        <v>327.03503650802236</v>
      </c>
      <c r="D13" s="2">
        <v>0.45548055223958545</v>
      </c>
      <c r="E13" s="2"/>
      <c r="F13" s="2"/>
    </row>
    <row r="14" spans="1:9" ht="15" thickBot="1" x14ac:dyDescent="0.35">
      <c r="A14" s="3" t="s">
        <v>36</v>
      </c>
      <c r="B14" s="3">
        <v>730</v>
      </c>
      <c r="C14" s="3">
        <v>730.99999999999966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-0.39973846591394374</v>
      </c>
      <c r="C17" s="2">
        <v>8.0306009102755774E-2</v>
      </c>
      <c r="D17" s="2">
        <v>-4.9776905910298357</v>
      </c>
      <c r="E17" s="2">
        <v>8.0637537770866774E-7</v>
      </c>
      <c r="F17" s="2">
        <v>-0.55740112269660436</v>
      </c>
      <c r="G17" s="2">
        <v>-0.24207580913128313</v>
      </c>
      <c r="H17" s="2">
        <v>-0.55740112269660436</v>
      </c>
      <c r="I17" s="2">
        <v>-0.24207580913128313</v>
      </c>
    </row>
    <row r="18" spans="1:9" x14ac:dyDescent="0.3">
      <c r="A18" s="2" t="s">
        <v>23</v>
      </c>
      <c r="B18" s="2">
        <v>0.5699304365759098</v>
      </c>
      <c r="C18" s="2">
        <v>4.395593566792496E-2</v>
      </c>
      <c r="D18" s="2">
        <v>12.965949374427563</v>
      </c>
      <c r="E18" s="2">
        <v>1.0757562256393008E-34</v>
      </c>
      <c r="F18" s="2">
        <v>0.48363291443276368</v>
      </c>
      <c r="G18" s="2">
        <v>0.65622795871905593</v>
      </c>
      <c r="H18" s="2">
        <v>0.48363291443276368</v>
      </c>
      <c r="I18" s="2">
        <v>0.65622795871905593</v>
      </c>
    </row>
    <row r="19" spans="1:9" x14ac:dyDescent="0.3">
      <c r="A19" s="2" t="s">
        <v>24</v>
      </c>
      <c r="B19" s="2">
        <v>-0.22814625486034931</v>
      </c>
      <c r="C19" s="2">
        <v>2.7713165770841153E-2</v>
      </c>
      <c r="D19" s="2">
        <v>-8.2324140355122122</v>
      </c>
      <c r="E19" s="2">
        <v>8.644973489705686E-16</v>
      </c>
      <c r="F19" s="2">
        <v>-0.28255477786014521</v>
      </c>
      <c r="G19" s="2">
        <v>-0.17373773186055341</v>
      </c>
      <c r="H19" s="2">
        <v>-0.28255477786014521</v>
      </c>
      <c r="I19" s="2">
        <v>-0.17373773186055341</v>
      </c>
    </row>
    <row r="20" spans="1:9" x14ac:dyDescent="0.3">
      <c r="A20" s="2" t="s">
        <v>25</v>
      </c>
      <c r="B20" s="2">
        <v>-0.12432173757097351</v>
      </c>
      <c r="C20" s="2">
        <v>2.7005520200290088E-2</v>
      </c>
      <c r="D20" s="2">
        <v>-4.6035675909563878</v>
      </c>
      <c r="E20" s="2">
        <v>4.9112693393265589E-6</v>
      </c>
      <c r="F20" s="2">
        <v>-0.17734095879920703</v>
      </c>
      <c r="G20" s="2">
        <v>-7.1302516342739972E-2</v>
      </c>
      <c r="H20" s="2">
        <v>-0.17734095879920703</v>
      </c>
      <c r="I20" s="2">
        <v>-7.1302516342739972E-2</v>
      </c>
    </row>
    <row r="21" spans="1:9" x14ac:dyDescent="0.3">
      <c r="A21" s="2" t="s">
        <v>64</v>
      </c>
      <c r="B21" s="2">
        <v>-5.6451108845975338E-2</v>
      </c>
      <c r="C21" s="2">
        <v>8.0747969958397392E-2</v>
      </c>
      <c r="D21" s="2">
        <v>-0.69910251459027173</v>
      </c>
      <c r="E21" s="2">
        <v>0.48471436511960375</v>
      </c>
      <c r="F21" s="2">
        <v>-0.21498145564925739</v>
      </c>
      <c r="G21" s="2">
        <v>0.1020792379573067</v>
      </c>
      <c r="H21" s="2">
        <v>-0.21498145564925739</v>
      </c>
      <c r="I21" s="2">
        <v>0.1020792379573067</v>
      </c>
    </row>
    <row r="22" spans="1:9" x14ac:dyDescent="0.3">
      <c r="A22" s="2" t="s">
        <v>65</v>
      </c>
      <c r="B22" s="2">
        <v>2.5503160775019657E-2</v>
      </c>
      <c r="C22" s="2">
        <v>8.1102928136131083E-2</v>
      </c>
      <c r="D22" s="2">
        <v>0.31445425413263328</v>
      </c>
      <c r="E22" s="2">
        <v>0.75326740580954854</v>
      </c>
      <c r="F22" s="2">
        <v>-0.13372406599992948</v>
      </c>
      <c r="G22" s="2">
        <v>0.18473038754996879</v>
      </c>
      <c r="H22" s="2">
        <v>-0.13372406599992948</v>
      </c>
      <c r="I22" s="2">
        <v>0.18473038754996879</v>
      </c>
    </row>
    <row r="23" spans="1:9" x14ac:dyDescent="0.3">
      <c r="A23" s="2" t="s">
        <v>66</v>
      </c>
      <c r="B23" s="2">
        <v>7.8321359287686312E-2</v>
      </c>
      <c r="C23" s="2">
        <v>8.1329189515299619E-2</v>
      </c>
      <c r="D23" s="2">
        <v>0.96301659655605598</v>
      </c>
      <c r="E23" s="2">
        <v>0.33586340837278406</v>
      </c>
      <c r="F23" s="2">
        <v>-8.135008044922655E-2</v>
      </c>
      <c r="G23" s="2">
        <v>0.23799279902459919</v>
      </c>
      <c r="H23" s="2">
        <v>-8.135008044922655E-2</v>
      </c>
      <c r="I23" s="2">
        <v>0.23799279902459919</v>
      </c>
    </row>
    <row r="24" spans="1:9" x14ac:dyDescent="0.3">
      <c r="A24" s="2" t="s">
        <v>67</v>
      </c>
      <c r="B24" s="2">
        <v>5.2366610844256777E-2</v>
      </c>
      <c r="C24" s="2">
        <v>8.1089380954802379E-2</v>
      </c>
      <c r="D24" s="2">
        <v>0.64578876084212422</v>
      </c>
      <c r="E24" s="2">
        <v>0.51862249708143104</v>
      </c>
      <c r="F24" s="2">
        <v>-0.1068340191090589</v>
      </c>
      <c r="G24" s="2">
        <v>0.21156724079757247</v>
      </c>
      <c r="H24" s="2">
        <v>-0.1068340191090589</v>
      </c>
      <c r="I24" s="2">
        <v>0.21156724079757247</v>
      </c>
    </row>
    <row r="25" spans="1:9" x14ac:dyDescent="0.3">
      <c r="A25" s="2" t="s">
        <v>68</v>
      </c>
      <c r="B25" s="2">
        <v>8.1004725247272508E-2</v>
      </c>
      <c r="C25" s="2">
        <v>8.1035700475384373E-2</v>
      </c>
      <c r="D25" s="2">
        <v>0.99961775824815291</v>
      </c>
      <c r="E25" s="2">
        <v>0.31783228628712895</v>
      </c>
      <c r="F25" s="2">
        <v>-7.8090515245192504E-2</v>
      </c>
      <c r="G25" s="2">
        <v>0.24009996573973752</v>
      </c>
      <c r="H25" s="2">
        <v>-7.8090515245192504E-2</v>
      </c>
      <c r="I25" s="2">
        <v>0.24009996573973752</v>
      </c>
    </row>
    <row r="26" spans="1:9" x14ac:dyDescent="0.3">
      <c r="A26" s="2" t="s">
        <v>22</v>
      </c>
      <c r="B26" s="2">
        <v>-0.88020701427325976</v>
      </c>
      <c r="C26" s="2">
        <v>0.16038218965420406</v>
      </c>
      <c r="D26" s="2">
        <v>-5.4881842938486596</v>
      </c>
      <c r="E26" s="2">
        <v>5.6349511512256752E-8</v>
      </c>
      <c r="F26" s="2">
        <v>-1.1950811115422104</v>
      </c>
      <c r="G26" s="2">
        <v>-0.5653329170043091</v>
      </c>
      <c r="H26" s="2">
        <v>-1.1950811115422104</v>
      </c>
      <c r="I26" s="2">
        <v>-0.5653329170043091</v>
      </c>
    </row>
    <row r="27" spans="1:9" x14ac:dyDescent="0.3">
      <c r="A27" s="2" t="s">
        <v>16</v>
      </c>
      <c r="B27" s="2">
        <v>0.49906485258313271</v>
      </c>
      <c r="C27" s="2">
        <v>9.2336024015207852E-2</v>
      </c>
      <c r="D27" s="2">
        <v>5.4048770012117497</v>
      </c>
      <c r="E27" s="2">
        <v>8.8332292127249336E-8</v>
      </c>
      <c r="F27" s="2">
        <v>0.31778398673463104</v>
      </c>
      <c r="G27" s="2">
        <v>0.68034571843163438</v>
      </c>
      <c r="H27" s="2">
        <v>0.31778398673463104</v>
      </c>
      <c r="I27" s="2">
        <v>0.68034571843163438</v>
      </c>
    </row>
    <row r="28" spans="1:9" x14ac:dyDescent="0.3">
      <c r="A28" s="2" t="s">
        <v>18</v>
      </c>
      <c r="B28" s="2">
        <v>0.32486036057668455</v>
      </c>
      <c r="C28" s="2">
        <v>0.11881793421709647</v>
      </c>
      <c r="D28" s="2">
        <v>2.7341020757280687</v>
      </c>
      <c r="E28" s="2">
        <v>6.4092044052485916E-3</v>
      </c>
      <c r="F28" s="2">
        <v>9.1588263116022889E-2</v>
      </c>
      <c r="G28" s="2">
        <v>0.55813245803734624</v>
      </c>
      <c r="H28" s="2">
        <v>9.1588263116022889E-2</v>
      </c>
      <c r="I28" s="2">
        <v>0.55813245803734624</v>
      </c>
    </row>
    <row r="29" spans="1:9" ht="15" thickBot="1" x14ac:dyDescent="0.35">
      <c r="A29" s="3" t="s">
        <v>19</v>
      </c>
      <c r="B29" s="3">
        <v>0.78118248656126399</v>
      </c>
      <c r="C29" s="3">
        <v>7.9452938366200876E-2</v>
      </c>
      <c r="D29" s="3">
        <v>9.8320150597926474</v>
      </c>
      <c r="E29" s="3">
        <v>1.7327024398412812E-21</v>
      </c>
      <c r="F29" s="3">
        <v>0.62519464091978072</v>
      </c>
      <c r="G29" s="3">
        <v>0.93717033220274726</v>
      </c>
      <c r="H29" s="3">
        <v>0.62519464091978072</v>
      </c>
      <c r="I29" s="3">
        <v>0.93717033220274726</v>
      </c>
    </row>
  </sheetData>
  <conditionalFormatting sqref="E18:E29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Data_with_dummies</vt:lpstr>
      <vt:lpstr>Correlation_matrix</vt:lpstr>
      <vt:lpstr>SR_significant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cp:lastPrinted>2025-11-01T17:19:03Z</cp:lastPrinted>
  <dcterms:created xsi:type="dcterms:W3CDTF">2015-06-05T18:17:20Z</dcterms:created>
  <dcterms:modified xsi:type="dcterms:W3CDTF">2025-11-01T17:26:35Z</dcterms:modified>
</cp:coreProperties>
</file>